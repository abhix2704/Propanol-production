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"/>
    </mc:Choice>
  </mc:AlternateContent>
  <xr:revisionPtr revIDLastSave="0" documentId="13_ncr:1_{CF63611B-EF2A-4D33-8033-79DB4A5D9B8E}" xr6:coauthVersionLast="47" xr6:coauthVersionMax="47" xr10:uidLastSave="{00000000-0000-0000-0000-000000000000}"/>
  <bookViews>
    <workbookView xWindow="38280" yWindow="-120" windowWidth="38640" windowHeight="21240" xr2:uid="{AD4734CD-ECCB-46E6-83FE-D07935DB31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6" i="1" l="1"/>
  <c r="J11" i="1"/>
  <c r="K6" i="1"/>
  <c r="K5" i="1"/>
  <c r="M5" i="1" s="1"/>
  <c r="C6" i="1"/>
  <c r="D6" i="1" s="1"/>
  <c r="G6" i="1" s="1"/>
  <c r="C7" i="1"/>
  <c r="D7" i="1" s="1"/>
  <c r="G7" i="1" s="1"/>
  <c r="C8" i="1"/>
  <c r="D8" i="1" s="1"/>
  <c r="G8" i="1" s="1"/>
  <c r="C9" i="1"/>
  <c r="D9" i="1" s="1"/>
  <c r="G9" i="1" s="1"/>
  <c r="C10" i="1"/>
  <c r="D10" i="1" s="1"/>
  <c r="G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4" i="1"/>
  <c r="J12" i="1" s="1"/>
  <c r="F18" i="1" l="1"/>
  <c r="F14" i="1"/>
  <c r="F12" i="1"/>
  <c r="F19" i="1"/>
  <c r="F11" i="1"/>
  <c r="F17" i="1"/>
  <c r="F16" i="1"/>
  <c r="F13" i="1"/>
  <c r="F15" i="1"/>
  <c r="I12" i="1"/>
  <c r="D4" i="1"/>
  <c r="G4" i="1" s="1"/>
  <c r="I13" i="1" l="1"/>
  <c r="J13" i="1"/>
  <c r="J14" i="1" l="1"/>
  <c r="I14" i="1"/>
</calcChain>
</file>

<file path=xl/sharedStrings.xml><?xml version="1.0" encoding="utf-8"?>
<sst xmlns="http://schemas.openxmlformats.org/spreadsheetml/2006/main" count="19" uniqueCount="14">
  <si>
    <t>R. No.</t>
  </si>
  <si>
    <t>log(k)</t>
  </si>
  <si>
    <t>k</t>
  </si>
  <si>
    <t>Ea (kcal/mol)</t>
  </si>
  <si>
    <t>-</t>
  </si>
  <si>
    <t>Denominator kinetics (theta)</t>
  </si>
  <si>
    <t>log(K)</t>
  </si>
  <si>
    <t>K</t>
  </si>
  <si>
    <t>CO</t>
  </si>
  <si>
    <t>H2O</t>
  </si>
  <si>
    <t>Keq 1</t>
  </si>
  <si>
    <t>k'</t>
  </si>
  <si>
    <t>K water</t>
  </si>
  <si>
    <t>390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</si>
</sst>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1" fontId="0" fillId="0" borderId="0" xfId="0" applyNumberFormat="1" applyAlignment="1">
      <alignment horizontal="center"/>
    </xf>
    <xf numFmtId="165" fontId="0" fillId="2" borderId="0" xfId="0" applyNumberFormat="1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1" fontId="0" fillId="0" borderId="2" xfId="0" applyNumberFormat="1" applyBorder="1" applyAlignment="1">
      <alignment horizontal="center"/>
    </xf>
    <xf numFmtId="11" fontId="0" fillId="0" borderId="3" xfId="0" applyNumberFormat="1" applyBorder="1" applyAlignment="1">
      <alignment horizontal="center"/>
    </xf>
    <xf numFmtId="11" fontId="0" fillId="0" borderId="4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 applyAlignment="1">
      <alignment horizontal="center"/>
    </xf>
    <xf numFmtId="165" fontId="0" fillId="0" borderId="0" xfId="0" applyNumberFormat="1" applyFill="1" applyAlignment="1">
      <alignment horizontal="center"/>
    </xf>
    <xf numFmtId="11" fontId="0" fillId="2" borderId="0" xfId="0" applyNumberFormat="1" applyFill="1" applyAlignment="1">
      <alignment horizontal="center"/>
    </xf>
    <xf numFmtId="11" fontId="0" fillId="0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19550</xdr:colOff>
      <xdr:row>6</xdr:row>
      <xdr:rowOff>183406</xdr:rowOff>
    </xdr:from>
    <xdr:to>
      <xdr:col>29</xdr:col>
      <xdr:colOff>365498</xdr:colOff>
      <xdr:row>35</xdr:row>
      <xdr:rowOff>168494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A9F7DA-8DE4-1D88-9447-DFE35D053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7360" y="1293561"/>
          <a:ext cx="9502035" cy="534641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20</xdr:row>
      <xdr:rowOff>129540</xdr:rowOff>
    </xdr:from>
    <xdr:to>
      <xdr:col>12</xdr:col>
      <xdr:colOff>303304</xdr:colOff>
      <xdr:row>40</xdr:row>
      <xdr:rowOff>168791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957457-F687-A9F6-6A9B-0D4D70C53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604260"/>
          <a:ext cx="7772400" cy="37044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1AD67-5A97-4C9C-AF3E-8B8E1BBE8877}">
  <dimension ref="A1:M19"/>
  <sheetViews>
    <sheetView tabSelected="1" zoomScale="145" zoomScaleNormal="145" workbookViewId="0">
      <selection activeCell="J12" sqref="J12"/>
    </sheetView>
  </sheetViews>
  <sheetFormatPr defaultRowHeight="14.4" x14ac:dyDescent="0.3"/>
  <cols>
    <col min="1" max="2" width="8.88671875" style="1"/>
    <col min="3" max="3" width="10.5546875" style="1" bestFit="1" customWidth="1"/>
    <col min="4" max="4" width="8.5546875" style="1" bestFit="1" customWidth="1"/>
    <col min="5" max="5" width="11.6640625" style="1" bestFit="1" customWidth="1"/>
    <col min="6" max="6" width="8.88671875" style="1"/>
    <col min="7" max="7" width="8.5546875" style="1" bestFit="1" customWidth="1"/>
    <col min="8" max="9" width="8.88671875" style="1"/>
    <col min="10" max="10" width="8.5546875" style="1" bestFit="1" customWidth="1"/>
    <col min="11" max="11" width="7.5546875" style="1" bestFit="1" customWidth="1"/>
    <col min="12" max="12" width="11.6640625" style="1" bestFit="1" customWidth="1"/>
    <col min="13" max="16384" width="8.88671875" style="1"/>
  </cols>
  <sheetData>
    <row r="1" spans="1:13" x14ac:dyDescent="0.3">
      <c r="A1" s="1" t="s">
        <v>12</v>
      </c>
      <c r="B1" s="1" t="s">
        <v>13</v>
      </c>
      <c r="C1" s="4">
        <v>6.7199999999999994E-14</v>
      </c>
    </row>
    <row r="3" spans="1:13" ht="15" thickBot="1" x14ac:dyDescent="0.35">
      <c r="A3" s="1" t="s">
        <v>0</v>
      </c>
      <c r="B3" s="1" t="s">
        <v>1</v>
      </c>
      <c r="C3" s="13" t="s">
        <v>2</v>
      </c>
      <c r="D3" s="1" t="s">
        <v>11</v>
      </c>
      <c r="E3" s="1" t="s">
        <v>3</v>
      </c>
      <c r="I3" s="3" t="s">
        <v>5</v>
      </c>
    </row>
    <row r="4" spans="1:13" x14ac:dyDescent="0.3">
      <c r="A4" s="1">
        <v>1</v>
      </c>
      <c r="B4" s="1">
        <v>-1.8</v>
      </c>
      <c r="C4" s="14">
        <f>10^B4</f>
        <v>1.5848931924611124E-2</v>
      </c>
      <c r="D4" s="15">
        <f>C4/$C$1</f>
        <v>235847201259.09412</v>
      </c>
      <c r="E4" s="1">
        <v>54</v>
      </c>
      <c r="F4" s="6"/>
      <c r="G4" s="1">
        <f>D4*7.13</f>
        <v>1681590544977.3411</v>
      </c>
      <c r="J4" s="1" t="s">
        <v>6</v>
      </c>
      <c r="K4" s="1" t="s">
        <v>7</v>
      </c>
      <c r="L4" s="1" t="s">
        <v>3</v>
      </c>
    </row>
    <row r="5" spans="1:13" x14ac:dyDescent="0.3">
      <c r="A5" s="1">
        <v>2</v>
      </c>
      <c r="B5" s="1" t="s">
        <v>4</v>
      </c>
      <c r="C5" s="13" t="s">
        <v>4</v>
      </c>
      <c r="D5" s="15" t="s">
        <v>4</v>
      </c>
      <c r="E5" s="1" t="s">
        <v>4</v>
      </c>
      <c r="F5" s="7"/>
      <c r="G5" s="1" t="s">
        <v>4</v>
      </c>
      <c r="I5" s="1" t="s">
        <v>8</v>
      </c>
      <c r="J5" s="1">
        <v>-1.9</v>
      </c>
      <c r="K5" s="2">
        <f>10^J5</f>
        <v>1.2589254117941664E-2</v>
      </c>
      <c r="L5" s="1">
        <v>35</v>
      </c>
      <c r="M5" s="1">
        <f>K5*7.13</f>
        <v>8.9761381860924069E-2</v>
      </c>
    </row>
    <row r="6" spans="1:13" x14ac:dyDescent="0.3">
      <c r="A6" s="1">
        <v>3</v>
      </c>
      <c r="B6" s="1">
        <v>-2.1</v>
      </c>
      <c r="C6" s="14">
        <f t="shared" ref="C6:C19" si="0">10^B6</f>
        <v>7.9432823472428121E-3</v>
      </c>
      <c r="D6" s="15">
        <f t="shared" ref="D6:D19" si="1">C6/$C$1</f>
        <v>118203606357.77995</v>
      </c>
      <c r="E6" s="1">
        <v>79</v>
      </c>
      <c r="F6" s="7"/>
      <c r="G6" s="1">
        <f t="shared" ref="G6:G9" si="2">D6*7.13</f>
        <v>842791713330.97107</v>
      </c>
      <c r="I6" s="1" t="s">
        <v>9</v>
      </c>
      <c r="J6" s="1">
        <v>0</v>
      </c>
      <c r="K6" s="2">
        <f>10^J6</f>
        <v>1</v>
      </c>
      <c r="L6" s="1">
        <v>0</v>
      </c>
      <c r="M6" s="1">
        <f>K6*7.13</f>
        <v>7.13</v>
      </c>
    </row>
    <row r="7" spans="1:13" x14ac:dyDescent="0.3">
      <c r="A7" s="1">
        <v>4</v>
      </c>
      <c r="B7" s="1">
        <v>-2.2999999999999998</v>
      </c>
      <c r="C7" s="14">
        <f t="shared" si="0"/>
        <v>5.0118723362727212E-3</v>
      </c>
      <c r="D7" s="15">
        <f t="shared" si="1"/>
        <v>74581433575.486923</v>
      </c>
      <c r="E7" s="1">
        <v>53</v>
      </c>
      <c r="F7" s="7"/>
      <c r="G7" s="1">
        <f t="shared" si="2"/>
        <v>531765621393.22174</v>
      </c>
    </row>
    <row r="8" spans="1:13" x14ac:dyDescent="0.3">
      <c r="A8" s="1">
        <v>5</v>
      </c>
      <c r="B8" s="1">
        <v>-1.7</v>
      </c>
      <c r="C8" s="14">
        <f t="shared" si="0"/>
        <v>1.9952623149688792E-2</v>
      </c>
      <c r="D8" s="15">
        <f t="shared" si="1"/>
        <v>296914034965.60706</v>
      </c>
      <c r="E8" s="1">
        <v>13</v>
      </c>
      <c r="F8" s="7"/>
      <c r="G8" s="1">
        <f t="shared" si="2"/>
        <v>2116997069304.7783</v>
      </c>
    </row>
    <row r="9" spans="1:13" ht="15" thickBot="1" x14ac:dyDescent="0.35">
      <c r="A9" s="1">
        <v>6</v>
      </c>
      <c r="B9" s="1">
        <v>-1.2</v>
      </c>
      <c r="C9" s="14">
        <f t="shared" si="0"/>
        <v>6.3095734448019317E-2</v>
      </c>
      <c r="D9" s="15">
        <f t="shared" si="1"/>
        <v>938924619762.19226</v>
      </c>
      <c r="E9" s="1">
        <v>0</v>
      </c>
      <c r="F9" s="7"/>
      <c r="G9" s="1">
        <f t="shared" si="2"/>
        <v>6694532538904.4307</v>
      </c>
    </row>
    <row r="10" spans="1:13" ht="15" thickBot="1" x14ac:dyDescent="0.35">
      <c r="A10" s="1">
        <v>7</v>
      </c>
      <c r="B10" s="1">
        <v>-1.1000000000000001</v>
      </c>
      <c r="C10" s="14">
        <f t="shared" si="0"/>
        <v>7.9432823472428096E-2</v>
      </c>
      <c r="D10" s="15">
        <f t="shared" si="1"/>
        <v>1182036063577.7991</v>
      </c>
      <c r="E10" s="1">
        <v>64</v>
      </c>
      <c r="F10" s="8"/>
      <c r="G10" s="1">
        <f>D10*7.13</f>
        <v>8427917133309.707</v>
      </c>
      <c r="I10" s="12" t="s">
        <v>10</v>
      </c>
    </row>
    <row r="11" spans="1:13" x14ac:dyDescent="0.3">
      <c r="A11" s="1">
        <v>8</v>
      </c>
      <c r="B11" s="1">
        <v>2.4</v>
      </c>
      <c r="C11" s="5">
        <f t="shared" si="0"/>
        <v>251.18864315095806</v>
      </c>
      <c r="D11" s="16">
        <f t="shared" si="1"/>
        <v>3737926237365447.5</v>
      </c>
      <c r="E11" s="1">
        <v>19</v>
      </c>
      <c r="F11" s="4">
        <f>C11*7.13</f>
        <v>1790.975025666331</v>
      </c>
      <c r="G11" s="9"/>
      <c r="I11" s="4">
        <v>1.6665447450385101E-5</v>
      </c>
      <c r="J11" s="4">
        <f>1/I11</f>
        <v>60004.389499718607</v>
      </c>
    </row>
    <row r="12" spans="1:13" x14ac:dyDescent="0.3">
      <c r="A12" s="1">
        <v>9</v>
      </c>
      <c r="B12" s="1">
        <v>2.4</v>
      </c>
      <c r="C12" s="5">
        <f t="shared" si="0"/>
        <v>251.18864315095806</v>
      </c>
      <c r="D12" s="16">
        <f t="shared" si="1"/>
        <v>3737926237365447.5</v>
      </c>
      <c r="E12" s="1">
        <v>11</v>
      </c>
      <c r="F12" s="4">
        <f t="shared" ref="F12:F19" si="3">C12*7.13</f>
        <v>1790.975025666331</v>
      </c>
      <c r="G12" s="10"/>
      <c r="I12" s="4">
        <f>$C$4/I11</f>
        <v>951.00548435889073</v>
      </c>
      <c r="J12" s="4">
        <f>$C$4/J11</f>
        <v>2.6412954213433747E-7</v>
      </c>
    </row>
    <row r="13" spans="1:13" x14ac:dyDescent="0.3">
      <c r="A13" s="1">
        <v>10</v>
      </c>
      <c r="B13" s="1">
        <v>3.1</v>
      </c>
      <c r="C13" s="5">
        <f t="shared" si="0"/>
        <v>1258.925411794168</v>
      </c>
      <c r="D13" s="16">
        <f t="shared" si="1"/>
        <v>1.8734009104079884E+16</v>
      </c>
      <c r="E13" s="1">
        <v>36</v>
      </c>
      <c r="F13" s="4">
        <f t="shared" si="3"/>
        <v>8976.1381860924175</v>
      </c>
      <c r="G13" s="10"/>
      <c r="I13" s="4">
        <f>$D$4/I11</f>
        <v>1.4151867326769208E+16</v>
      </c>
      <c r="J13" s="4">
        <f>$D$4/J11</f>
        <v>3930499.1389038321</v>
      </c>
    </row>
    <row r="14" spans="1:13" x14ac:dyDescent="0.3">
      <c r="A14" s="1">
        <v>11</v>
      </c>
      <c r="B14" s="1">
        <v>3.5</v>
      </c>
      <c r="C14" s="5">
        <f t="shared" si="0"/>
        <v>3162.2776601683804</v>
      </c>
      <c r="D14" s="16">
        <f t="shared" si="1"/>
        <v>4.7057703276315192E+16</v>
      </c>
      <c r="E14" s="1">
        <v>19</v>
      </c>
      <c r="F14" s="4">
        <f t="shared" si="3"/>
        <v>22547.039717000553</v>
      </c>
      <c r="G14" s="10"/>
      <c r="I14" s="4">
        <f>$G$4/I11</f>
        <v>1.0090281403986446E+17</v>
      </c>
      <c r="J14" s="4">
        <f>$G$4/J11</f>
        <v>28024458.860384323</v>
      </c>
    </row>
    <row r="15" spans="1:13" x14ac:dyDescent="0.3">
      <c r="A15" s="1">
        <v>12</v>
      </c>
      <c r="B15" s="1">
        <v>3.9</v>
      </c>
      <c r="C15" s="5">
        <f t="shared" si="0"/>
        <v>7943.2823472428154</v>
      </c>
      <c r="D15" s="16">
        <f t="shared" si="1"/>
        <v>1.1820360635778E+17</v>
      </c>
      <c r="E15" s="1">
        <v>23</v>
      </c>
      <c r="F15" s="4">
        <f t="shared" si="3"/>
        <v>56635.603135841273</v>
      </c>
      <c r="G15" s="10"/>
      <c r="J15" s="4"/>
    </row>
    <row r="16" spans="1:13" x14ac:dyDescent="0.3">
      <c r="A16" s="1">
        <v>13</v>
      </c>
      <c r="B16" s="1">
        <v>-0.8</v>
      </c>
      <c r="C16" s="5">
        <f t="shared" si="0"/>
        <v>0.15848931924611132</v>
      </c>
      <c r="D16" s="16">
        <f t="shared" si="1"/>
        <v>2358472012590.9424</v>
      </c>
      <c r="E16" s="1">
        <v>12</v>
      </c>
      <c r="F16" s="4">
        <f t="shared" si="3"/>
        <v>1.1300288462247736</v>
      </c>
      <c r="G16" s="10"/>
    </row>
    <row r="17" spans="1:7" x14ac:dyDescent="0.3">
      <c r="A17" s="1">
        <v>14</v>
      </c>
      <c r="B17" s="1">
        <v>-0.4</v>
      </c>
      <c r="C17" s="5">
        <f t="shared" si="0"/>
        <v>0.3981071705534972</v>
      </c>
      <c r="D17" s="16">
        <f t="shared" si="1"/>
        <v>5924213847522.2803</v>
      </c>
      <c r="E17" s="1">
        <v>32</v>
      </c>
      <c r="F17" s="4">
        <f t="shared" si="3"/>
        <v>2.838504126046435</v>
      </c>
      <c r="G17" s="10"/>
    </row>
    <row r="18" spans="1:7" x14ac:dyDescent="0.3">
      <c r="A18" s="1">
        <v>15</v>
      </c>
      <c r="B18" s="1">
        <v>-0.6</v>
      </c>
      <c r="C18" s="5">
        <f t="shared" si="0"/>
        <v>0.25118864315095801</v>
      </c>
      <c r="D18" s="16">
        <f t="shared" si="1"/>
        <v>3737926237365.4468</v>
      </c>
      <c r="E18" s="1">
        <v>36</v>
      </c>
      <c r="F18" s="4">
        <f t="shared" si="3"/>
        <v>1.7909750256663306</v>
      </c>
      <c r="G18" s="10"/>
    </row>
    <row r="19" spans="1:7" ht="15" thickBot="1" x14ac:dyDescent="0.35">
      <c r="A19" s="1">
        <v>16</v>
      </c>
      <c r="B19" s="1">
        <v>1.1000000000000001</v>
      </c>
      <c r="C19" s="5">
        <f t="shared" si="0"/>
        <v>12.58925411794168</v>
      </c>
      <c r="D19" s="16">
        <f t="shared" si="1"/>
        <v>187340091040798.81</v>
      </c>
      <c r="E19" s="1">
        <v>14</v>
      </c>
      <c r="F19" s="4">
        <f t="shared" si="3"/>
        <v>89.761381860924175</v>
      </c>
      <c r="G19" s="1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2022-08-19T15:38:28Z</dcterms:created>
  <dcterms:modified xsi:type="dcterms:W3CDTF">2022-08-23T08:31:27Z</dcterms:modified>
</cp:coreProperties>
</file>