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abera\Desktop\Carbon dioxide to propanol\"/>
    </mc:Choice>
  </mc:AlternateContent>
  <xr:revisionPtr revIDLastSave="0" documentId="13_ncr:1_{A25B6D44-5D2A-4983-8445-598FF6CB8375}" xr6:coauthVersionLast="47" xr6:coauthVersionMax="47" xr10:uidLastSave="{00000000-0000-0000-0000-000000000000}"/>
  <bookViews>
    <workbookView xWindow="28680" yWindow="-255" windowWidth="29040" windowHeight="17640" xr2:uid="{393C482D-5E72-4BB2-A851-411A684666E1}"/>
  </bookViews>
  <sheets>
    <sheet name="DAC + wind + gE" sheetId="1" r:id="rId1"/>
    <sheet name="DAC + wind" sheetId="7" r:id="rId2"/>
    <sheet name="NG + wind + gE" sheetId="3" r:id="rId3"/>
    <sheet name="NG + wind" sheetId="8" r:id="rId4"/>
    <sheet name="DAC + grid + gE" sheetId="4" r:id="rId5"/>
    <sheet name="DAC + grid" sheetId="10" r:id="rId6"/>
    <sheet name="NG + grid + gE" sheetId="6" r:id="rId7"/>
    <sheet name="NG + grid" sheetId="11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C20" i="11" l="1"/>
  <c r="CB20" i="11"/>
  <c r="CA20" i="11"/>
  <c r="BZ20" i="11"/>
  <c r="BY20" i="11"/>
  <c r="BX20" i="11"/>
  <c r="BW20" i="11"/>
  <c r="BV20" i="11"/>
  <c r="BU20" i="11"/>
  <c r="BT20" i="11"/>
  <c r="BS20" i="11"/>
  <c r="BR20" i="11"/>
  <c r="BQ20" i="11"/>
  <c r="BP20" i="11"/>
  <c r="BO20" i="11"/>
  <c r="BN20" i="11"/>
  <c r="BM20" i="11"/>
  <c r="BL20" i="11"/>
  <c r="BK20" i="11"/>
  <c r="BJ20" i="11"/>
  <c r="BI20" i="11"/>
  <c r="BH20" i="11"/>
  <c r="BG20" i="11"/>
  <c r="BF20" i="11"/>
  <c r="BE20" i="11"/>
  <c r="BD20" i="11"/>
  <c r="BC20" i="11"/>
  <c r="BB20" i="11"/>
  <c r="BA20" i="11"/>
  <c r="AZ20" i="11"/>
  <c r="AY20" i="11"/>
  <c r="AX20" i="11"/>
  <c r="AW20" i="11"/>
  <c r="AV20" i="11"/>
  <c r="AU20" i="11"/>
  <c r="AT20" i="11"/>
  <c r="AS20" i="11"/>
  <c r="AR20" i="11"/>
  <c r="AQ20" i="11"/>
  <c r="AP20" i="11"/>
  <c r="AO20" i="11"/>
  <c r="AN20" i="11"/>
  <c r="AM20" i="11"/>
  <c r="AL20" i="11"/>
  <c r="AK20" i="11"/>
  <c r="AJ20" i="11"/>
  <c r="AI20" i="11"/>
  <c r="AH20" i="11"/>
  <c r="AG20" i="11"/>
  <c r="AF20" i="11"/>
  <c r="AE20" i="11"/>
  <c r="AD20" i="11"/>
  <c r="AC20" i="11"/>
  <c r="AB20" i="11"/>
  <c r="AA20" i="11"/>
  <c r="Z20" i="11"/>
  <c r="Y20" i="11"/>
  <c r="X20" i="11"/>
  <c r="W20" i="11"/>
  <c r="V20" i="11"/>
  <c r="U20" i="11"/>
  <c r="T20" i="11"/>
  <c r="S20" i="11"/>
  <c r="R20" i="11"/>
  <c r="Q20" i="11"/>
  <c r="P20" i="11"/>
  <c r="O20" i="11"/>
  <c r="N20" i="11"/>
  <c r="M20" i="11"/>
  <c r="L20" i="11"/>
  <c r="K20" i="11"/>
  <c r="J20" i="11"/>
  <c r="I20" i="11"/>
  <c r="H20" i="11"/>
  <c r="G20" i="11"/>
  <c r="F20" i="11"/>
  <c r="E20" i="11"/>
  <c r="D20" i="11"/>
  <c r="C20" i="11"/>
  <c r="C13" i="11"/>
  <c r="D13" i="11" s="1"/>
  <c r="C12" i="11"/>
  <c r="D12" i="11" s="1"/>
  <c r="C11" i="11"/>
  <c r="D11" i="11" s="1"/>
  <c r="C10" i="11"/>
  <c r="D7" i="11"/>
  <c r="D6" i="11"/>
  <c r="D5" i="11"/>
  <c r="D4" i="11"/>
  <c r="CC20" i="10"/>
  <c r="CB20" i="10"/>
  <c r="CA20" i="10"/>
  <c r="BZ20" i="10"/>
  <c r="BY20" i="10"/>
  <c r="BX20" i="10"/>
  <c r="BW20" i="10"/>
  <c r="BV20" i="10"/>
  <c r="BU20" i="10"/>
  <c r="BT20" i="10"/>
  <c r="BS20" i="10"/>
  <c r="BR20" i="10"/>
  <c r="BQ20" i="10"/>
  <c r="BP20" i="10"/>
  <c r="BO20" i="10"/>
  <c r="BN20" i="10"/>
  <c r="BM20" i="10"/>
  <c r="BL20" i="10"/>
  <c r="BK20" i="10"/>
  <c r="BJ20" i="10"/>
  <c r="BI20" i="10"/>
  <c r="BH20" i="10"/>
  <c r="BG20" i="10"/>
  <c r="BF20" i="10"/>
  <c r="BE20" i="10"/>
  <c r="BD20" i="10"/>
  <c r="BC20" i="10"/>
  <c r="BB20" i="10"/>
  <c r="BA20" i="10"/>
  <c r="AZ20" i="10"/>
  <c r="AY20" i="10"/>
  <c r="AX20" i="10"/>
  <c r="AW20" i="10"/>
  <c r="AV20" i="10"/>
  <c r="AU20" i="10"/>
  <c r="AT20" i="10"/>
  <c r="AS20" i="10"/>
  <c r="AR20" i="10"/>
  <c r="AQ20" i="10"/>
  <c r="AP20" i="10"/>
  <c r="AO20" i="10"/>
  <c r="AN20" i="10"/>
  <c r="AM20" i="10"/>
  <c r="AL20" i="10"/>
  <c r="AK20" i="10"/>
  <c r="AJ20" i="10"/>
  <c r="AI20" i="10"/>
  <c r="AH20" i="10"/>
  <c r="AG20" i="10"/>
  <c r="AF20" i="10"/>
  <c r="AE20" i="10"/>
  <c r="AD20" i="10"/>
  <c r="AC20" i="10"/>
  <c r="AB20" i="10"/>
  <c r="AA20" i="10"/>
  <c r="Z20" i="10"/>
  <c r="Y20" i="10"/>
  <c r="X20" i="10"/>
  <c r="W20" i="10"/>
  <c r="V20" i="10"/>
  <c r="U20" i="10"/>
  <c r="T20" i="10"/>
  <c r="S20" i="10"/>
  <c r="R20" i="10"/>
  <c r="Q20" i="10"/>
  <c r="P20" i="10"/>
  <c r="O20" i="10"/>
  <c r="N20" i="10"/>
  <c r="M20" i="10"/>
  <c r="L20" i="10"/>
  <c r="K20" i="10"/>
  <c r="J20" i="10"/>
  <c r="I20" i="10"/>
  <c r="H20" i="10"/>
  <c r="G20" i="10"/>
  <c r="F20" i="10"/>
  <c r="E20" i="10"/>
  <c r="D20" i="10"/>
  <c r="C20" i="10"/>
  <c r="C13" i="10"/>
  <c r="D13" i="10" s="1"/>
  <c r="C12" i="10"/>
  <c r="D12" i="10" s="1"/>
  <c r="C11" i="10"/>
  <c r="D11" i="10" s="1"/>
  <c r="C10" i="10"/>
  <c r="D7" i="10"/>
  <c r="D6" i="10"/>
  <c r="D5" i="10"/>
  <c r="D4" i="10"/>
  <c r="CS20" i="8"/>
  <c r="CR20" i="8"/>
  <c r="CQ20" i="8"/>
  <c r="CP20" i="8"/>
  <c r="CO20" i="8"/>
  <c r="CN20" i="8"/>
  <c r="CM20" i="8"/>
  <c r="CL20" i="8"/>
  <c r="CK20" i="8"/>
  <c r="CJ20" i="8"/>
  <c r="CI20" i="8"/>
  <c r="CH20" i="8"/>
  <c r="CG20" i="8"/>
  <c r="CF20" i="8"/>
  <c r="CE20" i="8"/>
  <c r="CD20" i="8"/>
  <c r="CC20" i="8"/>
  <c r="CB20" i="8"/>
  <c r="CA20" i="8"/>
  <c r="BZ20" i="8"/>
  <c r="BY20" i="8"/>
  <c r="BX20" i="8"/>
  <c r="BW20" i="8"/>
  <c r="BV20" i="8"/>
  <c r="BU20" i="8"/>
  <c r="BT20" i="8"/>
  <c r="BS20" i="8"/>
  <c r="BR20" i="8"/>
  <c r="BQ20" i="8"/>
  <c r="BP20" i="8"/>
  <c r="BO20" i="8"/>
  <c r="BN20" i="8"/>
  <c r="BM20" i="8"/>
  <c r="BL20" i="8"/>
  <c r="BK20" i="8"/>
  <c r="BJ20" i="8"/>
  <c r="BI20" i="8"/>
  <c r="BH20" i="8"/>
  <c r="BG20" i="8"/>
  <c r="BF20" i="8"/>
  <c r="BE20" i="8"/>
  <c r="BD20" i="8"/>
  <c r="BC20" i="8"/>
  <c r="BB20" i="8"/>
  <c r="BA20" i="8"/>
  <c r="AZ20" i="8"/>
  <c r="AY20" i="8"/>
  <c r="AX20" i="8"/>
  <c r="AW20" i="8"/>
  <c r="AV20" i="8"/>
  <c r="AU20" i="8"/>
  <c r="AT20" i="8"/>
  <c r="AS20" i="8"/>
  <c r="AR20" i="8"/>
  <c r="AQ20" i="8"/>
  <c r="AP20" i="8"/>
  <c r="AO20" i="8"/>
  <c r="AN20" i="8"/>
  <c r="AM20" i="8"/>
  <c r="AL20" i="8"/>
  <c r="AK20" i="8"/>
  <c r="AJ20" i="8"/>
  <c r="AI20" i="8"/>
  <c r="AH20" i="8"/>
  <c r="AG20" i="8"/>
  <c r="AF20" i="8"/>
  <c r="AE20" i="8"/>
  <c r="AD20" i="8"/>
  <c r="AC20" i="8"/>
  <c r="AB20" i="8"/>
  <c r="AA20" i="8"/>
  <c r="Z20" i="8"/>
  <c r="Y20" i="8"/>
  <c r="X20" i="8"/>
  <c r="W20" i="8"/>
  <c r="V20" i="8"/>
  <c r="U20" i="8"/>
  <c r="T20" i="8"/>
  <c r="S20" i="8"/>
  <c r="R20" i="8"/>
  <c r="Q20" i="8"/>
  <c r="P20" i="8"/>
  <c r="O20" i="8"/>
  <c r="N20" i="8"/>
  <c r="M20" i="8"/>
  <c r="L20" i="8"/>
  <c r="K20" i="8"/>
  <c r="J20" i="8"/>
  <c r="I20" i="8"/>
  <c r="H20" i="8"/>
  <c r="G20" i="8"/>
  <c r="F20" i="8"/>
  <c r="E20" i="8"/>
  <c r="D20" i="8"/>
  <c r="C20" i="8"/>
  <c r="C13" i="8"/>
  <c r="D13" i="8" s="1"/>
  <c r="C12" i="8"/>
  <c r="D12" i="8" s="1"/>
  <c r="C11" i="8"/>
  <c r="D11" i="8" s="1"/>
  <c r="C10" i="8"/>
  <c r="D10" i="8" s="1"/>
  <c r="D7" i="8"/>
  <c r="D6" i="8"/>
  <c r="D5" i="8"/>
  <c r="D4" i="8"/>
  <c r="CS20" i="7"/>
  <c r="CR20" i="7"/>
  <c r="CQ20" i="7"/>
  <c r="CP20" i="7"/>
  <c r="CO20" i="7"/>
  <c r="CN20" i="7"/>
  <c r="CM20" i="7"/>
  <c r="CL20" i="7"/>
  <c r="CK20" i="7"/>
  <c r="CJ20" i="7"/>
  <c r="CI20" i="7"/>
  <c r="CH20" i="7"/>
  <c r="CG20" i="7"/>
  <c r="CF20" i="7"/>
  <c r="CE20" i="7"/>
  <c r="CD20" i="7"/>
  <c r="CC20" i="7"/>
  <c r="CB20" i="7"/>
  <c r="CA20" i="7"/>
  <c r="BZ20" i="7"/>
  <c r="BY20" i="7"/>
  <c r="BX20" i="7"/>
  <c r="BW20" i="7"/>
  <c r="BV20" i="7"/>
  <c r="BU20" i="7"/>
  <c r="BT20" i="7"/>
  <c r="BS20" i="7"/>
  <c r="BR20" i="7"/>
  <c r="BQ20" i="7"/>
  <c r="BP20" i="7"/>
  <c r="BO20" i="7"/>
  <c r="BN20" i="7"/>
  <c r="BM20" i="7"/>
  <c r="BL20" i="7"/>
  <c r="BK20" i="7"/>
  <c r="BJ20" i="7"/>
  <c r="BI20" i="7"/>
  <c r="BH20" i="7"/>
  <c r="BG20" i="7"/>
  <c r="BF20" i="7"/>
  <c r="BE20" i="7"/>
  <c r="BD20" i="7"/>
  <c r="BC20" i="7"/>
  <c r="BB20" i="7"/>
  <c r="BA20" i="7"/>
  <c r="AZ20" i="7"/>
  <c r="AY20" i="7"/>
  <c r="AX20" i="7"/>
  <c r="AW20" i="7"/>
  <c r="AV20" i="7"/>
  <c r="AU20" i="7"/>
  <c r="AT20" i="7"/>
  <c r="AS20" i="7"/>
  <c r="AR20" i="7"/>
  <c r="AQ20" i="7"/>
  <c r="AP20" i="7"/>
  <c r="AO20" i="7"/>
  <c r="AN20" i="7"/>
  <c r="AM20" i="7"/>
  <c r="AL20" i="7"/>
  <c r="AK20" i="7"/>
  <c r="AJ20" i="7"/>
  <c r="AI20" i="7"/>
  <c r="AH20" i="7"/>
  <c r="AG20" i="7"/>
  <c r="AF20" i="7"/>
  <c r="AE20" i="7"/>
  <c r="AD20" i="7"/>
  <c r="AC20" i="7"/>
  <c r="AB20" i="7"/>
  <c r="AA20" i="7"/>
  <c r="Z20" i="7"/>
  <c r="Y20" i="7"/>
  <c r="X20" i="7"/>
  <c r="W20" i="7"/>
  <c r="V20" i="7"/>
  <c r="U20" i="7"/>
  <c r="T20" i="7"/>
  <c r="S20" i="7"/>
  <c r="R20" i="7"/>
  <c r="Q20" i="7"/>
  <c r="P20" i="7"/>
  <c r="O20" i="7"/>
  <c r="N20" i="7"/>
  <c r="M20" i="7"/>
  <c r="L20" i="7"/>
  <c r="K20" i="7"/>
  <c r="J20" i="7"/>
  <c r="I20" i="7"/>
  <c r="H20" i="7"/>
  <c r="G20" i="7"/>
  <c r="F20" i="7"/>
  <c r="E20" i="7"/>
  <c r="D20" i="7"/>
  <c r="C20" i="7"/>
  <c r="C13" i="7"/>
  <c r="D13" i="7" s="1"/>
  <c r="C12" i="7"/>
  <c r="D12" i="7" s="1"/>
  <c r="C11" i="7"/>
  <c r="D11" i="7" s="1"/>
  <c r="C10" i="7"/>
  <c r="D10" i="7" s="1"/>
  <c r="D7" i="7"/>
  <c r="D6" i="7"/>
  <c r="D5" i="7"/>
  <c r="D4" i="7"/>
  <c r="CC20" i="6"/>
  <c r="CB20" i="6"/>
  <c r="CA20" i="6"/>
  <c r="BZ20" i="6"/>
  <c r="BY20" i="6"/>
  <c r="BX20" i="6"/>
  <c r="BW20" i="6"/>
  <c r="BV20" i="6"/>
  <c r="BU20" i="6"/>
  <c r="BT20" i="6"/>
  <c r="BS20" i="6"/>
  <c r="BR20" i="6"/>
  <c r="BQ20" i="6"/>
  <c r="BP20" i="6"/>
  <c r="BO20" i="6"/>
  <c r="BN20" i="6"/>
  <c r="BM20" i="6"/>
  <c r="BL20" i="6"/>
  <c r="BK20" i="6"/>
  <c r="BJ20" i="6"/>
  <c r="BI20" i="6"/>
  <c r="BH20" i="6"/>
  <c r="BG20" i="6"/>
  <c r="BF20" i="6"/>
  <c r="BE20" i="6"/>
  <c r="BD20" i="6"/>
  <c r="BC20" i="6"/>
  <c r="BB20" i="6"/>
  <c r="BA20" i="6"/>
  <c r="AZ20" i="6"/>
  <c r="AY20" i="6"/>
  <c r="AX20" i="6"/>
  <c r="AW20" i="6"/>
  <c r="AV20" i="6"/>
  <c r="AU20" i="6"/>
  <c r="AT20" i="6"/>
  <c r="AS20" i="6"/>
  <c r="AR20" i="6"/>
  <c r="AQ20" i="6"/>
  <c r="AP20" i="6"/>
  <c r="AO20" i="6"/>
  <c r="AN20" i="6"/>
  <c r="AM20" i="6"/>
  <c r="AL20" i="6"/>
  <c r="AK20" i="6"/>
  <c r="AJ20" i="6"/>
  <c r="AI20" i="6"/>
  <c r="AH20" i="6"/>
  <c r="AG20" i="6"/>
  <c r="AF20" i="6"/>
  <c r="AE20" i="6"/>
  <c r="AD20" i="6"/>
  <c r="AC20" i="6"/>
  <c r="AB20" i="6"/>
  <c r="AA20" i="6"/>
  <c r="Z20" i="6"/>
  <c r="Y20" i="6"/>
  <c r="X20" i="6"/>
  <c r="W20" i="6"/>
  <c r="V20" i="6"/>
  <c r="U20" i="6"/>
  <c r="T20" i="6"/>
  <c r="S20" i="6"/>
  <c r="R20" i="6"/>
  <c r="Q20" i="6"/>
  <c r="P20" i="6"/>
  <c r="O20" i="6"/>
  <c r="N20" i="6"/>
  <c r="M20" i="6"/>
  <c r="L20" i="6"/>
  <c r="K20" i="6"/>
  <c r="J20" i="6"/>
  <c r="I20" i="6"/>
  <c r="H20" i="6"/>
  <c r="G20" i="6"/>
  <c r="F20" i="6"/>
  <c r="E20" i="6"/>
  <c r="D20" i="6"/>
  <c r="C20" i="6"/>
  <c r="B13" i="6"/>
  <c r="C13" i="6" s="1"/>
  <c r="D13" i="6" s="1"/>
  <c r="B12" i="6"/>
  <c r="C12" i="6" s="1"/>
  <c r="D12" i="6" s="1"/>
  <c r="C11" i="6"/>
  <c r="D11" i="6" s="1"/>
  <c r="C10" i="6"/>
  <c r="D7" i="6"/>
  <c r="D6" i="6"/>
  <c r="D5" i="6"/>
  <c r="D4" i="6"/>
  <c r="B13" i="4"/>
  <c r="C13" i="4" s="1"/>
  <c r="D13" i="4" s="1"/>
  <c r="B12" i="4"/>
  <c r="C12" i="4" s="1"/>
  <c r="D12" i="4" s="1"/>
  <c r="CC20" i="4"/>
  <c r="CB20" i="4"/>
  <c r="CA20" i="4"/>
  <c r="BZ20" i="4"/>
  <c r="BY20" i="4"/>
  <c r="BX20" i="4"/>
  <c r="BW20" i="4"/>
  <c r="BV20" i="4"/>
  <c r="BU20" i="4"/>
  <c r="BT20" i="4"/>
  <c r="BS20" i="4"/>
  <c r="BR20" i="4"/>
  <c r="BQ20" i="4"/>
  <c r="BP20" i="4"/>
  <c r="BO20" i="4"/>
  <c r="BN20" i="4"/>
  <c r="BM20" i="4"/>
  <c r="BL20" i="4"/>
  <c r="BK20" i="4"/>
  <c r="BJ20" i="4"/>
  <c r="BI20" i="4"/>
  <c r="BH20" i="4"/>
  <c r="BG20" i="4"/>
  <c r="BF20" i="4"/>
  <c r="BE20" i="4"/>
  <c r="BD20" i="4"/>
  <c r="BC20" i="4"/>
  <c r="BB20" i="4"/>
  <c r="BA20" i="4"/>
  <c r="AZ20" i="4"/>
  <c r="AY20" i="4"/>
  <c r="AX20" i="4"/>
  <c r="AW20" i="4"/>
  <c r="AV20" i="4"/>
  <c r="AU20" i="4"/>
  <c r="AT20" i="4"/>
  <c r="AS20" i="4"/>
  <c r="AR20" i="4"/>
  <c r="AQ20" i="4"/>
  <c r="AP20" i="4"/>
  <c r="AO20" i="4"/>
  <c r="AN20" i="4"/>
  <c r="AM20" i="4"/>
  <c r="AL20" i="4"/>
  <c r="AK20" i="4"/>
  <c r="AJ20" i="4"/>
  <c r="AI20" i="4"/>
  <c r="AH20" i="4"/>
  <c r="AG20" i="4"/>
  <c r="AF20" i="4"/>
  <c r="AE20" i="4"/>
  <c r="AD20" i="4"/>
  <c r="AC20" i="4"/>
  <c r="AB20" i="4"/>
  <c r="AA20" i="4"/>
  <c r="Z20" i="4"/>
  <c r="Y20" i="4"/>
  <c r="X20" i="4"/>
  <c r="W20" i="4"/>
  <c r="V20" i="4"/>
  <c r="U20" i="4"/>
  <c r="T20" i="4"/>
  <c r="S20" i="4"/>
  <c r="R20" i="4"/>
  <c r="Q20" i="4"/>
  <c r="P20" i="4"/>
  <c r="O20" i="4"/>
  <c r="N20" i="4"/>
  <c r="M20" i="4"/>
  <c r="L20" i="4"/>
  <c r="K20" i="4"/>
  <c r="J20" i="4"/>
  <c r="I20" i="4"/>
  <c r="H20" i="4"/>
  <c r="G20" i="4"/>
  <c r="F20" i="4"/>
  <c r="E20" i="4"/>
  <c r="D20" i="4"/>
  <c r="C20" i="4"/>
  <c r="C11" i="4"/>
  <c r="D11" i="4" s="1"/>
  <c r="C10" i="4"/>
  <c r="D7" i="4"/>
  <c r="D6" i="4"/>
  <c r="D5" i="4"/>
  <c r="D4" i="4"/>
  <c r="C22" i="11" l="1"/>
  <c r="C14" i="11"/>
  <c r="D10" i="11"/>
  <c r="D14" i="11" s="1"/>
  <c r="C21" i="11"/>
  <c r="C22" i="10"/>
  <c r="C14" i="10"/>
  <c r="D10" i="10"/>
  <c r="D14" i="10" s="1"/>
  <c r="C21" i="10"/>
  <c r="C21" i="6"/>
  <c r="C22" i="7"/>
  <c r="C22" i="8"/>
  <c r="D14" i="8"/>
  <c r="C14" i="8"/>
  <c r="C21" i="8"/>
  <c r="D14" i="7"/>
  <c r="C14" i="7"/>
  <c r="C21" i="7"/>
  <c r="C22" i="6"/>
  <c r="C14" i="6"/>
  <c r="D10" i="6"/>
  <c r="D14" i="6" s="1"/>
  <c r="C22" i="4"/>
  <c r="C14" i="4"/>
  <c r="D10" i="4"/>
  <c r="D14" i="4" s="1"/>
  <c r="C21" i="4"/>
  <c r="CS20" i="3" l="1"/>
  <c r="CR20" i="3"/>
  <c r="CQ20" i="3"/>
  <c r="CP20" i="3"/>
  <c r="CO20" i="3"/>
  <c r="CN20" i="3"/>
  <c r="CM20" i="3"/>
  <c r="CL20" i="3"/>
  <c r="CK20" i="3"/>
  <c r="CJ20" i="3"/>
  <c r="CI20" i="3"/>
  <c r="CH20" i="3"/>
  <c r="CG20" i="3"/>
  <c r="CF20" i="3"/>
  <c r="CE20" i="3"/>
  <c r="CD20" i="3"/>
  <c r="CC20" i="3"/>
  <c r="CB20" i="3"/>
  <c r="CA20" i="3"/>
  <c r="BZ20" i="3"/>
  <c r="BY20" i="3"/>
  <c r="BX20" i="3"/>
  <c r="BW20" i="3"/>
  <c r="BV20" i="3"/>
  <c r="BU20" i="3"/>
  <c r="BT20" i="3"/>
  <c r="BS20" i="3"/>
  <c r="BR20" i="3"/>
  <c r="BQ20" i="3"/>
  <c r="BP20" i="3"/>
  <c r="BO20" i="3"/>
  <c r="BN20" i="3"/>
  <c r="BM20" i="3"/>
  <c r="BL20" i="3"/>
  <c r="BK20" i="3"/>
  <c r="BJ20" i="3"/>
  <c r="BI20" i="3"/>
  <c r="BH20" i="3"/>
  <c r="BG20" i="3"/>
  <c r="BF20" i="3"/>
  <c r="BE20" i="3"/>
  <c r="BD20" i="3"/>
  <c r="BC20" i="3"/>
  <c r="BB20" i="3"/>
  <c r="BA20" i="3"/>
  <c r="AZ20" i="3"/>
  <c r="AY20" i="3"/>
  <c r="AX20" i="3"/>
  <c r="AW20" i="3"/>
  <c r="AV20" i="3"/>
  <c r="AU20" i="3"/>
  <c r="AT20" i="3"/>
  <c r="AS20" i="3"/>
  <c r="AR20" i="3"/>
  <c r="AQ20" i="3"/>
  <c r="AP20" i="3"/>
  <c r="AO20" i="3"/>
  <c r="AN20" i="3"/>
  <c r="AM20" i="3"/>
  <c r="AL20" i="3"/>
  <c r="AK20" i="3"/>
  <c r="AJ20" i="3"/>
  <c r="AI20" i="3"/>
  <c r="AH20" i="3"/>
  <c r="AG20" i="3"/>
  <c r="AF20" i="3"/>
  <c r="AE20" i="3"/>
  <c r="AD20" i="3"/>
  <c r="AC20" i="3"/>
  <c r="AB20" i="3"/>
  <c r="AA20" i="3"/>
  <c r="Z20" i="3"/>
  <c r="Y20" i="3"/>
  <c r="X20" i="3"/>
  <c r="W20" i="3"/>
  <c r="V20" i="3"/>
  <c r="U20" i="3"/>
  <c r="T20" i="3"/>
  <c r="S20" i="3"/>
  <c r="R20" i="3"/>
  <c r="Q20" i="3"/>
  <c r="P20" i="3"/>
  <c r="O20" i="3"/>
  <c r="N20" i="3"/>
  <c r="M20" i="3"/>
  <c r="L20" i="3"/>
  <c r="K20" i="3"/>
  <c r="J20" i="3"/>
  <c r="I20" i="3"/>
  <c r="H20" i="3"/>
  <c r="G20" i="3"/>
  <c r="F20" i="3"/>
  <c r="E20" i="3"/>
  <c r="D20" i="3"/>
  <c r="C20" i="3"/>
  <c r="B13" i="3"/>
  <c r="C13" i="3" s="1"/>
  <c r="D13" i="3" s="1"/>
  <c r="B12" i="3"/>
  <c r="C12" i="3" s="1"/>
  <c r="C11" i="3"/>
  <c r="D11" i="3" s="1"/>
  <c r="C10" i="3"/>
  <c r="D10" i="3" s="1"/>
  <c r="D7" i="3"/>
  <c r="D6" i="3"/>
  <c r="D5" i="3"/>
  <c r="D4" i="3"/>
  <c r="C22" i="3" l="1"/>
  <c r="C21" i="3"/>
  <c r="C14" i="3"/>
  <c r="D12" i="3"/>
  <c r="D14" i="3" s="1"/>
  <c r="B13" i="1"/>
  <c r="C13" i="1" s="1"/>
  <c r="D13" i="1" s="1"/>
  <c r="B12" i="1"/>
  <c r="C12" i="1" s="1"/>
  <c r="D12" i="1" s="1"/>
  <c r="C11" i="1"/>
  <c r="D11" i="1" s="1"/>
  <c r="C10" i="1"/>
  <c r="D7" i="1"/>
  <c r="D6" i="1"/>
  <c r="D5" i="1"/>
  <c r="D4" i="1"/>
  <c r="CS20" i="1"/>
  <c r="CR20" i="1"/>
  <c r="CQ20" i="1"/>
  <c r="CP20" i="1"/>
  <c r="CO20" i="1"/>
  <c r="CN20" i="1"/>
  <c r="CM20" i="1"/>
  <c r="CL20" i="1"/>
  <c r="CK20" i="1"/>
  <c r="CJ20" i="1"/>
  <c r="CI20" i="1"/>
  <c r="CH20" i="1"/>
  <c r="CG20" i="1"/>
  <c r="CF20" i="1"/>
  <c r="CE20" i="1"/>
  <c r="CD20" i="1"/>
  <c r="CC20" i="1"/>
  <c r="CB20" i="1"/>
  <c r="CA20" i="1"/>
  <c r="BZ20" i="1"/>
  <c r="BY20" i="1"/>
  <c r="BX20" i="1"/>
  <c r="BW20" i="1"/>
  <c r="BV20" i="1"/>
  <c r="BU20" i="1"/>
  <c r="BT20" i="1"/>
  <c r="BS20" i="1"/>
  <c r="BR20" i="1"/>
  <c r="BQ20" i="1"/>
  <c r="BP20" i="1"/>
  <c r="BO20" i="1"/>
  <c r="BN20" i="1"/>
  <c r="BM20" i="1"/>
  <c r="BL20" i="1"/>
  <c r="BK20" i="1"/>
  <c r="BJ20" i="1"/>
  <c r="BI20" i="1"/>
  <c r="BH20" i="1"/>
  <c r="BG20" i="1"/>
  <c r="BF20" i="1"/>
  <c r="BE20" i="1"/>
  <c r="BD20" i="1"/>
  <c r="BC20" i="1"/>
  <c r="BB20" i="1"/>
  <c r="BA20" i="1"/>
  <c r="AZ20" i="1"/>
  <c r="AY20" i="1"/>
  <c r="AX20" i="1"/>
  <c r="AW20" i="1"/>
  <c r="AV20" i="1"/>
  <c r="AU20" i="1"/>
  <c r="AT20" i="1"/>
  <c r="AS20" i="1"/>
  <c r="AR20" i="1"/>
  <c r="AQ20" i="1"/>
  <c r="AP20" i="1"/>
  <c r="AO20" i="1"/>
  <c r="AN20" i="1"/>
  <c r="AM20" i="1"/>
  <c r="AL20" i="1"/>
  <c r="AK20" i="1"/>
  <c r="AJ20" i="1"/>
  <c r="AI20" i="1"/>
  <c r="AH20" i="1"/>
  <c r="AG20" i="1"/>
  <c r="AF20" i="1"/>
  <c r="AE20" i="1"/>
  <c r="AD20" i="1"/>
  <c r="AC20" i="1"/>
  <c r="AB20" i="1"/>
  <c r="AA20" i="1"/>
  <c r="Z20" i="1"/>
  <c r="Y20" i="1"/>
  <c r="X20" i="1"/>
  <c r="W20" i="1"/>
  <c r="V20" i="1"/>
  <c r="U20" i="1"/>
  <c r="T20" i="1"/>
  <c r="S20" i="1"/>
  <c r="R20" i="1"/>
  <c r="Q20" i="1"/>
  <c r="P20" i="1"/>
  <c r="O20" i="1"/>
  <c r="N20" i="1"/>
  <c r="M20" i="1"/>
  <c r="L20" i="1"/>
  <c r="K20" i="1"/>
  <c r="J20" i="1"/>
  <c r="I20" i="1"/>
  <c r="H20" i="1"/>
  <c r="G20" i="1"/>
  <c r="F20" i="1"/>
  <c r="E20" i="1"/>
  <c r="D20" i="1"/>
  <c r="C20" i="1"/>
  <c r="D10" i="1" l="1"/>
  <c r="D14" i="1" s="1"/>
  <c r="C14" i="1"/>
  <c r="C22" i="1"/>
  <c r="C21" i="1"/>
</calcChain>
</file>

<file path=xl/sharedStrings.xml><?xml version="1.0" encoding="utf-8"?>
<sst xmlns="http://schemas.openxmlformats.org/spreadsheetml/2006/main" count="976" uniqueCount="202">
  <si>
    <t>1 kg of carbon dioxide for propanol</t>
  </si>
  <si>
    <t>Impact</t>
  </si>
  <si>
    <t>1 kg of hydrogen for propanol</t>
  </si>
  <si>
    <t>1 kg of carbon dioxide for ethylene</t>
  </si>
  <si>
    <t>1 kg of hydrogen for ethylene</t>
  </si>
  <si>
    <t>Carbon dioxide for propanol</t>
  </si>
  <si>
    <t>Hydrogen for propanol</t>
  </si>
  <si>
    <t>Carbon dioxide for ethylene</t>
  </si>
  <si>
    <t>Hydrogen for ethylene</t>
  </si>
  <si>
    <t>Impact category</t>
  </si>
  <si>
    <t>Unit</t>
  </si>
  <si>
    <t>Total</t>
  </si>
  <si>
    <t>Electricity, high voltage {RoW}| electricity production, wind, &lt;1MW turbine, onshore | Cut-off, S</t>
  </si>
  <si>
    <t>Global warming</t>
  </si>
  <si>
    <t>kg CO2 eq</t>
  </si>
  <si>
    <t>Electricity, high voltage {ASCC}| electricity production, wind, &lt;1MW turbine, onshore | Cut-off, S</t>
  </si>
  <si>
    <t>Electricity, high voltage {AT}| electricity production, wind, &lt;1MW turbine, onshore | Cut-off, S</t>
  </si>
  <si>
    <t>Electricity, high voltage {AU}| electricity production, wind, &lt;1MW turbine, onshore | Cut-off, S</t>
  </si>
  <si>
    <t>Electricity, high voltage {BE}| electricity production, wind, &lt;1MW turbine, onshore | Cut-off, S</t>
  </si>
  <si>
    <t>Electricity, high voltage {BG}| electricity production, wind, &lt;1MW turbine, onshore | Cut-off, S</t>
  </si>
  <si>
    <t>Electricity, high voltage {BR}| electricity production, wind, &lt;1MW turbine, onshore | Cut-off, S</t>
  </si>
  <si>
    <t>Electricity, high voltage {CA-AB}| electricity production, wind, &lt;1MW turbine, onshore | Cut-off, S</t>
  </si>
  <si>
    <t>Electricity, high voltage {CA-BC}| electricity production, wind, &lt;1MW turbine, onshore | Cut-off, S</t>
  </si>
  <si>
    <t>Electricity, high voltage {CA-MB}| electricity production, wind, &lt;1MW turbine, onshore | Cut-off, S</t>
  </si>
  <si>
    <t>Electricity, high voltage {CA-NB}| electricity production, wind, &lt;1MW turbine, onshore | Cut-off, S</t>
  </si>
  <si>
    <t>Electricity, high voltage {CA-NF}| electricity production, wind, &lt;1MW turbine, onshore | Cut-off, S</t>
  </si>
  <si>
    <t>Electricity, high voltage {CA-NS}| electricity production, wind, &lt;1MW turbine, onshore | Cut-off, S</t>
  </si>
  <si>
    <t>Electricity, high voltage {CA-NT}| electricity production, wind, &lt;1MW turbine, onshore | Cut-off, S</t>
  </si>
  <si>
    <t>Electricity, high voltage {CA-ON}| electricity production, wind, &lt;1MW turbine, onshore | Cut-off, S</t>
  </si>
  <si>
    <t>Electricity, high voltage {CA-PE}| electricity production, wind, &lt;1MW turbine, onshore | Cut-off, S</t>
  </si>
  <si>
    <t>Electricity, high voltage {CA-QC}| electricity production, wind, &lt;1MW turbine, onshore | Cut-off, S</t>
  </si>
  <si>
    <t>Electricity, high voltage {CA-SK}| electricity production, wind, &lt;1MW turbine, onshore | Cut-off, S</t>
  </si>
  <si>
    <t>Electricity, high voltage {CA-YK}| electricity production, wind, &lt;1MW turbine, onshore | Cut-off, S</t>
  </si>
  <si>
    <t>Electricity, high voltage {CH}| electricity production, wind, &lt;1MW turbine, onshore | Cut-off, S</t>
  </si>
  <si>
    <t>Electricity, high voltage {CL}| electricity production, wind, &lt;1MW turbine, onshore | Cut-off, S</t>
  </si>
  <si>
    <t>Electricity, high voltage {CN-AH}| electricity production, wind, &lt;1MW turbine, onshore | Cut-off, S</t>
  </si>
  <si>
    <t>Electricity, high voltage {CN-BJ}| electricity production, wind, &lt;1MW turbine, onshore | Cut-off, S</t>
  </si>
  <si>
    <t>Electricity, high voltage {CN-CQ}| electricity production, wind, &lt;1MW turbine, onshore | Cut-off, S</t>
  </si>
  <si>
    <t>Electricity, high voltage {CN-FJ}| electricity production, wind, &lt;1MW turbine, onshore | Cut-off, S</t>
  </si>
  <si>
    <t>Electricity, high voltage {CN-GD}| electricity production, wind, &lt;1MW turbine, onshore | Cut-off, S</t>
  </si>
  <si>
    <t>Electricity, high voltage {CN-GS}| electricity production, wind, &lt;1MW turbine, onshore | Cut-off, S</t>
  </si>
  <si>
    <t>Electricity, high voltage {CN-GX}| electricity production, wind, &lt;1MW turbine, onshore | Cut-off, S</t>
  </si>
  <si>
    <t>Electricity, high voltage {CN-GZ}| electricity production, wind, &lt;1MW turbine, onshore | Cut-off, S</t>
  </si>
  <si>
    <t>Electricity, high voltage {CN-HA}| electricity production, wind, &lt;1MW turbine, onshore | Cut-off, S</t>
  </si>
  <si>
    <t>Electricity, high voltage {CN-HB}| electricity production, wind, &lt;1MW turbine, onshore | Cut-off, S</t>
  </si>
  <si>
    <t>Electricity, high voltage {CN-HE}| electricity production, wind, &lt;1MW turbine, onshore | Cut-off, S</t>
  </si>
  <si>
    <t>Electricity, high voltage {CN-HL}| electricity production, wind, &lt;1MW turbine, onshore | Cut-off, S</t>
  </si>
  <si>
    <t>Electricity, high voltage {CN-HN}| electricity production, wind, &lt;1MW turbine, onshore | Cut-off, S</t>
  </si>
  <si>
    <t>Electricity, high voltage {CN-HU}| electricity production, wind, &lt;1MW turbine, onshore | Cut-off, S</t>
  </si>
  <si>
    <t>Electricity, high voltage {CN-JL}| electricity production, wind, &lt;1MW turbine, onshore | Cut-off, S</t>
  </si>
  <si>
    <t>Electricity, high voltage {CN-JS}| electricity production, wind, &lt;1MW turbine, onshore | Cut-off, S</t>
  </si>
  <si>
    <t>Electricity, high voltage {CN-JX}| electricity production, wind, &lt;1MW turbine, onshore | Cut-off, S</t>
  </si>
  <si>
    <t>Electricity, high voltage {CN-LN}| electricity production, wind, &lt;1MW turbine, onshore | Cut-off, S</t>
  </si>
  <si>
    <t>Electricity, high voltage {CN-NM}| electricity production, wind, &lt;1MW turbine, onshore | Cut-off, S</t>
  </si>
  <si>
    <t>Electricity, high voltage {CN-NX}| electricity production, wind, &lt;1MW turbine, onshore | Cut-off, S</t>
  </si>
  <si>
    <t>Electricity, high voltage {CN-QH}| electricity production, wind, &lt;1MW turbine, onshore | Cut-off, S</t>
  </si>
  <si>
    <t>Electricity, high voltage {CN-SA}| electricity production, wind, &lt;1MW turbine, onshore | Cut-off, S</t>
  </si>
  <si>
    <t>Electricity, high voltage {CN-SC}| electricity production, wind, &lt;1MW turbine, onshore | Cut-off, S</t>
  </si>
  <si>
    <t>Electricity, high voltage {CN-SD}| electricity production, wind, &lt;1MW turbine, onshore | Cut-off, S</t>
  </si>
  <si>
    <t>Electricity, high voltage {CN-SH}| electricity production, wind, &lt;1MW turbine, onshore | Cut-off, S</t>
  </si>
  <si>
    <t>Electricity, high voltage {CN-SX}| electricity production, wind, &lt;1MW turbine, onshore | Cut-off, S</t>
  </si>
  <si>
    <t>Electricity, high voltage {CN-TJ}| electricity production, wind, &lt;1MW turbine, onshore | Cut-off, S</t>
  </si>
  <si>
    <t>Electricity, high voltage {CN-XJ}| electricity production, wind, &lt;1MW turbine, onshore | Cut-off, S</t>
  </si>
  <si>
    <t>Electricity, high voltage {CN-YN}| electricity production, wind, &lt;1MW turbine, onshore | Cut-off, S</t>
  </si>
  <si>
    <t>Electricity, high voltage {CN-ZJ}| electricity production, wind, &lt;1MW turbine, onshore | Cut-off, S</t>
  </si>
  <si>
    <t>Electricity, high voltage {CN}| electricity production, wind, &lt;1MW turbine, onshore | Cut-off, S</t>
  </si>
  <si>
    <t>Electricity, high voltage {CY}| electricity production, wind, &lt;1MW turbine, onshore | Cut-off, S</t>
  </si>
  <si>
    <t>Electricity, high voltage {CZ}| electricity production, wind, &lt;1MW turbine, onshore | Cut-off, S</t>
  </si>
  <si>
    <t>Electricity, high voltage {DE}| electricity production, wind, &lt;1MW turbine, onshore | Cut-off, S</t>
  </si>
  <si>
    <t>Electricity, high voltage {DK}| electricity production, wind, &lt;1MW turbine, onshore | Cut-off, S</t>
  </si>
  <si>
    <t>Electricity, high voltage {EE}| electricity production, wind, &lt;1MW turbine, onshore | Cut-off, S</t>
  </si>
  <si>
    <t>Electricity, high voltage {ES}| electricity production, wind, &lt;1MW turbine, onshore | Cut-off, S</t>
  </si>
  <si>
    <t>Electricity, high voltage {FI}| electricity production, wind, &lt;1MW turbine, onshore | Cut-off, S</t>
  </si>
  <si>
    <t>Electricity, high voltage {FR}| electricity production, wind, &lt;1MW turbine, onshore | Cut-off, S</t>
  </si>
  <si>
    <t>Electricity, high voltage {GB}| electricity production, wind, &lt;1MW turbine, onshore | Cut-off, S</t>
  </si>
  <si>
    <t>Electricity, high voltage {GR}| electricity production, wind, &lt;1MW turbine, onshore | Cut-off, S</t>
  </si>
  <si>
    <t>Electricity, high voltage {HICC}| electricity production, wind, &lt;1MW turbine, onshore | Cut-off, S</t>
  </si>
  <si>
    <t>Electricity, high voltage {HR}| electricity production, wind, &lt;1MW turbine, onshore | Cut-off, S</t>
  </si>
  <si>
    <t>Electricity, high voltage {HU}| electricity production, wind, &lt;1MW turbine, onshore | Cut-off, S</t>
  </si>
  <si>
    <t>Electricity, high voltage {ID}| electricity production, wind, &lt;1MW turbine, onshore | Cut-off, S</t>
  </si>
  <si>
    <t>Electricity, high voltage {IE}| electricity production, wind, &lt;1MW turbine, onshore | Cut-off, S</t>
  </si>
  <si>
    <t>Electricity, high voltage {IR}| electricity production, wind, &lt;1MW turbine, onshore | Cut-off, S</t>
  </si>
  <si>
    <t>Electricity, high voltage {IT}| electricity production, wind, &lt;1MW turbine, onshore | Cut-off, S</t>
  </si>
  <si>
    <t>Electricity, high voltage {JP}| electricity production, wind, &lt;1MW turbine, onshore | Cut-off, S</t>
  </si>
  <si>
    <t>Electricity, high voltage {KR}| electricity production, wind, &lt;1MW turbine, onshore | Cut-off, S</t>
  </si>
  <si>
    <t>Electricity, high voltage {LT}| electricity production, wind, &lt;1MW turbine, onshore | Cut-off, S</t>
  </si>
  <si>
    <t>Electricity, high voltage {LU}| electricity production, wind, &lt;1MW turbine, onshore | Cut-off, S</t>
  </si>
  <si>
    <t>Electricity, high voltage {LV}| electricity production, wind, &lt;1MW turbine, onshore | Cut-off, S</t>
  </si>
  <si>
    <t>Electricity, high voltage {MRO, US only}| electricity production, wind, &lt;1MW turbine, onshore | Cut-off, S</t>
  </si>
  <si>
    <t>Electricity, high voltage {MX}| electricity production, wind, &lt;1MW turbine, onshore | Cut-off, S</t>
  </si>
  <si>
    <t>Electricity, high voltage {NL}| electricity production, wind, &lt;1MW turbine, onshore | Cut-off, S</t>
  </si>
  <si>
    <t>Electricity, high voltage {NO}| electricity production, wind, &lt;1MW turbine, onshore | Cut-off, S</t>
  </si>
  <si>
    <t>Electricity, high voltage {NPCC, US only}| electricity production, wind, &lt;1MW turbine, onshore | Cut-off, S</t>
  </si>
  <si>
    <t>Electricity, high voltage {PE}| electricity production, wind, &lt;1MW turbine, onshore | Cut-off, S</t>
  </si>
  <si>
    <t>Electricity, high voltage {PL}| electricity production, wind, &lt;1MW turbine, onshore | Cut-off, S</t>
  </si>
  <si>
    <t>Electricity, high voltage {PT}| electricity production, wind, &lt;1MW turbine, onshore | Cut-off, S</t>
  </si>
  <si>
    <t>Electricity, high voltage {RFC}| electricity production, wind, &lt;1MW turbine, onshore | Cut-off, S</t>
  </si>
  <si>
    <t>Electricity, high voltage {RO}| electricity production, wind, &lt;1MW turbine, onshore | Cut-off, S</t>
  </si>
  <si>
    <t>Electricity, high voltage {RU}| electricity production, wind, &lt;1MW turbine, onshore | Cut-off, S</t>
  </si>
  <si>
    <t>Electricity, high voltage {SE}| electricity production, wind, &lt;1MW turbine, onshore | Cut-off, S</t>
  </si>
  <si>
    <t>Electricity, high voltage {SERC}| electricity production, wind, &lt;1MW turbine, onshore | Cut-off, S</t>
  </si>
  <si>
    <t>Electricity, high voltage {SK}| electricity production, wind, &lt;1MW turbine, onshore | Cut-off, S</t>
  </si>
  <si>
    <t>Electricity, high voltage {SPP}| electricity production, wind, &lt;1MW turbine, onshore | Cut-off, S</t>
  </si>
  <si>
    <t>Electricity, high voltage {TR}| electricity production, wind, &lt;1MW turbine, onshore | Cut-off, S</t>
  </si>
  <si>
    <t>Electricity, high voltage {TRE}| electricity production, wind, &lt;1MW turbine, onshore | Cut-off, S</t>
  </si>
  <si>
    <t>Electricity, high voltage {TW}| electricity production, wind, &lt;1MW turbine, onshore | Cut-off, S</t>
  </si>
  <si>
    <t>Electricity, high voltage {UA}| electricity production, wind, &lt;1MW turbine, onshore | Cut-off, S</t>
  </si>
  <si>
    <t>Electricity, high voltage {WECC, US only}| electricity production, wind, &lt;1MW turbine, onshore | Cut-off, S</t>
  </si>
  <si>
    <t>Electricity, high voltage {ZA}| electricity production, wind, &lt;1MW turbine, onshore | Cut-off, S</t>
  </si>
  <si>
    <t>Minimum</t>
  </si>
  <si>
    <t>Maximum</t>
  </si>
  <si>
    <t>Average</t>
  </si>
  <si>
    <t>Electricity required (kWh)</t>
  </si>
  <si>
    <t>Checking</t>
  </si>
  <si>
    <t>Real amounts required (kg)</t>
  </si>
  <si>
    <t>Ethylene (kg/kg propanol)</t>
  </si>
  <si>
    <t>1 kg of ethyelne</t>
  </si>
  <si>
    <t>Carbon dioxide</t>
  </si>
  <si>
    <t>Hydrogen</t>
  </si>
  <si>
    <t>kg/kg ethylene</t>
  </si>
  <si>
    <t>Total propanol impact</t>
  </si>
  <si>
    <t>Electricity, high voltage {GLO}| market group for | Cut-off, S</t>
  </si>
  <si>
    <t>BAU impact</t>
  </si>
  <si>
    <t>Electricity, high voltage {ASCC}| market for | Cut-off, S</t>
  </si>
  <si>
    <t>Electricity, high voltage {AT}| market for | Cut-off, S</t>
  </si>
  <si>
    <t>Electricity, high voltage {AU}| market for | Cut-off, S</t>
  </si>
  <si>
    <t>Electricity, high voltage {BA}| market for | Cut-off, S</t>
  </si>
  <si>
    <t>Electricity, high voltage {BE}| market for | Cut-off, S</t>
  </si>
  <si>
    <t>Electricity, high voltage {BG}| market for | Cut-off, S</t>
  </si>
  <si>
    <t>Electricity, high voltage {BR}| market for | Cut-off, S</t>
  </si>
  <si>
    <t>Electricity, high voltage {CA-AB}| market for | Cut-off, S</t>
  </si>
  <si>
    <t>Electricity, high voltage {CA-BC}| market for | Cut-off, S</t>
  </si>
  <si>
    <t>Electricity, high voltage {CA-MB}| market for | Cut-off, S</t>
  </si>
  <si>
    <t>Electricity, high voltage {CA-NB}| market for | Cut-off, S</t>
  </si>
  <si>
    <t>Electricity, high voltage {CA-NF}| market for | Cut-off, S</t>
  </si>
  <si>
    <t>Electricity, high voltage {CA-NS}| market for | Cut-off, S</t>
  </si>
  <si>
    <t>Electricity, high voltage {CA-NT}| market for | Cut-off, S</t>
  </si>
  <si>
    <t>Electricity, high voltage {CA-NU}| market for | Cut-off, S</t>
  </si>
  <si>
    <t>Electricity, high voltage {CA-ON}| market for | Cut-off, S</t>
  </si>
  <si>
    <t>Electricity, high voltage {CA-PE}| market for | Cut-off, S</t>
  </si>
  <si>
    <t>Electricity, high voltage {CA-QC}| market for | Cut-off, S</t>
  </si>
  <si>
    <t>Electricity, high voltage {CA-SK}| market for | Cut-off, S</t>
  </si>
  <si>
    <t>Electricity, high voltage {CA-YK}| market for | Cut-off, S</t>
  </si>
  <si>
    <t>Electricity, high voltage {CH}| market for | Cut-off, S</t>
  </si>
  <si>
    <t>Electricity, high voltage {CL}| market for | Cut-off, S</t>
  </si>
  <si>
    <t>Electricity, high voltage {CN}| market for | Cut-off, S</t>
  </si>
  <si>
    <t>Electricity, high voltage {CSG}| market for | Cut-off, S</t>
  </si>
  <si>
    <t>Electricity, high voltage {CY}| market for | Cut-off, S</t>
  </si>
  <si>
    <t>Electricity, high voltage {CZ}| market for | Cut-off, S</t>
  </si>
  <si>
    <t>Electricity, high voltage {DE}| market for | Cut-off, S</t>
  </si>
  <si>
    <t>Electricity, high voltage {DK}| market for | Cut-off, S</t>
  </si>
  <si>
    <t>Electricity, high voltage {EE}| market for | Cut-off, S</t>
  </si>
  <si>
    <t>Electricity, high voltage {ES}| market for | Cut-off, S</t>
  </si>
  <si>
    <t>Electricity, high voltage {FI}| market for | Cut-off, S</t>
  </si>
  <si>
    <t>Electricity, high voltage {FR}| market for | Cut-off, S</t>
  </si>
  <si>
    <t>Electricity, high voltage {FRCC}| market for | Cut-off, S</t>
  </si>
  <si>
    <t>Electricity, high voltage {GB}| market for | Cut-off, S</t>
  </si>
  <si>
    <t>Electricity, high voltage {GR}| market for | Cut-off, S</t>
  </si>
  <si>
    <t>Electricity, high voltage {HICC}| market for | Cut-off, S</t>
  </si>
  <si>
    <t>Electricity, high voltage {HR}| market for | Cut-off, S</t>
  </si>
  <si>
    <t>Electricity, high voltage {HU}| market for | Cut-off, S</t>
  </si>
  <si>
    <t>Electricity, high voltage {ID}| market for | Cut-off, S</t>
  </si>
  <si>
    <t>Electricity, high voltage {IE}| market for | Cut-off, S</t>
  </si>
  <si>
    <t>Electricity, high voltage {IR}| market for | Cut-off, S</t>
  </si>
  <si>
    <t>Electricity, high voltage {IS}| market for | Cut-off, S</t>
  </si>
  <si>
    <t>Electricity, high voltage {IT}| market for | Cut-off, S</t>
  </si>
  <si>
    <t>Electricity, high voltage {JP}| market for | Cut-off, S</t>
  </si>
  <si>
    <t>Electricity, high voltage {KR}| market for | Cut-off, S</t>
  </si>
  <si>
    <t>Electricity, high voltage {LT}| market for | Cut-off, S</t>
  </si>
  <si>
    <t>Electricity, high voltage {LU}| market for | Cut-off, S</t>
  </si>
  <si>
    <t>Electricity, high voltage {LV}| market for | Cut-off, S</t>
  </si>
  <si>
    <t>Electricity, high voltage {MK}| market for | Cut-off, S</t>
  </si>
  <si>
    <t>Electricity, high voltage {MRO, US only}| market for | Cut-off, S</t>
  </si>
  <si>
    <t>Electricity, high voltage {MT}| market for | Cut-off, S</t>
  </si>
  <si>
    <t>Electricity, high voltage {MX}| market for | Cut-off, S</t>
  </si>
  <si>
    <t>Electricity, high voltage {MY}| market for | Cut-off, S</t>
  </si>
  <si>
    <t>Electricity, high voltage {NL}| market for | Cut-off, S</t>
  </si>
  <si>
    <t>Electricity, high voltage {NO}| market for | Cut-off, S</t>
  </si>
  <si>
    <t>Electricity, high voltage {NPCC, US only}| market for | Cut-off, S</t>
  </si>
  <si>
    <t>Electricity, high voltage {PE}| market for | Cut-off, S</t>
  </si>
  <si>
    <t>Electricity, high voltage {PL}| market for | Cut-off, S</t>
  </si>
  <si>
    <t>Electricity, high voltage {PT}| market for | Cut-off, S</t>
  </si>
  <si>
    <t>Electricity, high voltage {RFC}| market for | Cut-off, S</t>
  </si>
  <si>
    <t>Electricity, high voltage {RO}| market for | Cut-off, S</t>
  </si>
  <si>
    <t>Electricity, high voltage {RoW}| market for | Cut-off, S</t>
  </si>
  <si>
    <t>Electricity, high voltage {RS}| market for | Cut-off, S</t>
  </si>
  <si>
    <t>Electricity, high voltage {RU}| market for | Cut-off, S</t>
  </si>
  <si>
    <t>Electricity, high voltage {SA}| market for | Cut-off, S</t>
  </si>
  <si>
    <t>Electricity, high voltage {SE}| market for | Cut-off, S</t>
  </si>
  <si>
    <t>Electricity, high voltage {SERC}| market for | Cut-off, S</t>
  </si>
  <si>
    <t>Electricity, high voltage {SGCC}| market for | Cut-off, S</t>
  </si>
  <si>
    <t>Electricity, high voltage {SI}| market for | Cut-off, S</t>
  </si>
  <si>
    <t>Electricity, high voltage {SK}| market for | Cut-off, S</t>
  </si>
  <si>
    <t>Electricity, high voltage {SPP}| market for | Cut-off, S</t>
  </si>
  <si>
    <t>Electricity, high voltage {TH}| market for | Cut-off, S</t>
  </si>
  <si>
    <t>Electricity, high voltage {TR}| market for | Cut-off, S</t>
  </si>
  <si>
    <t>Electricity, high voltage {TRE}| market for | Cut-off, S</t>
  </si>
  <si>
    <t>Electricity, high voltage {TW}| market for | Cut-off, S</t>
  </si>
  <si>
    <t>Electricity, high voltage {TZ}| market for | Cut-off, S</t>
  </si>
  <si>
    <t>Electricity, high voltage {UA}| market for | Cut-off, S</t>
  </si>
  <si>
    <t>Electricity, high voltage {WECC, US only}| market for | Cut-off, S</t>
  </si>
  <si>
    <t>Electricity, high voltage {ZA}| market for | Cut-off, 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</si>
</sst>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6">
    <xf numFmtId="0" fontId="0" fillId="0" borderId="0" xfId="0"/>
    <xf numFmtId="11" fontId="0" fillId="0" borderId="0" xfId="0" applyNumberFormat="1"/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0" fontId="0" fillId="0" borderId="0" xfId="0" applyBorder="1"/>
    <xf numFmtId="0" fontId="0" fillId="0" borderId="1" xfId="0" applyBorder="1"/>
    <xf numFmtId="0" fontId="0" fillId="2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1" xfId="0" applyFill="1" applyBorder="1" applyAlignment="1">
      <alignment horizontal="center"/>
    </xf>
    <xf numFmtId="164" fontId="0" fillId="5" borderId="1" xfId="0" applyNumberFormat="1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164" fontId="0" fillId="0" borderId="0" xfId="0" applyNumberFormat="1"/>
  </cellXfs>
  <cellStyles count="2">
    <cellStyle name="Normal" xfId="0" builtinId="0"/>
    <cellStyle name="Normal 3" xfId="1" xr:uid="{19A1AA01-3BCD-45F7-BDC6-E62E95D904C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8F9AD9-1205-46AB-A81C-703279C608B2}">
  <dimension ref="A1:CS61"/>
  <sheetViews>
    <sheetView tabSelected="1" zoomScaleNormal="100" workbookViewId="0">
      <selection activeCell="B34" sqref="B34"/>
    </sheetView>
  </sheetViews>
  <sheetFormatPr defaultRowHeight="15" x14ac:dyDescent="0.25"/>
  <cols>
    <col min="1" max="1" width="89" customWidth="1"/>
    <col min="2" max="2" width="25.85546875" customWidth="1"/>
    <col min="3" max="3" width="23" customWidth="1"/>
    <col min="4" max="4" width="12.28515625" bestFit="1" customWidth="1"/>
    <col min="6" max="6" width="24.5703125" customWidth="1"/>
    <col min="7" max="7" width="14.7109375" customWidth="1"/>
  </cols>
  <sheetData>
    <row r="1" spans="1:7" x14ac:dyDescent="0.25">
      <c r="A1" s="9" t="s">
        <v>12</v>
      </c>
      <c r="B1" s="9" t="s">
        <v>13</v>
      </c>
      <c r="C1" s="9">
        <v>1.5576812000000001E-2</v>
      </c>
      <c r="D1" s="9" t="s">
        <v>14</v>
      </c>
    </row>
    <row r="3" spans="1:7" x14ac:dyDescent="0.25">
      <c r="A3" s="5"/>
      <c r="B3" s="9" t="s">
        <v>112</v>
      </c>
      <c r="C3" s="9" t="s">
        <v>1</v>
      </c>
      <c r="D3" s="9" t="s">
        <v>113</v>
      </c>
      <c r="F3" s="11" t="s">
        <v>115</v>
      </c>
    </row>
    <row r="4" spans="1:7" x14ac:dyDescent="0.25">
      <c r="A4" s="9" t="s">
        <v>0</v>
      </c>
      <c r="B4" s="9">
        <v>0.28199999999999997</v>
      </c>
      <c r="C4" s="9">
        <v>4.3926609000000004E-3</v>
      </c>
      <c r="D4" s="9">
        <f>B4*$C$1</f>
        <v>4.392660984E-3</v>
      </c>
      <c r="F4" s="9">
        <v>0.54149999999999998</v>
      </c>
    </row>
    <row r="5" spans="1:7" x14ac:dyDescent="0.25">
      <c r="A5" s="9" t="s">
        <v>2</v>
      </c>
      <c r="B5" s="9">
        <v>63.372</v>
      </c>
      <c r="C5" s="9">
        <v>0.9871337</v>
      </c>
      <c r="D5" s="9">
        <f>B5*$C$1</f>
        <v>0.98713373006400007</v>
      </c>
      <c r="F5" s="9" t="s">
        <v>116</v>
      </c>
      <c r="G5" s="9" t="s">
        <v>119</v>
      </c>
    </row>
    <row r="6" spans="1:7" x14ac:dyDescent="0.25">
      <c r="A6" s="9" t="s">
        <v>3</v>
      </c>
      <c r="B6" s="9">
        <v>0.28199999999999997</v>
      </c>
      <c r="C6" s="9">
        <v>4.3926609000000004E-3</v>
      </c>
      <c r="D6" s="9">
        <f>B6*$C$1</f>
        <v>4.392660984E-3</v>
      </c>
      <c r="F6" s="5" t="s">
        <v>117</v>
      </c>
      <c r="G6" s="9">
        <v>3.62</v>
      </c>
    </row>
    <row r="7" spans="1:7" x14ac:dyDescent="0.25">
      <c r="A7" s="9" t="s">
        <v>4</v>
      </c>
      <c r="B7" s="9">
        <v>63.372</v>
      </c>
      <c r="C7" s="9">
        <v>0.9871337</v>
      </c>
      <c r="D7" s="9">
        <f>B7*$C$1</f>
        <v>0.98713373006400007</v>
      </c>
      <c r="F7" s="5" t="s">
        <v>118</v>
      </c>
      <c r="G7" s="9">
        <v>0.47399999999999998</v>
      </c>
    </row>
    <row r="9" spans="1:7" x14ac:dyDescent="0.25">
      <c r="A9" s="5"/>
      <c r="B9" s="9" t="s">
        <v>114</v>
      </c>
      <c r="C9" s="9" t="s">
        <v>112</v>
      </c>
      <c r="D9" s="9" t="s">
        <v>1</v>
      </c>
    </row>
    <row r="10" spans="1:7" x14ac:dyDescent="0.25">
      <c r="A10" s="9" t="s">
        <v>5</v>
      </c>
      <c r="B10" s="9">
        <v>0.84719999999999995</v>
      </c>
      <c r="C10" s="9">
        <f>B10*B4</f>
        <v>0.23891039999999997</v>
      </c>
      <c r="D10" s="9">
        <f>C10*$C$1</f>
        <v>3.7214623856447995E-3</v>
      </c>
    </row>
    <row r="11" spans="1:7" x14ac:dyDescent="0.25">
      <c r="A11" s="9" t="s">
        <v>6</v>
      </c>
      <c r="B11" s="9">
        <v>0.1071</v>
      </c>
      <c r="C11" s="9">
        <f>B11*B5</f>
        <v>6.7871411999999998</v>
      </c>
      <c r="D11" s="9">
        <f>C11*$C$1</f>
        <v>0.10572202248985441</v>
      </c>
    </row>
    <row r="12" spans="1:7" x14ac:dyDescent="0.25">
      <c r="A12" s="9" t="s">
        <v>7</v>
      </c>
      <c r="B12" s="10">
        <f>$F$4*G6</f>
        <v>1.9602299999999999</v>
      </c>
      <c r="C12" s="9">
        <f>B12*B6</f>
        <v>0.55278485999999993</v>
      </c>
      <c r="D12" s="9">
        <f>C12*$C$1</f>
        <v>8.6106258406663198E-3</v>
      </c>
    </row>
    <row r="13" spans="1:7" x14ac:dyDescent="0.25">
      <c r="A13" s="9" t="s">
        <v>8</v>
      </c>
      <c r="B13" s="10">
        <f>$F$4*G7</f>
        <v>0.25667099999999998</v>
      </c>
      <c r="C13" s="9">
        <f>B13*B7</f>
        <v>16.265754611999999</v>
      </c>
      <c r="D13" s="9">
        <f>C13*$C$1</f>
        <v>0.25336860162925695</v>
      </c>
    </row>
    <row r="14" spans="1:7" x14ac:dyDescent="0.25">
      <c r="A14" s="12" t="s">
        <v>11</v>
      </c>
      <c r="B14" s="5"/>
      <c r="C14" s="13">
        <f>SUM(C10:C13)</f>
        <v>23.844591072</v>
      </c>
      <c r="D14" s="13">
        <f>SUM(D10:D13)</f>
        <v>0.37142271234542246</v>
      </c>
      <c r="F14" s="15"/>
    </row>
    <row r="15" spans="1:7" x14ac:dyDescent="0.25">
      <c r="A15" s="12" t="s">
        <v>120</v>
      </c>
      <c r="B15" s="5"/>
      <c r="C15" s="5"/>
      <c r="D15" s="13">
        <v>-0.27930755000000002</v>
      </c>
    </row>
    <row r="16" spans="1:7" x14ac:dyDescent="0.25">
      <c r="A16" s="12" t="s">
        <v>122</v>
      </c>
      <c r="B16" s="5"/>
      <c r="C16" s="5"/>
      <c r="D16" s="13">
        <v>4.6039285999999997</v>
      </c>
    </row>
    <row r="17" spans="1:97" x14ac:dyDescent="0.25">
      <c r="A17" s="14"/>
      <c r="B17" s="4"/>
      <c r="C17" s="4"/>
      <c r="D17" s="14"/>
    </row>
    <row r="18" spans="1:97" x14ac:dyDescent="0.25">
      <c r="A18" s="3" t="s">
        <v>9</v>
      </c>
      <c r="B18" t="s">
        <v>10</v>
      </c>
      <c r="C18" t="s">
        <v>15</v>
      </c>
      <c r="D18" t="s">
        <v>16</v>
      </c>
      <c r="E18" t="s">
        <v>17</v>
      </c>
      <c r="F18" t="s">
        <v>18</v>
      </c>
      <c r="G18" t="s">
        <v>19</v>
      </c>
      <c r="H18" t="s">
        <v>20</v>
      </c>
      <c r="I18" t="s">
        <v>21</v>
      </c>
      <c r="J18" t="s">
        <v>22</v>
      </c>
      <c r="K18" t="s">
        <v>23</v>
      </c>
      <c r="L18" t="s">
        <v>24</v>
      </c>
      <c r="M18" t="s">
        <v>25</v>
      </c>
      <c r="N18" t="s">
        <v>26</v>
      </c>
      <c r="O18" t="s">
        <v>27</v>
      </c>
      <c r="P18" t="s">
        <v>28</v>
      </c>
      <c r="Q18" t="s">
        <v>29</v>
      </c>
      <c r="R18" t="s">
        <v>30</v>
      </c>
      <c r="S18" t="s">
        <v>31</v>
      </c>
      <c r="T18" t="s">
        <v>32</v>
      </c>
      <c r="U18" t="s">
        <v>33</v>
      </c>
      <c r="V18" t="s">
        <v>34</v>
      </c>
      <c r="W18" t="s">
        <v>35</v>
      </c>
      <c r="X18" t="s">
        <v>36</v>
      </c>
      <c r="Y18" t="s">
        <v>37</v>
      </c>
      <c r="Z18" t="s">
        <v>38</v>
      </c>
      <c r="AA18" t="s">
        <v>39</v>
      </c>
      <c r="AB18" t="s">
        <v>40</v>
      </c>
      <c r="AC18" t="s">
        <v>41</v>
      </c>
      <c r="AD18" t="s">
        <v>42</v>
      </c>
      <c r="AE18" t="s">
        <v>43</v>
      </c>
      <c r="AF18" t="s">
        <v>44</v>
      </c>
      <c r="AG18" t="s">
        <v>45</v>
      </c>
      <c r="AH18" t="s">
        <v>46</v>
      </c>
      <c r="AI18" t="s">
        <v>47</v>
      </c>
      <c r="AJ18" t="s">
        <v>48</v>
      </c>
      <c r="AK18" t="s">
        <v>49</v>
      </c>
      <c r="AL18" t="s">
        <v>50</v>
      </c>
      <c r="AM18" t="s">
        <v>51</v>
      </c>
      <c r="AN18" t="s">
        <v>52</v>
      </c>
      <c r="AO18" t="s">
        <v>53</v>
      </c>
      <c r="AP18" t="s">
        <v>54</v>
      </c>
      <c r="AQ18" t="s">
        <v>55</v>
      </c>
      <c r="AR18" t="s">
        <v>56</v>
      </c>
      <c r="AS18" t="s">
        <v>57</v>
      </c>
      <c r="AT18" t="s">
        <v>58</v>
      </c>
      <c r="AU18" t="s">
        <v>59</v>
      </c>
      <c r="AV18" t="s">
        <v>60</v>
      </c>
      <c r="AW18" t="s">
        <v>61</v>
      </c>
      <c r="AX18" t="s">
        <v>62</v>
      </c>
      <c r="AY18" t="s">
        <v>63</v>
      </c>
      <c r="AZ18" t="s">
        <v>64</v>
      </c>
      <c r="BA18" t="s">
        <v>65</v>
      </c>
      <c r="BB18" t="s">
        <v>66</v>
      </c>
      <c r="BC18" t="s">
        <v>67</v>
      </c>
      <c r="BD18" t="s">
        <v>68</v>
      </c>
      <c r="BE18" t="s">
        <v>69</v>
      </c>
      <c r="BF18" t="s">
        <v>70</v>
      </c>
      <c r="BG18" t="s">
        <v>71</v>
      </c>
      <c r="BH18" t="s">
        <v>72</v>
      </c>
      <c r="BI18" t="s">
        <v>73</v>
      </c>
      <c r="BJ18" t="s">
        <v>74</v>
      </c>
      <c r="BK18" t="s">
        <v>75</v>
      </c>
      <c r="BL18" t="s">
        <v>76</v>
      </c>
      <c r="BM18" t="s">
        <v>77</v>
      </c>
      <c r="BN18" t="s">
        <v>78</v>
      </c>
      <c r="BO18" t="s">
        <v>79</v>
      </c>
      <c r="BP18" t="s">
        <v>80</v>
      </c>
      <c r="BQ18" t="s">
        <v>81</v>
      </c>
      <c r="BR18" t="s">
        <v>82</v>
      </c>
      <c r="BS18" t="s">
        <v>83</v>
      </c>
      <c r="BT18" t="s">
        <v>84</v>
      </c>
      <c r="BU18" t="s">
        <v>85</v>
      </c>
      <c r="BV18" t="s">
        <v>86</v>
      </c>
      <c r="BW18" t="s">
        <v>87</v>
      </c>
      <c r="BX18" t="s">
        <v>88</v>
      </c>
      <c r="BY18" t="s">
        <v>89</v>
      </c>
      <c r="BZ18" t="s">
        <v>90</v>
      </c>
      <c r="CA18" t="s">
        <v>91</v>
      </c>
      <c r="CB18" t="s">
        <v>92</v>
      </c>
      <c r="CC18" t="s">
        <v>93</v>
      </c>
      <c r="CD18" t="s">
        <v>94</v>
      </c>
      <c r="CE18" t="s">
        <v>95</v>
      </c>
      <c r="CF18" t="s">
        <v>96</v>
      </c>
      <c r="CG18" t="s">
        <v>97</v>
      </c>
      <c r="CH18" t="s">
        <v>12</v>
      </c>
      <c r="CI18" t="s">
        <v>98</v>
      </c>
      <c r="CJ18" t="s">
        <v>99</v>
      </c>
      <c r="CK18" t="s">
        <v>100</v>
      </c>
      <c r="CL18" t="s">
        <v>101</v>
      </c>
      <c r="CM18" t="s">
        <v>102</v>
      </c>
      <c r="CN18" t="s">
        <v>103</v>
      </c>
      <c r="CO18" t="s">
        <v>104</v>
      </c>
      <c r="CP18" t="s">
        <v>105</v>
      </c>
      <c r="CQ18" t="s">
        <v>106</v>
      </c>
      <c r="CR18" t="s">
        <v>107</v>
      </c>
      <c r="CS18" t="s">
        <v>108</v>
      </c>
    </row>
    <row r="19" spans="1:97" x14ac:dyDescent="0.25">
      <c r="A19" s="3" t="s">
        <v>13</v>
      </c>
      <c r="B19" t="s">
        <v>14</v>
      </c>
      <c r="C19">
        <v>3.2456621999999999E-3</v>
      </c>
      <c r="D19">
        <v>4.3576748999999996E-3</v>
      </c>
      <c r="E19">
        <v>3.2844279999999998E-3</v>
      </c>
      <c r="F19">
        <v>3.8943943999999999E-3</v>
      </c>
      <c r="G19">
        <v>4.3632528999999996E-3</v>
      </c>
      <c r="H19">
        <v>3.8573090000000002E-3</v>
      </c>
      <c r="I19">
        <v>4.2601076000000002E-3</v>
      </c>
      <c r="J19">
        <v>4.2601076000000002E-3</v>
      </c>
      <c r="K19">
        <v>4.2601076000000002E-3</v>
      </c>
      <c r="L19">
        <v>4.2601076000000002E-3</v>
      </c>
      <c r="M19">
        <v>4.2601076000000002E-3</v>
      </c>
      <c r="N19">
        <v>4.2601076000000002E-3</v>
      </c>
      <c r="O19">
        <v>4.2601076000000002E-3</v>
      </c>
      <c r="P19">
        <v>4.2601076000000002E-3</v>
      </c>
      <c r="Q19">
        <v>4.2601076000000002E-3</v>
      </c>
      <c r="R19">
        <v>2.8918453000000002E-3</v>
      </c>
      <c r="S19">
        <v>4.2601076000000002E-3</v>
      </c>
      <c r="T19">
        <v>4.2601076000000002E-3</v>
      </c>
      <c r="U19">
        <v>4.5763668000000004E-3</v>
      </c>
      <c r="V19">
        <v>3.6095391000000002E-3</v>
      </c>
      <c r="W19">
        <v>5.6927148999999996E-3</v>
      </c>
      <c r="X19">
        <v>5.6927148999999996E-3</v>
      </c>
      <c r="Y19">
        <v>5.6927150000000001E-3</v>
      </c>
      <c r="Z19">
        <v>5.6927148999999996E-3</v>
      </c>
      <c r="AA19">
        <v>5.6927148999999996E-3</v>
      </c>
      <c r="AB19">
        <v>5.6927150000000001E-3</v>
      </c>
      <c r="AC19">
        <v>5.6927148999999996E-3</v>
      </c>
      <c r="AD19">
        <v>5.6927148999999996E-3</v>
      </c>
      <c r="AE19">
        <v>5.6927150000000001E-3</v>
      </c>
      <c r="AF19">
        <v>5.6927148999999996E-3</v>
      </c>
      <c r="AG19">
        <v>5.6927150000000001E-3</v>
      </c>
      <c r="AH19">
        <v>5.6927148999999996E-3</v>
      </c>
      <c r="AI19">
        <v>5.6927150000000001E-3</v>
      </c>
      <c r="AJ19">
        <v>5.6927148999999996E-3</v>
      </c>
      <c r="AK19">
        <v>5.6927148999999996E-3</v>
      </c>
      <c r="AL19">
        <v>5.6927148999999996E-3</v>
      </c>
      <c r="AM19">
        <v>5.6927148999999996E-3</v>
      </c>
      <c r="AN19">
        <v>5.6927150000000001E-3</v>
      </c>
      <c r="AO19">
        <v>5.6927148999999996E-3</v>
      </c>
      <c r="AP19">
        <v>5.6927148999999996E-3</v>
      </c>
      <c r="AQ19">
        <v>5.6927148999999996E-3</v>
      </c>
      <c r="AR19">
        <v>5.6927148999999996E-3</v>
      </c>
      <c r="AS19">
        <v>5.6927148999999996E-3</v>
      </c>
      <c r="AT19">
        <v>5.6927150000000001E-3</v>
      </c>
      <c r="AU19">
        <v>5.6927148999999996E-3</v>
      </c>
      <c r="AV19">
        <v>5.6927148999999996E-3</v>
      </c>
      <c r="AW19">
        <v>5.6927148999999996E-3</v>
      </c>
      <c r="AX19">
        <v>5.6927150000000001E-3</v>
      </c>
      <c r="AY19">
        <v>5.6927148999999996E-3</v>
      </c>
      <c r="AZ19">
        <v>5.6927148999999996E-3</v>
      </c>
      <c r="BA19">
        <v>7.6328734999999998E-3</v>
      </c>
      <c r="BB19">
        <v>6.1740073999999997E-3</v>
      </c>
      <c r="BC19">
        <v>4.8679936000000004E-3</v>
      </c>
      <c r="BD19">
        <v>4.8125412999999997E-3</v>
      </c>
      <c r="BE19">
        <v>3.1564700999999998E-3</v>
      </c>
      <c r="BF19">
        <v>4.8276161999999999E-3</v>
      </c>
      <c r="BG19">
        <v>3.5889638E-3</v>
      </c>
      <c r="BH19">
        <v>4.5408330000000002E-3</v>
      </c>
      <c r="BI19">
        <v>3.9032205E-3</v>
      </c>
      <c r="BJ19">
        <v>3.3586764999999998E-3</v>
      </c>
      <c r="BK19">
        <v>3.5383353999999998E-3</v>
      </c>
      <c r="BL19">
        <v>3.2456621999999999E-3</v>
      </c>
      <c r="BM19">
        <v>4.2613447999999996E-3</v>
      </c>
      <c r="BN19">
        <v>3.3279364999999998E-3</v>
      </c>
      <c r="BO19">
        <v>2.1756024000000001E-3</v>
      </c>
      <c r="BP19">
        <v>3.3757898E-3</v>
      </c>
      <c r="BQ19">
        <v>3.7536276E-3</v>
      </c>
      <c r="BR19">
        <v>4.7312519000000004E-3</v>
      </c>
      <c r="BS19">
        <v>4.1981809999999996E-3</v>
      </c>
      <c r="BT19">
        <v>4.0892117000000004E-3</v>
      </c>
      <c r="BU19">
        <v>3.2379558000000001E-3</v>
      </c>
      <c r="BV19">
        <v>4.6732746999999996E-3</v>
      </c>
      <c r="BW19">
        <v>4.6459450999999999E-3</v>
      </c>
      <c r="BX19">
        <v>3.2456621999999999E-3</v>
      </c>
      <c r="BY19">
        <v>2.8743063999999998E-3</v>
      </c>
      <c r="BZ19">
        <v>3.7380566999999998E-3</v>
      </c>
      <c r="CA19">
        <v>3.5189705999999999E-3</v>
      </c>
      <c r="CB19">
        <v>3.2456621999999999E-3</v>
      </c>
      <c r="CC19">
        <v>5.4390052999999999E-3</v>
      </c>
      <c r="CD19">
        <v>4.0970316000000003E-3</v>
      </c>
      <c r="CE19">
        <v>3.4354492000000002E-3</v>
      </c>
      <c r="CF19">
        <v>3.2456621999999999E-3</v>
      </c>
      <c r="CG19">
        <v>5.6203212999999998E-3</v>
      </c>
      <c r="CH19">
        <v>4.3268921000000002E-3</v>
      </c>
      <c r="CI19">
        <v>2.6107232000000001E-2</v>
      </c>
      <c r="CJ19">
        <v>4.0710420000000004E-3</v>
      </c>
      <c r="CK19">
        <v>3.2456621999999999E-3</v>
      </c>
      <c r="CL19">
        <v>3.8943943999999999E-3</v>
      </c>
      <c r="CM19">
        <v>3.2456621999999999E-3</v>
      </c>
      <c r="CN19">
        <v>3.0655741000000002E-3</v>
      </c>
      <c r="CO19">
        <v>3.2456621999999999E-3</v>
      </c>
      <c r="CP19">
        <v>3.4712602E-3</v>
      </c>
      <c r="CQ19">
        <v>7.4642583999999998E-3</v>
      </c>
      <c r="CR19">
        <v>3.2456621999999999E-3</v>
      </c>
      <c r="CS19">
        <v>7.5512425000000003E-3</v>
      </c>
    </row>
    <row r="20" spans="1:97" x14ac:dyDescent="0.25">
      <c r="C20">
        <f>C19*3600/1000</f>
        <v>1.1684383919999999E-2</v>
      </c>
      <c r="D20">
        <f t="shared" ref="D20:BO20" si="0">D19*3600/1000</f>
        <v>1.5687629639999999E-2</v>
      </c>
      <c r="E20">
        <f t="shared" si="0"/>
        <v>1.1823940799999998E-2</v>
      </c>
      <c r="F20">
        <f t="shared" si="0"/>
        <v>1.4019819839999999E-2</v>
      </c>
      <c r="G20">
        <f t="shared" si="0"/>
        <v>1.5707710439999998E-2</v>
      </c>
      <c r="H20">
        <f t="shared" si="0"/>
        <v>1.3886312400000001E-2</v>
      </c>
      <c r="I20">
        <f t="shared" si="0"/>
        <v>1.533638736E-2</v>
      </c>
      <c r="J20">
        <f t="shared" si="0"/>
        <v>1.533638736E-2</v>
      </c>
      <c r="K20">
        <f t="shared" si="0"/>
        <v>1.533638736E-2</v>
      </c>
      <c r="L20">
        <f t="shared" si="0"/>
        <v>1.533638736E-2</v>
      </c>
      <c r="M20">
        <f t="shared" si="0"/>
        <v>1.533638736E-2</v>
      </c>
      <c r="N20">
        <f t="shared" si="0"/>
        <v>1.533638736E-2</v>
      </c>
      <c r="O20">
        <f t="shared" si="0"/>
        <v>1.533638736E-2</v>
      </c>
      <c r="P20">
        <f t="shared" si="0"/>
        <v>1.533638736E-2</v>
      </c>
      <c r="Q20">
        <f t="shared" si="0"/>
        <v>1.533638736E-2</v>
      </c>
      <c r="R20">
        <f t="shared" si="0"/>
        <v>1.041064308E-2</v>
      </c>
      <c r="S20">
        <f t="shared" si="0"/>
        <v>1.533638736E-2</v>
      </c>
      <c r="T20">
        <f t="shared" si="0"/>
        <v>1.533638736E-2</v>
      </c>
      <c r="U20">
        <f t="shared" si="0"/>
        <v>1.6474920480000002E-2</v>
      </c>
      <c r="V20">
        <f t="shared" si="0"/>
        <v>1.299434076E-2</v>
      </c>
      <c r="W20">
        <f t="shared" si="0"/>
        <v>2.0493773639999997E-2</v>
      </c>
      <c r="X20">
        <f t="shared" si="0"/>
        <v>2.0493773639999997E-2</v>
      </c>
      <c r="Y20">
        <f t="shared" si="0"/>
        <v>2.0493774000000003E-2</v>
      </c>
      <c r="Z20">
        <f t="shared" si="0"/>
        <v>2.0493773639999997E-2</v>
      </c>
      <c r="AA20">
        <f t="shared" si="0"/>
        <v>2.0493773639999997E-2</v>
      </c>
      <c r="AB20">
        <f t="shared" si="0"/>
        <v>2.0493774000000003E-2</v>
      </c>
      <c r="AC20">
        <f t="shared" si="0"/>
        <v>2.0493773639999997E-2</v>
      </c>
      <c r="AD20">
        <f t="shared" si="0"/>
        <v>2.0493773639999997E-2</v>
      </c>
      <c r="AE20">
        <f t="shared" si="0"/>
        <v>2.0493774000000003E-2</v>
      </c>
      <c r="AF20">
        <f t="shared" si="0"/>
        <v>2.0493773639999997E-2</v>
      </c>
      <c r="AG20">
        <f t="shared" si="0"/>
        <v>2.0493774000000003E-2</v>
      </c>
      <c r="AH20">
        <f t="shared" si="0"/>
        <v>2.0493773639999997E-2</v>
      </c>
      <c r="AI20">
        <f t="shared" si="0"/>
        <v>2.0493774000000003E-2</v>
      </c>
      <c r="AJ20">
        <f t="shared" si="0"/>
        <v>2.0493773639999997E-2</v>
      </c>
      <c r="AK20">
        <f t="shared" si="0"/>
        <v>2.0493773639999997E-2</v>
      </c>
      <c r="AL20">
        <f t="shared" si="0"/>
        <v>2.0493773639999997E-2</v>
      </c>
      <c r="AM20">
        <f t="shared" si="0"/>
        <v>2.0493773639999997E-2</v>
      </c>
      <c r="AN20">
        <f t="shared" si="0"/>
        <v>2.0493774000000003E-2</v>
      </c>
      <c r="AO20">
        <f t="shared" si="0"/>
        <v>2.0493773639999997E-2</v>
      </c>
      <c r="AP20">
        <f t="shared" si="0"/>
        <v>2.0493773639999997E-2</v>
      </c>
      <c r="AQ20">
        <f t="shared" si="0"/>
        <v>2.0493773639999997E-2</v>
      </c>
      <c r="AR20">
        <f t="shared" si="0"/>
        <v>2.0493773639999997E-2</v>
      </c>
      <c r="AS20">
        <f t="shared" si="0"/>
        <v>2.0493773639999997E-2</v>
      </c>
      <c r="AT20">
        <f t="shared" si="0"/>
        <v>2.0493774000000003E-2</v>
      </c>
      <c r="AU20">
        <f t="shared" si="0"/>
        <v>2.0493773639999997E-2</v>
      </c>
      <c r="AV20">
        <f t="shared" si="0"/>
        <v>2.0493773639999997E-2</v>
      </c>
      <c r="AW20">
        <f t="shared" si="0"/>
        <v>2.0493773639999997E-2</v>
      </c>
      <c r="AX20">
        <f t="shared" si="0"/>
        <v>2.0493774000000003E-2</v>
      </c>
      <c r="AY20">
        <f t="shared" si="0"/>
        <v>2.0493773639999997E-2</v>
      </c>
      <c r="AZ20">
        <f t="shared" si="0"/>
        <v>2.0493773639999997E-2</v>
      </c>
      <c r="BA20">
        <f t="shared" si="0"/>
        <v>2.7478344599999999E-2</v>
      </c>
      <c r="BB20">
        <f t="shared" si="0"/>
        <v>2.2226426639999998E-2</v>
      </c>
      <c r="BC20">
        <f t="shared" si="0"/>
        <v>1.7524776960000002E-2</v>
      </c>
      <c r="BD20">
        <f t="shared" si="0"/>
        <v>1.7325148679999999E-2</v>
      </c>
      <c r="BE20">
        <f t="shared" si="0"/>
        <v>1.1363292359999999E-2</v>
      </c>
      <c r="BF20">
        <f t="shared" si="0"/>
        <v>1.7379418319999999E-2</v>
      </c>
      <c r="BG20">
        <f t="shared" si="0"/>
        <v>1.2920269680000001E-2</v>
      </c>
      <c r="BH20">
        <f t="shared" si="0"/>
        <v>1.6346998800000002E-2</v>
      </c>
      <c r="BI20">
        <f t="shared" si="0"/>
        <v>1.40515938E-2</v>
      </c>
      <c r="BJ20">
        <f t="shared" si="0"/>
        <v>1.2091235399999999E-2</v>
      </c>
      <c r="BK20">
        <f t="shared" si="0"/>
        <v>1.2738007439999999E-2</v>
      </c>
      <c r="BL20">
        <f t="shared" si="0"/>
        <v>1.1684383919999999E-2</v>
      </c>
      <c r="BM20">
        <f t="shared" si="0"/>
        <v>1.534084128E-2</v>
      </c>
      <c r="BN20">
        <f t="shared" si="0"/>
        <v>1.1980571399999999E-2</v>
      </c>
      <c r="BO20">
        <f t="shared" si="0"/>
        <v>7.8321686400000014E-3</v>
      </c>
      <c r="BP20">
        <f t="shared" ref="BP20:CS20" si="1">BP19*3600/1000</f>
        <v>1.2152843279999999E-2</v>
      </c>
      <c r="BQ20">
        <f t="shared" si="1"/>
        <v>1.3513059359999999E-2</v>
      </c>
      <c r="BR20">
        <f t="shared" si="1"/>
        <v>1.7032506839999999E-2</v>
      </c>
      <c r="BS20">
        <f t="shared" si="1"/>
        <v>1.5113451599999999E-2</v>
      </c>
      <c r="BT20">
        <f t="shared" si="1"/>
        <v>1.4721162120000001E-2</v>
      </c>
      <c r="BU20">
        <f t="shared" si="1"/>
        <v>1.1656640880000001E-2</v>
      </c>
      <c r="BV20">
        <f t="shared" si="1"/>
        <v>1.6823788919999999E-2</v>
      </c>
      <c r="BW20">
        <f t="shared" si="1"/>
        <v>1.6725402359999999E-2</v>
      </c>
      <c r="BX20">
        <f t="shared" si="1"/>
        <v>1.1684383919999999E-2</v>
      </c>
      <c r="BY20">
        <f t="shared" si="1"/>
        <v>1.0347503039999999E-2</v>
      </c>
      <c r="BZ20">
        <f t="shared" si="1"/>
        <v>1.3457004119999999E-2</v>
      </c>
      <c r="CA20">
        <f t="shared" si="1"/>
        <v>1.2668294159999999E-2</v>
      </c>
      <c r="CB20">
        <f t="shared" si="1"/>
        <v>1.1684383919999999E-2</v>
      </c>
      <c r="CC20">
        <f t="shared" si="1"/>
        <v>1.9580419079999998E-2</v>
      </c>
      <c r="CD20">
        <f t="shared" si="1"/>
        <v>1.4749313760000002E-2</v>
      </c>
      <c r="CE20">
        <f t="shared" si="1"/>
        <v>1.236761712E-2</v>
      </c>
      <c r="CF20">
        <f t="shared" si="1"/>
        <v>1.1684383919999999E-2</v>
      </c>
      <c r="CG20">
        <f t="shared" si="1"/>
        <v>2.0233156679999999E-2</v>
      </c>
      <c r="CH20">
        <f t="shared" si="1"/>
        <v>1.5576811560000001E-2</v>
      </c>
      <c r="CI20">
        <f t="shared" si="1"/>
        <v>9.3986035199999998E-2</v>
      </c>
      <c r="CJ20">
        <f t="shared" si="1"/>
        <v>1.4655751200000001E-2</v>
      </c>
      <c r="CK20">
        <f t="shared" si="1"/>
        <v>1.1684383919999999E-2</v>
      </c>
      <c r="CL20">
        <f t="shared" si="1"/>
        <v>1.4019819839999999E-2</v>
      </c>
      <c r="CM20">
        <f t="shared" si="1"/>
        <v>1.1684383919999999E-2</v>
      </c>
      <c r="CN20">
        <f t="shared" si="1"/>
        <v>1.1036066760000001E-2</v>
      </c>
      <c r="CO20">
        <f t="shared" si="1"/>
        <v>1.1684383919999999E-2</v>
      </c>
      <c r="CP20">
        <f t="shared" si="1"/>
        <v>1.249653672E-2</v>
      </c>
      <c r="CQ20">
        <f t="shared" si="1"/>
        <v>2.6871330239999998E-2</v>
      </c>
      <c r="CR20">
        <f t="shared" si="1"/>
        <v>1.1684383919999999E-2</v>
      </c>
      <c r="CS20">
        <f t="shared" si="1"/>
        <v>2.7184473000000001E-2</v>
      </c>
    </row>
    <row r="21" spans="1:97" x14ac:dyDescent="0.25">
      <c r="B21" s="5" t="s">
        <v>109</v>
      </c>
      <c r="C21" s="6">
        <f>MIN(C20:CS20)</f>
        <v>7.8321686400000014E-3</v>
      </c>
      <c r="D21" t="s">
        <v>79</v>
      </c>
    </row>
    <row r="22" spans="1:97" x14ac:dyDescent="0.25">
      <c r="B22" s="5" t="s">
        <v>110</v>
      </c>
      <c r="C22" s="7">
        <f>MAX(C20:CS20)</f>
        <v>9.3986035199999998E-2</v>
      </c>
      <c r="D22" t="s">
        <v>98</v>
      </c>
    </row>
    <row r="23" spans="1:97" x14ac:dyDescent="0.25">
      <c r="B23" s="5" t="s">
        <v>111</v>
      </c>
      <c r="C23" s="8">
        <v>1.5576812000000001E-2</v>
      </c>
      <c r="D23" s="2" t="s">
        <v>12</v>
      </c>
    </row>
    <row r="40" spans="3:9" x14ac:dyDescent="0.25">
      <c r="C40" s="1"/>
      <c r="E40" s="1"/>
      <c r="F40" s="1"/>
      <c r="G40" s="1"/>
      <c r="H40" s="1"/>
      <c r="I40" s="1"/>
    </row>
    <row r="41" spans="3:9" x14ac:dyDescent="0.25">
      <c r="C41" s="1"/>
      <c r="D41" s="1"/>
    </row>
    <row r="42" spans="3:9" x14ac:dyDescent="0.25">
      <c r="C42" s="1"/>
      <c r="E42" s="1"/>
      <c r="F42" s="1"/>
      <c r="G42" s="1"/>
      <c r="H42" s="1"/>
      <c r="I42" s="1"/>
    </row>
    <row r="43" spans="3:9" x14ac:dyDescent="0.25">
      <c r="C43" s="1"/>
      <c r="D43" s="1"/>
      <c r="E43" s="1"/>
      <c r="F43" s="1"/>
    </row>
    <row r="44" spans="3:9" x14ac:dyDescent="0.25">
      <c r="C44" s="1"/>
      <c r="D44" s="1"/>
    </row>
    <row r="45" spans="3:9" x14ac:dyDescent="0.25">
      <c r="C45" s="1"/>
      <c r="D45" s="1"/>
      <c r="E45" s="1"/>
      <c r="F45" s="1"/>
      <c r="G45" s="1"/>
      <c r="H45" s="1"/>
    </row>
    <row r="46" spans="3:9" x14ac:dyDescent="0.25">
      <c r="C46" s="1"/>
      <c r="D46" s="1"/>
      <c r="E46" s="1"/>
      <c r="F46" s="1"/>
      <c r="H46" s="1"/>
      <c r="I46" s="1"/>
    </row>
    <row r="47" spans="3:9" x14ac:dyDescent="0.25">
      <c r="C47" s="1"/>
      <c r="D47" s="1"/>
      <c r="E47" s="1"/>
      <c r="F47" s="1"/>
      <c r="G47" s="1"/>
      <c r="H47" s="1"/>
      <c r="I47" s="1"/>
    </row>
    <row r="48" spans="3:9" x14ac:dyDescent="0.25">
      <c r="C48" s="1"/>
      <c r="D48" s="1"/>
      <c r="E48" s="1"/>
      <c r="F48" s="1"/>
      <c r="G48" s="1"/>
      <c r="H48" s="1"/>
      <c r="I48" s="1"/>
    </row>
    <row r="49" spans="3:9" x14ac:dyDescent="0.25">
      <c r="C49" s="1"/>
      <c r="E49" s="1"/>
      <c r="F49" s="1"/>
      <c r="G49" s="1"/>
      <c r="H49" s="1"/>
      <c r="I49" s="1"/>
    </row>
    <row r="50" spans="3:9" x14ac:dyDescent="0.25">
      <c r="C50" s="1"/>
      <c r="E50" s="1"/>
      <c r="F50" s="1"/>
      <c r="G50" s="1"/>
      <c r="H50" s="1"/>
    </row>
    <row r="51" spans="3:9" x14ac:dyDescent="0.25">
      <c r="C51" s="1"/>
      <c r="E51" s="1"/>
      <c r="F51" s="1"/>
      <c r="G51" s="1"/>
      <c r="H51" s="1"/>
    </row>
    <row r="52" spans="3:9" x14ac:dyDescent="0.25">
      <c r="C52" s="1"/>
      <c r="E52" s="1"/>
      <c r="F52" s="1"/>
      <c r="G52" s="1"/>
      <c r="H52" s="1"/>
    </row>
    <row r="54" spans="3:9" x14ac:dyDescent="0.25">
      <c r="G54" s="1"/>
      <c r="H54" s="1"/>
    </row>
    <row r="55" spans="3:9" x14ac:dyDescent="0.25">
      <c r="G55" s="1"/>
    </row>
    <row r="56" spans="3:9" x14ac:dyDescent="0.25">
      <c r="E56" s="1"/>
      <c r="H56" s="1"/>
    </row>
    <row r="57" spans="3:9" x14ac:dyDescent="0.25">
      <c r="E57" s="1"/>
    </row>
    <row r="58" spans="3:9" x14ac:dyDescent="0.25">
      <c r="E58" s="1"/>
      <c r="G58" s="1"/>
    </row>
    <row r="59" spans="3:9" x14ac:dyDescent="0.25">
      <c r="E59" s="1"/>
      <c r="G59" s="1"/>
      <c r="H59" s="1"/>
    </row>
    <row r="61" spans="3:9" x14ac:dyDescent="0.25">
      <c r="E61" s="1"/>
      <c r="F61" s="1"/>
    </row>
  </sheetData>
  <conditionalFormatting sqref="C19:CS20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20:CS20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19:CS19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4755B7-19BE-4968-8C98-1EEFB24D196B}">
  <dimension ref="A1:CS61"/>
  <sheetViews>
    <sheetView zoomScaleNormal="100" workbookViewId="0">
      <selection activeCell="F14" sqref="F14"/>
    </sheetView>
  </sheetViews>
  <sheetFormatPr defaultRowHeight="15" x14ac:dyDescent="0.25"/>
  <cols>
    <col min="1" max="1" width="89" customWidth="1"/>
    <col min="2" max="2" width="25.85546875" customWidth="1"/>
    <col min="3" max="3" width="23" customWidth="1"/>
    <col min="4" max="4" width="12.28515625" bestFit="1" customWidth="1"/>
    <col min="6" max="6" width="24.5703125" customWidth="1"/>
    <col min="7" max="7" width="14.7109375" customWidth="1"/>
  </cols>
  <sheetData>
    <row r="1" spans="1:7" x14ac:dyDescent="0.25">
      <c r="A1" s="9" t="s">
        <v>12</v>
      </c>
      <c r="B1" s="9" t="s">
        <v>13</v>
      </c>
      <c r="C1" s="9">
        <v>1.5576812000000001E-2</v>
      </c>
      <c r="D1" s="9" t="s">
        <v>14</v>
      </c>
    </row>
    <row r="3" spans="1:7" x14ac:dyDescent="0.25">
      <c r="A3" s="5"/>
      <c r="B3" s="9" t="s">
        <v>112</v>
      </c>
      <c r="C3" s="9" t="s">
        <v>1</v>
      </c>
      <c r="D3" s="9" t="s">
        <v>113</v>
      </c>
      <c r="F3" s="11" t="s">
        <v>115</v>
      </c>
    </row>
    <row r="4" spans="1:7" x14ac:dyDescent="0.25">
      <c r="A4" s="9" t="s">
        <v>0</v>
      </c>
      <c r="B4" s="9">
        <v>0.28199999999999997</v>
      </c>
      <c r="C4" s="9">
        <v>4.3926609000000004E-3</v>
      </c>
      <c r="D4" s="9">
        <f>B4*$C$1</f>
        <v>4.392660984E-3</v>
      </c>
      <c r="F4" s="9">
        <v>0.54149999999999998</v>
      </c>
    </row>
    <row r="5" spans="1:7" x14ac:dyDescent="0.25">
      <c r="A5" s="9" t="s">
        <v>2</v>
      </c>
      <c r="B5" s="9">
        <v>63.372</v>
      </c>
      <c r="C5" s="9">
        <v>0.9871337</v>
      </c>
      <c r="D5" s="9">
        <f>B5*$C$1</f>
        <v>0.98713373006400007</v>
      </c>
      <c r="F5" s="9" t="s">
        <v>116</v>
      </c>
      <c r="G5" s="9" t="s">
        <v>119</v>
      </c>
    </row>
    <row r="6" spans="1:7" x14ac:dyDescent="0.25">
      <c r="A6" s="9" t="s">
        <v>3</v>
      </c>
      <c r="B6" s="9">
        <v>0</v>
      </c>
      <c r="C6" s="9">
        <v>0</v>
      </c>
      <c r="D6" s="9">
        <f>B6*$C$1</f>
        <v>0</v>
      </c>
      <c r="F6" s="5" t="s">
        <v>117</v>
      </c>
      <c r="G6" s="9">
        <v>3.62</v>
      </c>
    </row>
    <row r="7" spans="1:7" x14ac:dyDescent="0.25">
      <c r="A7" s="9" t="s">
        <v>4</v>
      </c>
      <c r="B7" s="9">
        <v>0</v>
      </c>
      <c r="C7" s="9">
        <v>0</v>
      </c>
      <c r="D7" s="9">
        <f>B7*$C$1</f>
        <v>0</v>
      </c>
      <c r="F7" s="5" t="s">
        <v>118</v>
      </c>
      <c r="G7" s="9">
        <v>0.47399999999999998</v>
      </c>
    </row>
    <row r="9" spans="1:7" x14ac:dyDescent="0.25">
      <c r="A9" s="5"/>
      <c r="B9" s="9" t="s">
        <v>114</v>
      </c>
      <c r="C9" s="9" t="s">
        <v>112</v>
      </c>
      <c r="D9" s="9" t="s">
        <v>1</v>
      </c>
    </row>
    <row r="10" spans="1:7" x14ac:dyDescent="0.25">
      <c r="A10" s="9" t="s">
        <v>5</v>
      </c>
      <c r="B10" s="9">
        <v>0.84719999999999995</v>
      </c>
      <c r="C10" s="9">
        <f>B10*B4</f>
        <v>0.23891039999999997</v>
      </c>
      <c r="D10" s="9">
        <f>C10*$C$1</f>
        <v>3.7214623856447995E-3</v>
      </c>
    </row>
    <row r="11" spans="1:7" x14ac:dyDescent="0.25">
      <c r="A11" s="9" t="s">
        <v>6</v>
      </c>
      <c r="B11" s="9">
        <v>0.1071</v>
      </c>
      <c r="C11" s="9">
        <f>B11*B5</f>
        <v>6.7871411999999998</v>
      </c>
      <c r="D11" s="9">
        <f>C11*$C$1</f>
        <v>0.10572202248985441</v>
      </c>
    </row>
    <row r="12" spans="1:7" x14ac:dyDescent="0.25">
      <c r="A12" s="9" t="s">
        <v>7</v>
      </c>
      <c r="B12" s="10">
        <v>0</v>
      </c>
      <c r="C12" s="9">
        <f>B12*B6</f>
        <v>0</v>
      </c>
      <c r="D12" s="9">
        <f>C12*$C$1</f>
        <v>0</v>
      </c>
    </row>
    <row r="13" spans="1:7" x14ac:dyDescent="0.25">
      <c r="A13" s="9" t="s">
        <v>8</v>
      </c>
      <c r="B13" s="10">
        <v>0</v>
      </c>
      <c r="C13" s="9">
        <f>B13*B7</f>
        <v>0</v>
      </c>
      <c r="D13" s="9">
        <f>C13*$C$1</f>
        <v>0</v>
      </c>
    </row>
    <row r="14" spans="1:7" x14ac:dyDescent="0.25">
      <c r="A14" s="12" t="s">
        <v>11</v>
      </c>
      <c r="B14" s="5"/>
      <c r="C14" s="13">
        <f>SUM(C10:C13)</f>
        <v>7.0260515999999997</v>
      </c>
      <c r="D14" s="13">
        <f>SUM(D10:D13)</f>
        <v>0.10944348487549921</v>
      </c>
      <c r="F14" s="15"/>
    </row>
    <row r="15" spans="1:7" x14ac:dyDescent="0.25">
      <c r="A15" s="12" t="s">
        <v>120</v>
      </c>
      <c r="B15" s="5"/>
      <c r="C15" s="5"/>
      <c r="D15" s="13">
        <v>0.97031429999999996</v>
      </c>
    </row>
    <row r="16" spans="1:7" x14ac:dyDescent="0.25">
      <c r="A16" s="12" t="s">
        <v>122</v>
      </c>
      <c r="B16" s="5"/>
      <c r="C16" s="5"/>
      <c r="D16" s="13">
        <v>4.6039285999999997</v>
      </c>
    </row>
    <row r="17" spans="1:97" x14ac:dyDescent="0.25">
      <c r="A17" s="14"/>
      <c r="B17" s="4"/>
      <c r="C17" s="4"/>
      <c r="D17" s="14"/>
    </row>
    <row r="18" spans="1:97" x14ac:dyDescent="0.25">
      <c r="A18" s="3" t="s">
        <v>9</v>
      </c>
      <c r="B18" t="s">
        <v>10</v>
      </c>
      <c r="C18" t="s">
        <v>15</v>
      </c>
      <c r="D18" t="s">
        <v>16</v>
      </c>
      <c r="E18" t="s">
        <v>17</v>
      </c>
      <c r="F18" t="s">
        <v>18</v>
      </c>
      <c r="G18" t="s">
        <v>19</v>
      </c>
      <c r="H18" t="s">
        <v>20</v>
      </c>
      <c r="I18" t="s">
        <v>21</v>
      </c>
      <c r="J18" t="s">
        <v>22</v>
      </c>
      <c r="K18" t="s">
        <v>23</v>
      </c>
      <c r="L18" t="s">
        <v>24</v>
      </c>
      <c r="M18" t="s">
        <v>25</v>
      </c>
      <c r="N18" t="s">
        <v>26</v>
      </c>
      <c r="O18" t="s">
        <v>27</v>
      </c>
      <c r="P18" t="s">
        <v>28</v>
      </c>
      <c r="Q18" t="s">
        <v>29</v>
      </c>
      <c r="R18" t="s">
        <v>30</v>
      </c>
      <c r="S18" t="s">
        <v>31</v>
      </c>
      <c r="T18" t="s">
        <v>32</v>
      </c>
      <c r="U18" t="s">
        <v>33</v>
      </c>
      <c r="V18" t="s">
        <v>34</v>
      </c>
      <c r="W18" t="s">
        <v>35</v>
      </c>
      <c r="X18" t="s">
        <v>36</v>
      </c>
      <c r="Y18" t="s">
        <v>37</v>
      </c>
      <c r="Z18" t="s">
        <v>38</v>
      </c>
      <c r="AA18" t="s">
        <v>39</v>
      </c>
      <c r="AB18" t="s">
        <v>40</v>
      </c>
      <c r="AC18" t="s">
        <v>41</v>
      </c>
      <c r="AD18" t="s">
        <v>42</v>
      </c>
      <c r="AE18" t="s">
        <v>43</v>
      </c>
      <c r="AF18" t="s">
        <v>44</v>
      </c>
      <c r="AG18" t="s">
        <v>45</v>
      </c>
      <c r="AH18" t="s">
        <v>46</v>
      </c>
      <c r="AI18" t="s">
        <v>47</v>
      </c>
      <c r="AJ18" t="s">
        <v>48</v>
      </c>
      <c r="AK18" t="s">
        <v>49</v>
      </c>
      <c r="AL18" t="s">
        <v>50</v>
      </c>
      <c r="AM18" t="s">
        <v>51</v>
      </c>
      <c r="AN18" t="s">
        <v>52</v>
      </c>
      <c r="AO18" t="s">
        <v>53</v>
      </c>
      <c r="AP18" t="s">
        <v>54</v>
      </c>
      <c r="AQ18" t="s">
        <v>55</v>
      </c>
      <c r="AR18" t="s">
        <v>56</v>
      </c>
      <c r="AS18" t="s">
        <v>57</v>
      </c>
      <c r="AT18" t="s">
        <v>58</v>
      </c>
      <c r="AU18" t="s">
        <v>59</v>
      </c>
      <c r="AV18" t="s">
        <v>60</v>
      </c>
      <c r="AW18" t="s">
        <v>61</v>
      </c>
      <c r="AX18" t="s">
        <v>62</v>
      </c>
      <c r="AY18" t="s">
        <v>63</v>
      </c>
      <c r="AZ18" t="s">
        <v>64</v>
      </c>
      <c r="BA18" t="s">
        <v>65</v>
      </c>
      <c r="BB18" t="s">
        <v>66</v>
      </c>
      <c r="BC18" t="s">
        <v>67</v>
      </c>
      <c r="BD18" t="s">
        <v>68</v>
      </c>
      <c r="BE18" t="s">
        <v>69</v>
      </c>
      <c r="BF18" t="s">
        <v>70</v>
      </c>
      <c r="BG18" t="s">
        <v>71</v>
      </c>
      <c r="BH18" t="s">
        <v>72</v>
      </c>
      <c r="BI18" t="s">
        <v>73</v>
      </c>
      <c r="BJ18" t="s">
        <v>74</v>
      </c>
      <c r="BK18" t="s">
        <v>75</v>
      </c>
      <c r="BL18" t="s">
        <v>76</v>
      </c>
      <c r="BM18" t="s">
        <v>77</v>
      </c>
      <c r="BN18" t="s">
        <v>78</v>
      </c>
      <c r="BO18" t="s">
        <v>79</v>
      </c>
      <c r="BP18" t="s">
        <v>80</v>
      </c>
      <c r="BQ18" t="s">
        <v>81</v>
      </c>
      <c r="BR18" t="s">
        <v>82</v>
      </c>
      <c r="BS18" t="s">
        <v>83</v>
      </c>
      <c r="BT18" t="s">
        <v>84</v>
      </c>
      <c r="BU18" t="s">
        <v>85</v>
      </c>
      <c r="BV18" t="s">
        <v>86</v>
      </c>
      <c r="BW18" t="s">
        <v>87</v>
      </c>
      <c r="BX18" t="s">
        <v>88</v>
      </c>
      <c r="BY18" t="s">
        <v>89</v>
      </c>
      <c r="BZ18" t="s">
        <v>90</v>
      </c>
      <c r="CA18" t="s">
        <v>91</v>
      </c>
      <c r="CB18" t="s">
        <v>92</v>
      </c>
      <c r="CC18" t="s">
        <v>93</v>
      </c>
      <c r="CD18" t="s">
        <v>94</v>
      </c>
      <c r="CE18" t="s">
        <v>95</v>
      </c>
      <c r="CF18" t="s">
        <v>96</v>
      </c>
      <c r="CG18" t="s">
        <v>97</v>
      </c>
      <c r="CH18" t="s">
        <v>12</v>
      </c>
      <c r="CI18" t="s">
        <v>98</v>
      </c>
      <c r="CJ18" t="s">
        <v>99</v>
      </c>
      <c r="CK18" t="s">
        <v>100</v>
      </c>
      <c r="CL18" t="s">
        <v>101</v>
      </c>
      <c r="CM18" t="s">
        <v>102</v>
      </c>
      <c r="CN18" t="s">
        <v>103</v>
      </c>
      <c r="CO18" t="s">
        <v>104</v>
      </c>
      <c r="CP18" t="s">
        <v>105</v>
      </c>
      <c r="CQ18" t="s">
        <v>106</v>
      </c>
      <c r="CR18" t="s">
        <v>107</v>
      </c>
      <c r="CS18" t="s">
        <v>108</v>
      </c>
    </row>
    <row r="19" spans="1:97" x14ac:dyDescent="0.25">
      <c r="A19" s="3" t="s">
        <v>13</v>
      </c>
      <c r="B19" t="s">
        <v>14</v>
      </c>
      <c r="C19">
        <v>3.2456621999999999E-3</v>
      </c>
      <c r="D19">
        <v>4.3576748999999996E-3</v>
      </c>
      <c r="E19">
        <v>3.2844279999999998E-3</v>
      </c>
      <c r="F19">
        <v>3.8943943999999999E-3</v>
      </c>
      <c r="G19">
        <v>4.3632528999999996E-3</v>
      </c>
      <c r="H19">
        <v>3.8573090000000002E-3</v>
      </c>
      <c r="I19">
        <v>4.2601076000000002E-3</v>
      </c>
      <c r="J19">
        <v>4.2601076000000002E-3</v>
      </c>
      <c r="K19">
        <v>4.2601076000000002E-3</v>
      </c>
      <c r="L19">
        <v>4.2601076000000002E-3</v>
      </c>
      <c r="M19">
        <v>4.2601076000000002E-3</v>
      </c>
      <c r="N19">
        <v>4.2601076000000002E-3</v>
      </c>
      <c r="O19">
        <v>4.2601076000000002E-3</v>
      </c>
      <c r="P19">
        <v>4.2601076000000002E-3</v>
      </c>
      <c r="Q19">
        <v>4.2601076000000002E-3</v>
      </c>
      <c r="R19">
        <v>2.8918453000000002E-3</v>
      </c>
      <c r="S19">
        <v>4.2601076000000002E-3</v>
      </c>
      <c r="T19">
        <v>4.2601076000000002E-3</v>
      </c>
      <c r="U19">
        <v>4.5763668000000004E-3</v>
      </c>
      <c r="V19">
        <v>3.6095391000000002E-3</v>
      </c>
      <c r="W19">
        <v>5.6927148999999996E-3</v>
      </c>
      <c r="X19">
        <v>5.6927148999999996E-3</v>
      </c>
      <c r="Y19">
        <v>5.6927150000000001E-3</v>
      </c>
      <c r="Z19">
        <v>5.6927148999999996E-3</v>
      </c>
      <c r="AA19">
        <v>5.6927148999999996E-3</v>
      </c>
      <c r="AB19">
        <v>5.6927150000000001E-3</v>
      </c>
      <c r="AC19">
        <v>5.6927148999999996E-3</v>
      </c>
      <c r="AD19">
        <v>5.6927148999999996E-3</v>
      </c>
      <c r="AE19">
        <v>5.6927150000000001E-3</v>
      </c>
      <c r="AF19">
        <v>5.6927148999999996E-3</v>
      </c>
      <c r="AG19">
        <v>5.6927150000000001E-3</v>
      </c>
      <c r="AH19">
        <v>5.6927148999999996E-3</v>
      </c>
      <c r="AI19">
        <v>5.6927150000000001E-3</v>
      </c>
      <c r="AJ19">
        <v>5.6927148999999996E-3</v>
      </c>
      <c r="AK19">
        <v>5.6927148999999996E-3</v>
      </c>
      <c r="AL19">
        <v>5.6927148999999996E-3</v>
      </c>
      <c r="AM19">
        <v>5.6927148999999996E-3</v>
      </c>
      <c r="AN19">
        <v>5.6927150000000001E-3</v>
      </c>
      <c r="AO19">
        <v>5.6927148999999996E-3</v>
      </c>
      <c r="AP19">
        <v>5.6927148999999996E-3</v>
      </c>
      <c r="AQ19">
        <v>5.6927148999999996E-3</v>
      </c>
      <c r="AR19">
        <v>5.6927148999999996E-3</v>
      </c>
      <c r="AS19">
        <v>5.6927148999999996E-3</v>
      </c>
      <c r="AT19">
        <v>5.6927150000000001E-3</v>
      </c>
      <c r="AU19">
        <v>5.6927148999999996E-3</v>
      </c>
      <c r="AV19">
        <v>5.6927148999999996E-3</v>
      </c>
      <c r="AW19">
        <v>5.6927148999999996E-3</v>
      </c>
      <c r="AX19">
        <v>5.6927150000000001E-3</v>
      </c>
      <c r="AY19">
        <v>5.6927148999999996E-3</v>
      </c>
      <c r="AZ19">
        <v>5.6927148999999996E-3</v>
      </c>
      <c r="BA19">
        <v>7.6328734999999998E-3</v>
      </c>
      <c r="BB19">
        <v>6.1740073999999997E-3</v>
      </c>
      <c r="BC19">
        <v>4.8679936000000004E-3</v>
      </c>
      <c r="BD19">
        <v>4.8125412999999997E-3</v>
      </c>
      <c r="BE19">
        <v>3.1564700999999998E-3</v>
      </c>
      <c r="BF19">
        <v>4.8276161999999999E-3</v>
      </c>
      <c r="BG19">
        <v>3.5889638E-3</v>
      </c>
      <c r="BH19">
        <v>4.5408330000000002E-3</v>
      </c>
      <c r="BI19">
        <v>3.9032205E-3</v>
      </c>
      <c r="BJ19">
        <v>3.3586764999999998E-3</v>
      </c>
      <c r="BK19">
        <v>3.5383353999999998E-3</v>
      </c>
      <c r="BL19">
        <v>3.2456621999999999E-3</v>
      </c>
      <c r="BM19">
        <v>4.2613447999999996E-3</v>
      </c>
      <c r="BN19">
        <v>3.3279364999999998E-3</v>
      </c>
      <c r="BO19">
        <v>2.1756024000000001E-3</v>
      </c>
      <c r="BP19">
        <v>3.3757898E-3</v>
      </c>
      <c r="BQ19">
        <v>3.7536276E-3</v>
      </c>
      <c r="BR19">
        <v>4.7312519000000004E-3</v>
      </c>
      <c r="BS19">
        <v>4.1981809999999996E-3</v>
      </c>
      <c r="BT19">
        <v>4.0892117000000004E-3</v>
      </c>
      <c r="BU19">
        <v>3.2379558000000001E-3</v>
      </c>
      <c r="BV19">
        <v>4.6732746999999996E-3</v>
      </c>
      <c r="BW19">
        <v>4.6459450999999999E-3</v>
      </c>
      <c r="BX19">
        <v>3.2456621999999999E-3</v>
      </c>
      <c r="BY19">
        <v>2.8743063999999998E-3</v>
      </c>
      <c r="BZ19">
        <v>3.7380566999999998E-3</v>
      </c>
      <c r="CA19">
        <v>3.5189705999999999E-3</v>
      </c>
      <c r="CB19">
        <v>3.2456621999999999E-3</v>
      </c>
      <c r="CC19">
        <v>5.4390052999999999E-3</v>
      </c>
      <c r="CD19">
        <v>4.0970316000000003E-3</v>
      </c>
      <c r="CE19">
        <v>3.4354492000000002E-3</v>
      </c>
      <c r="CF19">
        <v>3.2456621999999999E-3</v>
      </c>
      <c r="CG19">
        <v>5.6203212999999998E-3</v>
      </c>
      <c r="CH19">
        <v>4.3268921000000002E-3</v>
      </c>
      <c r="CI19">
        <v>2.6107232000000001E-2</v>
      </c>
      <c r="CJ19">
        <v>4.0710420000000004E-3</v>
      </c>
      <c r="CK19">
        <v>3.2456621999999999E-3</v>
      </c>
      <c r="CL19">
        <v>3.8943943999999999E-3</v>
      </c>
      <c r="CM19">
        <v>3.2456621999999999E-3</v>
      </c>
      <c r="CN19">
        <v>3.0655741000000002E-3</v>
      </c>
      <c r="CO19">
        <v>3.2456621999999999E-3</v>
      </c>
      <c r="CP19">
        <v>3.4712602E-3</v>
      </c>
      <c r="CQ19">
        <v>7.4642583999999998E-3</v>
      </c>
      <c r="CR19">
        <v>3.2456621999999999E-3</v>
      </c>
      <c r="CS19">
        <v>7.5512425000000003E-3</v>
      </c>
    </row>
    <row r="20" spans="1:97" x14ac:dyDescent="0.25">
      <c r="C20">
        <f>C19*3600/1000</f>
        <v>1.1684383919999999E-2</v>
      </c>
      <c r="D20">
        <f t="shared" ref="D20:BO20" si="0">D19*3600/1000</f>
        <v>1.5687629639999999E-2</v>
      </c>
      <c r="E20">
        <f t="shared" si="0"/>
        <v>1.1823940799999998E-2</v>
      </c>
      <c r="F20">
        <f t="shared" si="0"/>
        <v>1.4019819839999999E-2</v>
      </c>
      <c r="G20">
        <f t="shared" si="0"/>
        <v>1.5707710439999998E-2</v>
      </c>
      <c r="H20">
        <f t="shared" si="0"/>
        <v>1.3886312400000001E-2</v>
      </c>
      <c r="I20">
        <f t="shared" si="0"/>
        <v>1.533638736E-2</v>
      </c>
      <c r="J20">
        <f t="shared" si="0"/>
        <v>1.533638736E-2</v>
      </c>
      <c r="K20">
        <f t="shared" si="0"/>
        <v>1.533638736E-2</v>
      </c>
      <c r="L20">
        <f t="shared" si="0"/>
        <v>1.533638736E-2</v>
      </c>
      <c r="M20">
        <f t="shared" si="0"/>
        <v>1.533638736E-2</v>
      </c>
      <c r="N20">
        <f t="shared" si="0"/>
        <v>1.533638736E-2</v>
      </c>
      <c r="O20">
        <f t="shared" si="0"/>
        <v>1.533638736E-2</v>
      </c>
      <c r="P20">
        <f t="shared" si="0"/>
        <v>1.533638736E-2</v>
      </c>
      <c r="Q20">
        <f t="shared" si="0"/>
        <v>1.533638736E-2</v>
      </c>
      <c r="R20">
        <f t="shared" si="0"/>
        <v>1.041064308E-2</v>
      </c>
      <c r="S20">
        <f t="shared" si="0"/>
        <v>1.533638736E-2</v>
      </c>
      <c r="T20">
        <f t="shared" si="0"/>
        <v>1.533638736E-2</v>
      </c>
      <c r="U20">
        <f t="shared" si="0"/>
        <v>1.6474920480000002E-2</v>
      </c>
      <c r="V20">
        <f t="shared" si="0"/>
        <v>1.299434076E-2</v>
      </c>
      <c r="W20">
        <f t="shared" si="0"/>
        <v>2.0493773639999997E-2</v>
      </c>
      <c r="X20">
        <f t="shared" si="0"/>
        <v>2.0493773639999997E-2</v>
      </c>
      <c r="Y20">
        <f t="shared" si="0"/>
        <v>2.0493774000000003E-2</v>
      </c>
      <c r="Z20">
        <f t="shared" si="0"/>
        <v>2.0493773639999997E-2</v>
      </c>
      <c r="AA20">
        <f t="shared" si="0"/>
        <v>2.0493773639999997E-2</v>
      </c>
      <c r="AB20">
        <f t="shared" si="0"/>
        <v>2.0493774000000003E-2</v>
      </c>
      <c r="AC20">
        <f t="shared" si="0"/>
        <v>2.0493773639999997E-2</v>
      </c>
      <c r="AD20">
        <f t="shared" si="0"/>
        <v>2.0493773639999997E-2</v>
      </c>
      <c r="AE20">
        <f t="shared" si="0"/>
        <v>2.0493774000000003E-2</v>
      </c>
      <c r="AF20">
        <f t="shared" si="0"/>
        <v>2.0493773639999997E-2</v>
      </c>
      <c r="AG20">
        <f t="shared" si="0"/>
        <v>2.0493774000000003E-2</v>
      </c>
      <c r="AH20">
        <f t="shared" si="0"/>
        <v>2.0493773639999997E-2</v>
      </c>
      <c r="AI20">
        <f t="shared" si="0"/>
        <v>2.0493774000000003E-2</v>
      </c>
      <c r="AJ20">
        <f t="shared" si="0"/>
        <v>2.0493773639999997E-2</v>
      </c>
      <c r="AK20">
        <f t="shared" si="0"/>
        <v>2.0493773639999997E-2</v>
      </c>
      <c r="AL20">
        <f t="shared" si="0"/>
        <v>2.0493773639999997E-2</v>
      </c>
      <c r="AM20">
        <f t="shared" si="0"/>
        <v>2.0493773639999997E-2</v>
      </c>
      <c r="AN20">
        <f t="shared" si="0"/>
        <v>2.0493774000000003E-2</v>
      </c>
      <c r="AO20">
        <f t="shared" si="0"/>
        <v>2.0493773639999997E-2</v>
      </c>
      <c r="AP20">
        <f t="shared" si="0"/>
        <v>2.0493773639999997E-2</v>
      </c>
      <c r="AQ20">
        <f t="shared" si="0"/>
        <v>2.0493773639999997E-2</v>
      </c>
      <c r="AR20">
        <f t="shared" si="0"/>
        <v>2.0493773639999997E-2</v>
      </c>
      <c r="AS20">
        <f t="shared" si="0"/>
        <v>2.0493773639999997E-2</v>
      </c>
      <c r="AT20">
        <f t="shared" si="0"/>
        <v>2.0493774000000003E-2</v>
      </c>
      <c r="AU20">
        <f t="shared" si="0"/>
        <v>2.0493773639999997E-2</v>
      </c>
      <c r="AV20">
        <f t="shared" si="0"/>
        <v>2.0493773639999997E-2</v>
      </c>
      <c r="AW20">
        <f t="shared" si="0"/>
        <v>2.0493773639999997E-2</v>
      </c>
      <c r="AX20">
        <f t="shared" si="0"/>
        <v>2.0493774000000003E-2</v>
      </c>
      <c r="AY20">
        <f t="shared" si="0"/>
        <v>2.0493773639999997E-2</v>
      </c>
      <c r="AZ20">
        <f t="shared" si="0"/>
        <v>2.0493773639999997E-2</v>
      </c>
      <c r="BA20">
        <f t="shared" si="0"/>
        <v>2.7478344599999999E-2</v>
      </c>
      <c r="BB20">
        <f t="shared" si="0"/>
        <v>2.2226426639999998E-2</v>
      </c>
      <c r="BC20">
        <f t="shared" si="0"/>
        <v>1.7524776960000002E-2</v>
      </c>
      <c r="BD20">
        <f t="shared" si="0"/>
        <v>1.7325148679999999E-2</v>
      </c>
      <c r="BE20">
        <f t="shared" si="0"/>
        <v>1.1363292359999999E-2</v>
      </c>
      <c r="BF20">
        <f t="shared" si="0"/>
        <v>1.7379418319999999E-2</v>
      </c>
      <c r="BG20">
        <f t="shared" si="0"/>
        <v>1.2920269680000001E-2</v>
      </c>
      <c r="BH20">
        <f t="shared" si="0"/>
        <v>1.6346998800000002E-2</v>
      </c>
      <c r="BI20">
        <f t="shared" si="0"/>
        <v>1.40515938E-2</v>
      </c>
      <c r="BJ20">
        <f t="shared" si="0"/>
        <v>1.2091235399999999E-2</v>
      </c>
      <c r="BK20">
        <f t="shared" si="0"/>
        <v>1.2738007439999999E-2</v>
      </c>
      <c r="BL20">
        <f t="shared" si="0"/>
        <v>1.1684383919999999E-2</v>
      </c>
      <c r="BM20">
        <f t="shared" si="0"/>
        <v>1.534084128E-2</v>
      </c>
      <c r="BN20">
        <f t="shared" si="0"/>
        <v>1.1980571399999999E-2</v>
      </c>
      <c r="BO20">
        <f t="shared" si="0"/>
        <v>7.8321686400000014E-3</v>
      </c>
      <c r="BP20">
        <f t="shared" ref="BP20:CS20" si="1">BP19*3600/1000</f>
        <v>1.2152843279999999E-2</v>
      </c>
      <c r="BQ20">
        <f t="shared" si="1"/>
        <v>1.3513059359999999E-2</v>
      </c>
      <c r="BR20">
        <f t="shared" si="1"/>
        <v>1.7032506839999999E-2</v>
      </c>
      <c r="BS20">
        <f t="shared" si="1"/>
        <v>1.5113451599999999E-2</v>
      </c>
      <c r="BT20">
        <f t="shared" si="1"/>
        <v>1.4721162120000001E-2</v>
      </c>
      <c r="BU20">
        <f t="shared" si="1"/>
        <v>1.1656640880000001E-2</v>
      </c>
      <c r="BV20">
        <f t="shared" si="1"/>
        <v>1.6823788919999999E-2</v>
      </c>
      <c r="BW20">
        <f t="shared" si="1"/>
        <v>1.6725402359999999E-2</v>
      </c>
      <c r="BX20">
        <f t="shared" si="1"/>
        <v>1.1684383919999999E-2</v>
      </c>
      <c r="BY20">
        <f t="shared" si="1"/>
        <v>1.0347503039999999E-2</v>
      </c>
      <c r="BZ20">
        <f t="shared" si="1"/>
        <v>1.3457004119999999E-2</v>
      </c>
      <c r="CA20">
        <f t="shared" si="1"/>
        <v>1.2668294159999999E-2</v>
      </c>
      <c r="CB20">
        <f t="shared" si="1"/>
        <v>1.1684383919999999E-2</v>
      </c>
      <c r="CC20">
        <f t="shared" si="1"/>
        <v>1.9580419079999998E-2</v>
      </c>
      <c r="CD20">
        <f t="shared" si="1"/>
        <v>1.4749313760000002E-2</v>
      </c>
      <c r="CE20">
        <f t="shared" si="1"/>
        <v>1.236761712E-2</v>
      </c>
      <c r="CF20">
        <f t="shared" si="1"/>
        <v>1.1684383919999999E-2</v>
      </c>
      <c r="CG20">
        <f t="shared" si="1"/>
        <v>2.0233156679999999E-2</v>
      </c>
      <c r="CH20">
        <f t="shared" si="1"/>
        <v>1.5576811560000001E-2</v>
      </c>
      <c r="CI20">
        <f t="shared" si="1"/>
        <v>9.3986035199999998E-2</v>
      </c>
      <c r="CJ20">
        <f t="shared" si="1"/>
        <v>1.4655751200000001E-2</v>
      </c>
      <c r="CK20">
        <f t="shared" si="1"/>
        <v>1.1684383919999999E-2</v>
      </c>
      <c r="CL20">
        <f t="shared" si="1"/>
        <v>1.4019819839999999E-2</v>
      </c>
      <c r="CM20">
        <f t="shared" si="1"/>
        <v>1.1684383919999999E-2</v>
      </c>
      <c r="CN20">
        <f t="shared" si="1"/>
        <v>1.1036066760000001E-2</v>
      </c>
      <c r="CO20">
        <f t="shared" si="1"/>
        <v>1.1684383919999999E-2</v>
      </c>
      <c r="CP20">
        <f t="shared" si="1"/>
        <v>1.249653672E-2</v>
      </c>
      <c r="CQ20">
        <f t="shared" si="1"/>
        <v>2.6871330239999998E-2</v>
      </c>
      <c r="CR20">
        <f t="shared" si="1"/>
        <v>1.1684383919999999E-2</v>
      </c>
      <c r="CS20">
        <f t="shared" si="1"/>
        <v>2.7184473000000001E-2</v>
      </c>
    </row>
    <row r="21" spans="1:97" x14ac:dyDescent="0.25">
      <c r="B21" s="5" t="s">
        <v>109</v>
      </c>
      <c r="C21" s="6">
        <f>MIN(C20:CS20)</f>
        <v>7.8321686400000014E-3</v>
      </c>
      <c r="D21" t="s">
        <v>79</v>
      </c>
    </row>
    <row r="22" spans="1:97" x14ac:dyDescent="0.25">
      <c r="B22" s="5" t="s">
        <v>110</v>
      </c>
      <c r="C22" s="7">
        <f>MAX(C20:CS20)</f>
        <v>9.3986035199999998E-2</v>
      </c>
      <c r="D22" t="s">
        <v>98</v>
      </c>
    </row>
    <row r="23" spans="1:97" x14ac:dyDescent="0.25">
      <c r="B23" s="5" t="s">
        <v>111</v>
      </c>
      <c r="C23" s="8">
        <v>1.5576812000000001E-2</v>
      </c>
      <c r="D23" s="2" t="s">
        <v>12</v>
      </c>
    </row>
    <row r="40" spans="3:9" x14ac:dyDescent="0.25">
      <c r="C40" s="1"/>
      <c r="E40" s="1"/>
      <c r="F40" s="1"/>
      <c r="G40" s="1"/>
      <c r="H40" s="1"/>
      <c r="I40" s="1"/>
    </row>
    <row r="41" spans="3:9" x14ac:dyDescent="0.25">
      <c r="C41" s="1"/>
      <c r="D41" s="1"/>
    </row>
    <row r="42" spans="3:9" x14ac:dyDescent="0.25">
      <c r="C42" s="1"/>
      <c r="E42" s="1"/>
      <c r="F42" s="1"/>
      <c r="G42" s="1"/>
      <c r="H42" s="1"/>
      <c r="I42" s="1"/>
    </row>
    <row r="43" spans="3:9" x14ac:dyDescent="0.25">
      <c r="C43" s="1"/>
      <c r="D43" s="1"/>
      <c r="E43" s="1"/>
      <c r="F43" s="1"/>
    </row>
    <row r="44" spans="3:9" x14ac:dyDescent="0.25">
      <c r="C44" s="1"/>
      <c r="D44" s="1"/>
    </row>
    <row r="45" spans="3:9" x14ac:dyDescent="0.25">
      <c r="C45" s="1"/>
      <c r="D45" s="1"/>
      <c r="E45" s="1"/>
      <c r="F45" s="1"/>
      <c r="G45" s="1"/>
      <c r="H45" s="1"/>
    </row>
    <row r="46" spans="3:9" x14ac:dyDescent="0.25">
      <c r="C46" s="1"/>
      <c r="D46" s="1"/>
      <c r="E46" s="1"/>
      <c r="F46" s="1"/>
      <c r="H46" s="1"/>
      <c r="I46" s="1"/>
    </row>
    <row r="47" spans="3:9" x14ac:dyDescent="0.25">
      <c r="C47" s="1"/>
      <c r="D47" s="1"/>
      <c r="E47" s="1"/>
      <c r="F47" s="1"/>
      <c r="G47" s="1"/>
      <c r="H47" s="1"/>
      <c r="I47" s="1"/>
    </row>
    <row r="48" spans="3:9" x14ac:dyDescent="0.25">
      <c r="C48" s="1"/>
      <c r="D48" s="1"/>
      <c r="E48" s="1"/>
      <c r="F48" s="1"/>
      <c r="G48" s="1"/>
      <c r="H48" s="1"/>
      <c r="I48" s="1"/>
    </row>
    <row r="49" spans="3:9" x14ac:dyDescent="0.25">
      <c r="C49" s="1"/>
      <c r="E49" s="1"/>
      <c r="F49" s="1"/>
      <c r="G49" s="1"/>
      <c r="H49" s="1"/>
      <c r="I49" s="1"/>
    </row>
    <row r="50" spans="3:9" x14ac:dyDescent="0.25">
      <c r="C50" s="1"/>
      <c r="E50" s="1"/>
      <c r="F50" s="1"/>
      <c r="G50" s="1"/>
      <c r="H50" s="1"/>
    </row>
    <row r="51" spans="3:9" x14ac:dyDescent="0.25">
      <c r="C51" s="1"/>
      <c r="E51" s="1"/>
      <c r="F51" s="1"/>
      <c r="G51" s="1"/>
      <c r="H51" s="1"/>
    </row>
    <row r="52" spans="3:9" x14ac:dyDescent="0.25">
      <c r="C52" s="1"/>
      <c r="E52" s="1"/>
      <c r="F52" s="1"/>
      <c r="G52" s="1"/>
      <c r="H52" s="1"/>
    </row>
    <row r="54" spans="3:9" x14ac:dyDescent="0.25">
      <c r="G54" s="1"/>
      <c r="H54" s="1"/>
    </row>
    <row r="55" spans="3:9" x14ac:dyDescent="0.25">
      <c r="G55" s="1"/>
    </row>
    <row r="56" spans="3:9" x14ac:dyDescent="0.25">
      <c r="E56" s="1"/>
      <c r="H56" s="1"/>
    </row>
    <row r="57" spans="3:9" x14ac:dyDescent="0.25">
      <c r="E57" s="1"/>
    </row>
    <row r="58" spans="3:9" x14ac:dyDescent="0.25">
      <c r="E58" s="1"/>
      <c r="G58" s="1"/>
    </row>
    <row r="59" spans="3:9" x14ac:dyDescent="0.25">
      <c r="E59" s="1"/>
      <c r="G59" s="1"/>
      <c r="H59" s="1"/>
    </row>
    <row r="61" spans="3:9" x14ac:dyDescent="0.25">
      <c r="E61" s="1"/>
      <c r="F61" s="1"/>
    </row>
  </sheetData>
  <conditionalFormatting sqref="C19:CS20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20:CS20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19:CS19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13D997-EE61-4C55-A700-18DFE1CF3FDE}">
  <dimension ref="A1:CS61"/>
  <sheetViews>
    <sheetView zoomScaleNormal="100" workbookViewId="0">
      <selection activeCell="D31" sqref="D31"/>
    </sheetView>
  </sheetViews>
  <sheetFormatPr defaultRowHeight="15" x14ac:dyDescent="0.25"/>
  <cols>
    <col min="1" max="1" width="89" customWidth="1"/>
    <col min="2" max="2" width="25.85546875" customWidth="1"/>
    <col min="3" max="3" width="23" customWidth="1"/>
    <col min="4" max="4" width="12.28515625" bestFit="1" customWidth="1"/>
    <col min="6" max="6" width="24.5703125" customWidth="1"/>
    <col min="7" max="7" width="14.7109375" customWidth="1"/>
  </cols>
  <sheetData>
    <row r="1" spans="1:7" x14ac:dyDescent="0.25">
      <c r="A1" s="9" t="s">
        <v>12</v>
      </c>
      <c r="B1" s="9" t="s">
        <v>13</v>
      </c>
      <c r="C1" s="9">
        <v>1.5576812000000001E-2</v>
      </c>
      <c r="D1" s="9" t="s">
        <v>14</v>
      </c>
    </row>
    <row r="3" spans="1:7" x14ac:dyDescent="0.25">
      <c r="A3" s="5"/>
      <c r="B3" s="9" t="s">
        <v>112</v>
      </c>
      <c r="C3" s="9" t="s">
        <v>1</v>
      </c>
      <c r="D3" s="9" t="s">
        <v>113</v>
      </c>
      <c r="F3" s="11" t="s">
        <v>115</v>
      </c>
    </row>
    <row r="4" spans="1:7" x14ac:dyDescent="0.25">
      <c r="A4" s="9" t="s">
        <v>0</v>
      </c>
      <c r="B4" s="9">
        <v>0</v>
      </c>
      <c r="C4" s="9">
        <v>0</v>
      </c>
      <c r="D4" s="9">
        <f>B4*$C$1</f>
        <v>0</v>
      </c>
      <c r="F4" s="9">
        <v>0.54149999999999998</v>
      </c>
    </row>
    <row r="5" spans="1:7" x14ac:dyDescent="0.25">
      <c r="A5" s="9" t="s">
        <v>2</v>
      </c>
      <c r="B5" s="9">
        <v>63.372</v>
      </c>
      <c r="C5" s="9">
        <v>0.9871337</v>
      </c>
      <c r="D5" s="9">
        <f>B5*$C$1</f>
        <v>0.98713373006400007</v>
      </c>
      <c r="F5" s="9" t="s">
        <v>116</v>
      </c>
      <c r="G5" s="9" t="s">
        <v>119</v>
      </c>
    </row>
    <row r="6" spans="1:7" x14ac:dyDescent="0.25">
      <c r="A6" s="9" t="s">
        <v>3</v>
      </c>
      <c r="B6" s="9">
        <v>0</v>
      </c>
      <c r="C6" s="9">
        <v>0</v>
      </c>
      <c r="D6" s="9">
        <f>B6*$C$1</f>
        <v>0</v>
      </c>
      <c r="F6" s="5" t="s">
        <v>117</v>
      </c>
      <c r="G6" s="9">
        <v>3.62</v>
      </c>
    </row>
    <row r="7" spans="1:7" x14ac:dyDescent="0.25">
      <c r="A7" s="9" t="s">
        <v>4</v>
      </c>
      <c r="B7" s="9">
        <v>63.372</v>
      </c>
      <c r="C7" s="9">
        <v>0.9871337</v>
      </c>
      <c r="D7" s="9">
        <f>B7*$C$1</f>
        <v>0.98713373006400007</v>
      </c>
      <c r="F7" s="5" t="s">
        <v>118</v>
      </c>
      <c r="G7" s="9">
        <v>0.47399999999999998</v>
      </c>
    </row>
    <row r="9" spans="1:7" x14ac:dyDescent="0.25">
      <c r="A9" s="5"/>
      <c r="B9" s="9" t="s">
        <v>114</v>
      </c>
      <c r="C9" s="9" t="s">
        <v>112</v>
      </c>
      <c r="D9" s="9" t="s">
        <v>1</v>
      </c>
    </row>
    <row r="10" spans="1:7" x14ac:dyDescent="0.25">
      <c r="A10" s="9" t="s">
        <v>5</v>
      </c>
      <c r="B10" s="9">
        <v>0.84719999999999995</v>
      </c>
      <c r="C10" s="9">
        <f>B10*B4</f>
        <v>0</v>
      </c>
      <c r="D10" s="9">
        <f>C10*$C$1</f>
        <v>0</v>
      </c>
    </row>
    <row r="11" spans="1:7" x14ac:dyDescent="0.25">
      <c r="A11" s="9" t="s">
        <v>6</v>
      </c>
      <c r="B11" s="9">
        <v>0.1071</v>
      </c>
      <c r="C11" s="9">
        <f>B11*B5</f>
        <v>6.7871411999999998</v>
      </c>
      <c r="D11" s="9">
        <f>C11*$C$1</f>
        <v>0.10572202248985441</v>
      </c>
    </row>
    <row r="12" spans="1:7" x14ac:dyDescent="0.25">
      <c r="A12" s="9" t="s">
        <v>7</v>
      </c>
      <c r="B12" s="10">
        <f>$F$4*G6</f>
        <v>1.9602299999999999</v>
      </c>
      <c r="C12" s="9">
        <f>B12*B6</f>
        <v>0</v>
      </c>
      <c r="D12" s="9">
        <f>C12*$C$1</f>
        <v>0</v>
      </c>
    </row>
    <row r="13" spans="1:7" x14ac:dyDescent="0.25">
      <c r="A13" s="9" t="s">
        <v>8</v>
      </c>
      <c r="B13" s="10">
        <f>$F$4*G7</f>
        <v>0.25667099999999998</v>
      </c>
      <c r="C13" s="9">
        <f>B13*B7</f>
        <v>16.265754611999999</v>
      </c>
      <c r="D13" s="9">
        <f>C13*$C$1</f>
        <v>0.25336860162925695</v>
      </c>
    </row>
    <row r="14" spans="1:7" x14ac:dyDescent="0.25">
      <c r="A14" s="12" t="s">
        <v>11</v>
      </c>
      <c r="B14" s="5"/>
      <c r="C14" s="13">
        <f>SUM(C10:C13)</f>
        <v>23.052895811999999</v>
      </c>
      <c r="D14" s="13">
        <f>SUM(D10:D13)</f>
        <v>0.35909062411911136</v>
      </c>
      <c r="F14" s="15"/>
    </row>
    <row r="15" spans="1:7" x14ac:dyDescent="0.25">
      <c r="A15" s="12" t="s">
        <v>120</v>
      </c>
      <c r="B15" s="5"/>
      <c r="C15" s="5"/>
      <c r="D15" s="13">
        <v>2.0198128</v>
      </c>
    </row>
    <row r="16" spans="1:7" x14ac:dyDescent="0.25">
      <c r="A16" s="12" t="s">
        <v>122</v>
      </c>
      <c r="B16" s="5"/>
      <c r="C16" s="5"/>
      <c r="D16" s="13">
        <v>4.6039285999999997</v>
      </c>
    </row>
    <row r="17" spans="1:97" x14ac:dyDescent="0.25">
      <c r="A17" s="14"/>
      <c r="B17" s="4"/>
      <c r="C17" s="4"/>
      <c r="D17" s="14"/>
    </row>
    <row r="18" spans="1:97" x14ac:dyDescent="0.25">
      <c r="A18" s="3" t="s">
        <v>9</v>
      </c>
      <c r="B18" t="s">
        <v>10</v>
      </c>
      <c r="C18" t="s">
        <v>15</v>
      </c>
      <c r="D18" t="s">
        <v>16</v>
      </c>
      <c r="E18" t="s">
        <v>17</v>
      </c>
      <c r="F18" t="s">
        <v>18</v>
      </c>
      <c r="G18" t="s">
        <v>19</v>
      </c>
      <c r="H18" t="s">
        <v>20</v>
      </c>
      <c r="I18" t="s">
        <v>21</v>
      </c>
      <c r="J18" t="s">
        <v>22</v>
      </c>
      <c r="K18" t="s">
        <v>23</v>
      </c>
      <c r="L18" t="s">
        <v>24</v>
      </c>
      <c r="M18" t="s">
        <v>25</v>
      </c>
      <c r="N18" t="s">
        <v>26</v>
      </c>
      <c r="O18" t="s">
        <v>27</v>
      </c>
      <c r="P18" t="s">
        <v>28</v>
      </c>
      <c r="Q18" t="s">
        <v>29</v>
      </c>
      <c r="R18" t="s">
        <v>30</v>
      </c>
      <c r="S18" t="s">
        <v>31</v>
      </c>
      <c r="T18" t="s">
        <v>32</v>
      </c>
      <c r="U18" t="s">
        <v>33</v>
      </c>
      <c r="V18" t="s">
        <v>34</v>
      </c>
      <c r="W18" t="s">
        <v>35</v>
      </c>
      <c r="X18" t="s">
        <v>36</v>
      </c>
      <c r="Y18" t="s">
        <v>37</v>
      </c>
      <c r="Z18" t="s">
        <v>38</v>
      </c>
      <c r="AA18" t="s">
        <v>39</v>
      </c>
      <c r="AB18" t="s">
        <v>40</v>
      </c>
      <c r="AC18" t="s">
        <v>41</v>
      </c>
      <c r="AD18" t="s">
        <v>42</v>
      </c>
      <c r="AE18" t="s">
        <v>43</v>
      </c>
      <c r="AF18" t="s">
        <v>44</v>
      </c>
      <c r="AG18" t="s">
        <v>45</v>
      </c>
      <c r="AH18" t="s">
        <v>46</v>
      </c>
      <c r="AI18" t="s">
        <v>47</v>
      </c>
      <c r="AJ18" t="s">
        <v>48</v>
      </c>
      <c r="AK18" t="s">
        <v>49</v>
      </c>
      <c r="AL18" t="s">
        <v>50</v>
      </c>
      <c r="AM18" t="s">
        <v>51</v>
      </c>
      <c r="AN18" t="s">
        <v>52</v>
      </c>
      <c r="AO18" t="s">
        <v>53</v>
      </c>
      <c r="AP18" t="s">
        <v>54</v>
      </c>
      <c r="AQ18" t="s">
        <v>55</v>
      </c>
      <c r="AR18" t="s">
        <v>56</v>
      </c>
      <c r="AS18" t="s">
        <v>57</v>
      </c>
      <c r="AT18" t="s">
        <v>58</v>
      </c>
      <c r="AU18" t="s">
        <v>59</v>
      </c>
      <c r="AV18" t="s">
        <v>60</v>
      </c>
      <c r="AW18" t="s">
        <v>61</v>
      </c>
      <c r="AX18" t="s">
        <v>62</v>
      </c>
      <c r="AY18" t="s">
        <v>63</v>
      </c>
      <c r="AZ18" t="s">
        <v>64</v>
      </c>
      <c r="BA18" t="s">
        <v>65</v>
      </c>
      <c r="BB18" t="s">
        <v>66</v>
      </c>
      <c r="BC18" t="s">
        <v>67</v>
      </c>
      <c r="BD18" t="s">
        <v>68</v>
      </c>
      <c r="BE18" t="s">
        <v>69</v>
      </c>
      <c r="BF18" t="s">
        <v>70</v>
      </c>
      <c r="BG18" t="s">
        <v>71</v>
      </c>
      <c r="BH18" t="s">
        <v>72</v>
      </c>
      <c r="BI18" t="s">
        <v>73</v>
      </c>
      <c r="BJ18" t="s">
        <v>74</v>
      </c>
      <c r="BK18" t="s">
        <v>75</v>
      </c>
      <c r="BL18" t="s">
        <v>76</v>
      </c>
      <c r="BM18" t="s">
        <v>77</v>
      </c>
      <c r="BN18" t="s">
        <v>78</v>
      </c>
      <c r="BO18" t="s">
        <v>79</v>
      </c>
      <c r="BP18" t="s">
        <v>80</v>
      </c>
      <c r="BQ18" t="s">
        <v>81</v>
      </c>
      <c r="BR18" t="s">
        <v>82</v>
      </c>
      <c r="BS18" t="s">
        <v>83</v>
      </c>
      <c r="BT18" t="s">
        <v>84</v>
      </c>
      <c r="BU18" t="s">
        <v>85</v>
      </c>
      <c r="BV18" t="s">
        <v>86</v>
      </c>
      <c r="BW18" t="s">
        <v>87</v>
      </c>
      <c r="BX18" t="s">
        <v>88</v>
      </c>
      <c r="BY18" t="s">
        <v>89</v>
      </c>
      <c r="BZ18" t="s">
        <v>90</v>
      </c>
      <c r="CA18" t="s">
        <v>91</v>
      </c>
      <c r="CB18" t="s">
        <v>92</v>
      </c>
      <c r="CC18" t="s">
        <v>93</v>
      </c>
      <c r="CD18" t="s">
        <v>94</v>
      </c>
      <c r="CE18" t="s">
        <v>95</v>
      </c>
      <c r="CF18" t="s">
        <v>96</v>
      </c>
      <c r="CG18" t="s">
        <v>97</v>
      </c>
      <c r="CH18" t="s">
        <v>12</v>
      </c>
      <c r="CI18" t="s">
        <v>98</v>
      </c>
      <c r="CJ18" t="s">
        <v>99</v>
      </c>
      <c r="CK18" t="s">
        <v>100</v>
      </c>
      <c r="CL18" t="s">
        <v>101</v>
      </c>
      <c r="CM18" t="s">
        <v>102</v>
      </c>
      <c r="CN18" t="s">
        <v>103</v>
      </c>
      <c r="CO18" t="s">
        <v>104</v>
      </c>
      <c r="CP18" t="s">
        <v>105</v>
      </c>
      <c r="CQ18" t="s">
        <v>106</v>
      </c>
      <c r="CR18" t="s">
        <v>107</v>
      </c>
      <c r="CS18" t="s">
        <v>108</v>
      </c>
    </row>
    <row r="19" spans="1:97" x14ac:dyDescent="0.25">
      <c r="A19" s="3" t="s">
        <v>13</v>
      </c>
      <c r="B19" t="s">
        <v>14</v>
      </c>
      <c r="C19">
        <v>3.2456621999999999E-3</v>
      </c>
      <c r="D19">
        <v>4.3576748999999996E-3</v>
      </c>
      <c r="E19">
        <v>3.2844279999999998E-3</v>
      </c>
      <c r="F19">
        <v>3.8943943999999999E-3</v>
      </c>
      <c r="G19">
        <v>4.3632528999999996E-3</v>
      </c>
      <c r="H19">
        <v>3.8573090000000002E-3</v>
      </c>
      <c r="I19">
        <v>4.2601076000000002E-3</v>
      </c>
      <c r="J19">
        <v>4.2601076000000002E-3</v>
      </c>
      <c r="K19">
        <v>4.2601076000000002E-3</v>
      </c>
      <c r="L19">
        <v>4.2601076000000002E-3</v>
      </c>
      <c r="M19">
        <v>4.2601076000000002E-3</v>
      </c>
      <c r="N19">
        <v>4.2601076000000002E-3</v>
      </c>
      <c r="O19">
        <v>4.2601076000000002E-3</v>
      </c>
      <c r="P19">
        <v>4.2601076000000002E-3</v>
      </c>
      <c r="Q19">
        <v>4.2601076000000002E-3</v>
      </c>
      <c r="R19">
        <v>2.8918453000000002E-3</v>
      </c>
      <c r="S19">
        <v>4.2601076000000002E-3</v>
      </c>
      <c r="T19">
        <v>4.2601076000000002E-3</v>
      </c>
      <c r="U19">
        <v>4.5763668000000004E-3</v>
      </c>
      <c r="V19">
        <v>3.6095391000000002E-3</v>
      </c>
      <c r="W19">
        <v>5.6927148999999996E-3</v>
      </c>
      <c r="X19">
        <v>5.6927148999999996E-3</v>
      </c>
      <c r="Y19">
        <v>5.6927150000000001E-3</v>
      </c>
      <c r="Z19">
        <v>5.6927148999999996E-3</v>
      </c>
      <c r="AA19">
        <v>5.6927148999999996E-3</v>
      </c>
      <c r="AB19">
        <v>5.6927150000000001E-3</v>
      </c>
      <c r="AC19">
        <v>5.6927148999999996E-3</v>
      </c>
      <c r="AD19">
        <v>5.6927148999999996E-3</v>
      </c>
      <c r="AE19">
        <v>5.6927150000000001E-3</v>
      </c>
      <c r="AF19">
        <v>5.6927148999999996E-3</v>
      </c>
      <c r="AG19">
        <v>5.6927150000000001E-3</v>
      </c>
      <c r="AH19">
        <v>5.6927148999999996E-3</v>
      </c>
      <c r="AI19">
        <v>5.6927150000000001E-3</v>
      </c>
      <c r="AJ19">
        <v>5.6927148999999996E-3</v>
      </c>
      <c r="AK19">
        <v>5.6927148999999996E-3</v>
      </c>
      <c r="AL19">
        <v>5.6927148999999996E-3</v>
      </c>
      <c r="AM19">
        <v>5.6927148999999996E-3</v>
      </c>
      <c r="AN19">
        <v>5.6927150000000001E-3</v>
      </c>
      <c r="AO19">
        <v>5.6927148999999996E-3</v>
      </c>
      <c r="AP19">
        <v>5.6927148999999996E-3</v>
      </c>
      <c r="AQ19">
        <v>5.6927148999999996E-3</v>
      </c>
      <c r="AR19">
        <v>5.6927148999999996E-3</v>
      </c>
      <c r="AS19">
        <v>5.6927148999999996E-3</v>
      </c>
      <c r="AT19">
        <v>5.6927150000000001E-3</v>
      </c>
      <c r="AU19">
        <v>5.6927148999999996E-3</v>
      </c>
      <c r="AV19">
        <v>5.6927148999999996E-3</v>
      </c>
      <c r="AW19">
        <v>5.6927148999999996E-3</v>
      </c>
      <c r="AX19">
        <v>5.6927150000000001E-3</v>
      </c>
      <c r="AY19">
        <v>5.6927148999999996E-3</v>
      </c>
      <c r="AZ19">
        <v>5.6927148999999996E-3</v>
      </c>
      <c r="BA19">
        <v>7.6328734999999998E-3</v>
      </c>
      <c r="BB19">
        <v>6.1740073999999997E-3</v>
      </c>
      <c r="BC19">
        <v>4.8679936000000004E-3</v>
      </c>
      <c r="BD19">
        <v>4.8125412999999997E-3</v>
      </c>
      <c r="BE19">
        <v>3.1564700999999998E-3</v>
      </c>
      <c r="BF19">
        <v>4.8276161999999999E-3</v>
      </c>
      <c r="BG19">
        <v>3.5889638E-3</v>
      </c>
      <c r="BH19">
        <v>4.5408330000000002E-3</v>
      </c>
      <c r="BI19">
        <v>3.9032205E-3</v>
      </c>
      <c r="BJ19">
        <v>3.3586764999999998E-3</v>
      </c>
      <c r="BK19">
        <v>3.5383353999999998E-3</v>
      </c>
      <c r="BL19">
        <v>3.2456621999999999E-3</v>
      </c>
      <c r="BM19">
        <v>4.2613447999999996E-3</v>
      </c>
      <c r="BN19">
        <v>3.3279364999999998E-3</v>
      </c>
      <c r="BO19">
        <v>2.1756024000000001E-3</v>
      </c>
      <c r="BP19">
        <v>3.3757898E-3</v>
      </c>
      <c r="BQ19">
        <v>3.7536276E-3</v>
      </c>
      <c r="BR19">
        <v>4.7312519000000004E-3</v>
      </c>
      <c r="BS19">
        <v>4.1981809999999996E-3</v>
      </c>
      <c r="BT19">
        <v>4.0892117000000004E-3</v>
      </c>
      <c r="BU19">
        <v>3.2379558000000001E-3</v>
      </c>
      <c r="BV19">
        <v>4.6732746999999996E-3</v>
      </c>
      <c r="BW19">
        <v>4.6459450999999999E-3</v>
      </c>
      <c r="BX19">
        <v>3.2456621999999999E-3</v>
      </c>
      <c r="BY19">
        <v>2.8743063999999998E-3</v>
      </c>
      <c r="BZ19">
        <v>3.7380566999999998E-3</v>
      </c>
      <c r="CA19">
        <v>3.5189705999999999E-3</v>
      </c>
      <c r="CB19">
        <v>3.2456621999999999E-3</v>
      </c>
      <c r="CC19">
        <v>5.4390052999999999E-3</v>
      </c>
      <c r="CD19">
        <v>4.0970316000000003E-3</v>
      </c>
      <c r="CE19">
        <v>3.4354492000000002E-3</v>
      </c>
      <c r="CF19">
        <v>3.2456621999999999E-3</v>
      </c>
      <c r="CG19">
        <v>5.6203212999999998E-3</v>
      </c>
      <c r="CH19">
        <v>4.3268921000000002E-3</v>
      </c>
      <c r="CI19">
        <v>2.6107232000000001E-2</v>
      </c>
      <c r="CJ19">
        <v>4.0710420000000004E-3</v>
      </c>
      <c r="CK19">
        <v>3.2456621999999999E-3</v>
      </c>
      <c r="CL19">
        <v>3.8943943999999999E-3</v>
      </c>
      <c r="CM19">
        <v>3.2456621999999999E-3</v>
      </c>
      <c r="CN19">
        <v>3.0655741000000002E-3</v>
      </c>
      <c r="CO19">
        <v>3.2456621999999999E-3</v>
      </c>
      <c r="CP19">
        <v>3.4712602E-3</v>
      </c>
      <c r="CQ19">
        <v>7.4642583999999998E-3</v>
      </c>
      <c r="CR19">
        <v>3.2456621999999999E-3</v>
      </c>
      <c r="CS19">
        <v>7.5512425000000003E-3</v>
      </c>
    </row>
    <row r="20" spans="1:97" x14ac:dyDescent="0.25">
      <c r="C20">
        <f>C19*3600/1000</f>
        <v>1.1684383919999999E-2</v>
      </c>
      <c r="D20">
        <f t="shared" ref="D20:BO20" si="0">D19*3600/1000</f>
        <v>1.5687629639999999E-2</v>
      </c>
      <c r="E20">
        <f t="shared" si="0"/>
        <v>1.1823940799999998E-2</v>
      </c>
      <c r="F20">
        <f t="shared" si="0"/>
        <v>1.4019819839999999E-2</v>
      </c>
      <c r="G20">
        <f t="shared" si="0"/>
        <v>1.5707710439999998E-2</v>
      </c>
      <c r="H20">
        <f t="shared" si="0"/>
        <v>1.3886312400000001E-2</v>
      </c>
      <c r="I20">
        <f t="shared" si="0"/>
        <v>1.533638736E-2</v>
      </c>
      <c r="J20">
        <f t="shared" si="0"/>
        <v>1.533638736E-2</v>
      </c>
      <c r="K20">
        <f t="shared" si="0"/>
        <v>1.533638736E-2</v>
      </c>
      <c r="L20">
        <f t="shared" si="0"/>
        <v>1.533638736E-2</v>
      </c>
      <c r="M20">
        <f t="shared" si="0"/>
        <v>1.533638736E-2</v>
      </c>
      <c r="N20">
        <f t="shared" si="0"/>
        <v>1.533638736E-2</v>
      </c>
      <c r="O20">
        <f t="shared" si="0"/>
        <v>1.533638736E-2</v>
      </c>
      <c r="P20">
        <f t="shared" si="0"/>
        <v>1.533638736E-2</v>
      </c>
      <c r="Q20">
        <f t="shared" si="0"/>
        <v>1.533638736E-2</v>
      </c>
      <c r="R20">
        <f t="shared" si="0"/>
        <v>1.041064308E-2</v>
      </c>
      <c r="S20">
        <f t="shared" si="0"/>
        <v>1.533638736E-2</v>
      </c>
      <c r="T20">
        <f t="shared" si="0"/>
        <v>1.533638736E-2</v>
      </c>
      <c r="U20">
        <f t="shared" si="0"/>
        <v>1.6474920480000002E-2</v>
      </c>
      <c r="V20">
        <f t="shared" si="0"/>
        <v>1.299434076E-2</v>
      </c>
      <c r="W20">
        <f t="shared" si="0"/>
        <v>2.0493773639999997E-2</v>
      </c>
      <c r="X20">
        <f t="shared" si="0"/>
        <v>2.0493773639999997E-2</v>
      </c>
      <c r="Y20">
        <f t="shared" si="0"/>
        <v>2.0493774000000003E-2</v>
      </c>
      <c r="Z20">
        <f t="shared" si="0"/>
        <v>2.0493773639999997E-2</v>
      </c>
      <c r="AA20">
        <f t="shared" si="0"/>
        <v>2.0493773639999997E-2</v>
      </c>
      <c r="AB20">
        <f t="shared" si="0"/>
        <v>2.0493774000000003E-2</v>
      </c>
      <c r="AC20">
        <f t="shared" si="0"/>
        <v>2.0493773639999997E-2</v>
      </c>
      <c r="AD20">
        <f t="shared" si="0"/>
        <v>2.0493773639999997E-2</v>
      </c>
      <c r="AE20">
        <f t="shared" si="0"/>
        <v>2.0493774000000003E-2</v>
      </c>
      <c r="AF20">
        <f t="shared" si="0"/>
        <v>2.0493773639999997E-2</v>
      </c>
      <c r="AG20">
        <f t="shared" si="0"/>
        <v>2.0493774000000003E-2</v>
      </c>
      <c r="AH20">
        <f t="shared" si="0"/>
        <v>2.0493773639999997E-2</v>
      </c>
      <c r="AI20">
        <f t="shared" si="0"/>
        <v>2.0493774000000003E-2</v>
      </c>
      <c r="AJ20">
        <f t="shared" si="0"/>
        <v>2.0493773639999997E-2</v>
      </c>
      <c r="AK20">
        <f t="shared" si="0"/>
        <v>2.0493773639999997E-2</v>
      </c>
      <c r="AL20">
        <f t="shared" si="0"/>
        <v>2.0493773639999997E-2</v>
      </c>
      <c r="AM20">
        <f t="shared" si="0"/>
        <v>2.0493773639999997E-2</v>
      </c>
      <c r="AN20">
        <f t="shared" si="0"/>
        <v>2.0493774000000003E-2</v>
      </c>
      <c r="AO20">
        <f t="shared" si="0"/>
        <v>2.0493773639999997E-2</v>
      </c>
      <c r="AP20">
        <f t="shared" si="0"/>
        <v>2.0493773639999997E-2</v>
      </c>
      <c r="AQ20">
        <f t="shared" si="0"/>
        <v>2.0493773639999997E-2</v>
      </c>
      <c r="AR20">
        <f t="shared" si="0"/>
        <v>2.0493773639999997E-2</v>
      </c>
      <c r="AS20">
        <f t="shared" si="0"/>
        <v>2.0493773639999997E-2</v>
      </c>
      <c r="AT20">
        <f t="shared" si="0"/>
        <v>2.0493774000000003E-2</v>
      </c>
      <c r="AU20">
        <f t="shared" si="0"/>
        <v>2.0493773639999997E-2</v>
      </c>
      <c r="AV20">
        <f t="shared" si="0"/>
        <v>2.0493773639999997E-2</v>
      </c>
      <c r="AW20">
        <f t="shared" si="0"/>
        <v>2.0493773639999997E-2</v>
      </c>
      <c r="AX20">
        <f t="shared" si="0"/>
        <v>2.0493774000000003E-2</v>
      </c>
      <c r="AY20">
        <f t="shared" si="0"/>
        <v>2.0493773639999997E-2</v>
      </c>
      <c r="AZ20">
        <f t="shared" si="0"/>
        <v>2.0493773639999997E-2</v>
      </c>
      <c r="BA20">
        <f t="shared" si="0"/>
        <v>2.7478344599999999E-2</v>
      </c>
      <c r="BB20">
        <f t="shared" si="0"/>
        <v>2.2226426639999998E-2</v>
      </c>
      <c r="BC20">
        <f t="shared" si="0"/>
        <v>1.7524776960000002E-2</v>
      </c>
      <c r="BD20">
        <f t="shared" si="0"/>
        <v>1.7325148679999999E-2</v>
      </c>
      <c r="BE20">
        <f t="shared" si="0"/>
        <v>1.1363292359999999E-2</v>
      </c>
      <c r="BF20">
        <f t="shared" si="0"/>
        <v>1.7379418319999999E-2</v>
      </c>
      <c r="BG20">
        <f t="shared" si="0"/>
        <v>1.2920269680000001E-2</v>
      </c>
      <c r="BH20">
        <f t="shared" si="0"/>
        <v>1.6346998800000002E-2</v>
      </c>
      <c r="BI20">
        <f t="shared" si="0"/>
        <v>1.40515938E-2</v>
      </c>
      <c r="BJ20">
        <f t="shared" si="0"/>
        <v>1.2091235399999999E-2</v>
      </c>
      <c r="BK20">
        <f t="shared" si="0"/>
        <v>1.2738007439999999E-2</v>
      </c>
      <c r="BL20">
        <f t="shared" si="0"/>
        <v>1.1684383919999999E-2</v>
      </c>
      <c r="BM20">
        <f t="shared" si="0"/>
        <v>1.534084128E-2</v>
      </c>
      <c r="BN20">
        <f t="shared" si="0"/>
        <v>1.1980571399999999E-2</v>
      </c>
      <c r="BO20">
        <f t="shared" si="0"/>
        <v>7.8321686400000014E-3</v>
      </c>
      <c r="BP20">
        <f t="shared" ref="BP20:CS20" si="1">BP19*3600/1000</f>
        <v>1.2152843279999999E-2</v>
      </c>
      <c r="BQ20">
        <f t="shared" si="1"/>
        <v>1.3513059359999999E-2</v>
      </c>
      <c r="BR20">
        <f t="shared" si="1"/>
        <v>1.7032506839999999E-2</v>
      </c>
      <c r="BS20">
        <f t="shared" si="1"/>
        <v>1.5113451599999999E-2</v>
      </c>
      <c r="BT20">
        <f t="shared" si="1"/>
        <v>1.4721162120000001E-2</v>
      </c>
      <c r="BU20">
        <f t="shared" si="1"/>
        <v>1.1656640880000001E-2</v>
      </c>
      <c r="BV20">
        <f t="shared" si="1"/>
        <v>1.6823788919999999E-2</v>
      </c>
      <c r="BW20">
        <f t="shared" si="1"/>
        <v>1.6725402359999999E-2</v>
      </c>
      <c r="BX20">
        <f t="shared" si="1"/>
        <v>1.1684383919999999E-2</v>
      </c>
      <c r="BY20">
        <f t="shared" si="1"/>
        <v>1.0347503039999999E-2</v>
      </c>
      <c r="BZ20">
        <f t="shared" si="1"/>
        <v>1.3457004119999999E-2</v>
      </c>
      <c r="CA20">
        <f t="shared" si="1"/>
        <v>1.2668294159999999E-2</v>
      </c>
      <c r="CB20">
        <f t="shared" si="1"/>
        <v>1.1684383919999999E-2</v>
      </c>
      <c r="CC20">
        <f t="shared" si="1"/>
        <v>1.9580419079999998E-2</v>
      </c>
      <c r="CD20">
        <f t="shared" si="1"/>
        <v>1.4749313760000002E-2</v>
      </c>
      <c r="CE20">
        <f t="shared" si="1"/>
        <v>1.236761712E-2</v>
      </c>
      <c r="CF20">
        <f t="shared" si="1"/>
        <v>1.1684383919999999E-2</v>
      </c>
      <c r="CG20">
        <f t="shared" si="1"/>
        <v>2.0233156679999999E-2</v>
      </c>
      <c r="CH20">
        <f t="shared" si="1"/>
        <v>1.5576811560000001E-2</v>
      </c>
      <c r="CI20">
        <f t="shared" si="1"/>
        <v>9.3986035199999998E-2</v>
      </c>
      <c r="CJ20">
        <f t="shared" si="1"/>
        <v>1.4655751200000001E-2</v>
      </c>
      <c r="CK20">
        <f t="shared" si="1"/>
        <v>1.1684383919999999E-2</v>
      </c>
      <c r="CL20">
        <f t="shared" si="1"/>
        <v>1.4019819839999999E-2</v>
      </c>
      <c r="CM20">
        <f t="shared" si="1"/>
        <v>1.1684383919999999E-2</v>
      </c>
      <c r="CN20">
        <f t="shared" si="1"/>
        <v>1.1036066760000001E-2</v>
      </c>
      <c r="CO20">
        <f t="shared" si="1"/>
        <v>1.1684383919999999E-2</v>
      </c>
      <c r="CP20">
        <f t="shared" si="1"/>
        <v>1.249653672E-2</v>
      </c>
      <c r="CQ20">
        <f t="shared" si="1"/>
        <v>2.6871330239999998E-2</v>
      </c>
      <c r="CR20">
        <f t="shared" si="1"/>
        <v>1.1684383919999999E-2</v>
      </c>
      <c r="CS20">
        <f t="shared" si="1"/>
        <v>2.7184473000000001E-2</v>
      </c>
    </row>
    <row r="21" spans="1:97" x14ac:dyDescent="0.25">
      <c r="B21" s="5" t="s">
        <v>109</v>
      </c>
      <c r="C21" s="6">
        <f>MIN(C20:CS20)</f>
        <v>7.8321686400000014E-3</v>
      </c>
      <c r="D21" t="s">
        <v>79</v>
      </c>
    </row>
    <row r="22" spans="1:97" x14ac:dyDescent="0.25">
      <c r="B22" s="5" t="s">
        <v>110</v>
      </c>
      <c r="C22" s="7">
        <f>MAX(C20:CS20)</f>
        <v>9.3986035199999998E-2</v>
      </c>
      <c r="D22" t="s">
        <v>98</v>
      </c>
    </row>
    <row r="23" spans="1:97" x14ac:dyDescent="0.25">
      <c r="B23" s="5" t="s">
        <v>111</v>
      </c>
      <c r="C23" s="8">
        <v>1.5576812000000001E-2</v>
      </c>
      <c r="D23" s="2" t="s">
        <v>12</v>
      </c>
    </row>
    <row r="40" spans="3:9" x14ac:dyDescent="0.25">
      <c r="C40" s="1"/>
      <c r="E40" s="1"/>
      <c r="F40" s="1"/>
      <c r="G40" s="1"/>
      <c r="H40" s="1"/>
      <c r="I40" s="1"/>
    </row>
    <row r="41" spans="3:9" x14ac:dyDescent="0.25">
      <c r="C41" s="1"/>
      <c r="D41" s="1"/>
    </row>
    <row r="42" spans="3:9" x14ac:dyDescent="0.25">
      <c r="C42" s="1"/>
      <c r="E42" s="1"/>
      <c r="F42" s="1"/>
      <c r="G42" s="1"/>
      <c r="H42" s="1"/>
      <c r="I42" s="1"/>
    </row>
    <row r="43" spans="3:9" x14ac:dyDescent="0.25">
      <c r="C43" s="1"/>
      <c r="D43" s="1"/>
      <c r="E43" s="1"/>
      <c r="F43" s="1"/>
    </row>
    <row r="44" spans="3:9" x14ac:dyDescent="0.25">
      <c r="C44" s="1"/>
      <c r="D44" s="1"/>
    </row>
    <row r="45" spans="3:9" x14ac:dyDescent="0.25">
      <c r="C45" s="1"/>
      <c r="D45" s="1"/>
      <c r="E45" s="1"/>
      <c r="F45" s="1"/>
      <c r="G45" s="1"/>
      <c r="H45" s="1"/>
    </row>
    <row r="46" spans="3:9" x14ac:dyDescent="0.25">
      <c r="C46" s="1"/>
      <c r="D46" s="1"/>
      <c r="E46" s="1"/>
      <c r="F46" s="1"/>
      <c r="H46" s="1"/>
      <c r="I46" s="1"/>
    </row>
    <row r="47" spans="3:9" x14ac:dyDescent="0.25">
      <c r="C47" s="1"/>
      <c r="D47" s="1"/>
      <c r="E47" s="1"/>
      <c r="F47" s="1"/>
      <c r="G47" s="1"/>
      <c r="H47" s="1"/>
      <c r="I47" s="1"/>
    </row>
    <row r="48" spans="3:9" x14ac:dyDescent="0.25">
      <c r="C48" s="1"/>
      <c r="D48" s="1"/>
      <c r="E48" s="1"/>
      <c r="F48" s="1"/>
      <c r="G48" s="1"/>
      <c r="H48" s="1"/>
      <c r="I48" s="1"/>
    </row>
    <row r="49" spans="3:9" x14ac:dyDescent="0.25">
      <c r="C49" s="1"/>
      <c r="E49" s="1"/>
      <c r="F49" s="1"/>
      <c r="G49" s="1"/>
      <c r="H49" s="1"/>
      <c r="I49" s="1"/>
    </row>
    <row r="50" spans="3:9" x14ac:dyDescent="0.25">
      <c r="C50" s="1"/>
      <c r="E50" s="1"/>
      <c r="F50" s="1"/>
      <c r="G50" s="1"/>
      <c r="H50" s="1"/>
    </row>
    <row r="51" spans="3:9" x14ac:dyDescent="0.25">
      <c r="C51" s="1"/>
      <c r="E51" s="1"/>
      <c r="F51" s="1"/>
      <c r="G51" s="1"/>
      <c r="H51" s="1"/>
    </row>
    <row r="52" spans="3:9" x14ac:dyDescent="0.25">
      <c r="C52" s="1"/>
      <c r="E52" s="1"/>
      <c r="F52" s="1"/>
      <c r="G52" s="1"/>
      <c r="H52" s="1"/>
    </row>
    <row r="54" spans="3:9" x14ac:dyDescent="0.25">
      <c r="G54" s="1"/>
      <c r="H54" s="1"/>
    </row>
    <row r="55" spans="3:9" x14ac:dyDescent="0.25">
      <c r="G55" s="1"/>
    </row>
    <row r="56" spans="3:9" x14ac:dyDescent="0.25">
      <c r="E56" s="1"/>
      <c r="H56" s="1"/>
    </row>
    <row r="57" spans="3:9" x14ac:dyDescent="0.25">
      <c r="E57" s="1"/>
    </row>
    <row r="58" spans="3:9" x14ac:dyDescent="0.25">
      <c r="E58" s="1"/>
      <c r="G58" s="1"/>
    </row>
    <row r="59" spans="3:9" x14ac:dyDescent="0.25">
      <c r="E59" s="1"/>
      <c r="G59" s="1"/>
      <c r="H59" s="1"/>
    </row>
    <row r="61" spans="3:9" x14ac:dyDescent="0.25">
      <c r="E61" s="1"/>
      <c r="F61" s="1"/>
    </row>
  </sheetData>
  <conditionalFormatting sqref="C19:CS20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20:CS20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19:CS19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444D4B-275C-4E4E-B6B3-E6AA9DE62C5F}">
  <dimension ref="A1:CS61"/>
  <sheetViews>
    <sheetView zoomScaleNormal="100" workbookViewId="0">
      <selection activeCell="F14" sqref="F14"/>
    </sheetView>
  </sheetViews>
  <sheetFormatPr defaultRowHeight="15" x14ac:dyDescent="0.25"/>
  <cols>
    <col min="1" max="1" width="89" customWidth="1"/>
    <col min="2" max="2" width="25.85546875" customWidth="1"/>
    <col min="3" max="3" width="23" customWidth="1"/>
    <col min="4" max="4" width="12.28515625" bestFit="1" customWidth="1"/>
    <col min="6" max="6" width="24.5703125" customWidth="1"/>
    <col min="7" max="7" width="14.7109375" customWidth="1"/>
  </cols>
  <sheetData>
    <row r="1" spans="1:7" x14ac:dyDescent="0.25">
      <c r="A1" s="9" t="s">
        <v>12</v>
      </c>
      <c r="B1" s="9" t="s">
        <v>13</v>
      </c>
      <c r="C1" s="9">
        <v>1.5576812000000001E-2</v>
      </c>
      <c r="D1" s="9" t="s">
        <v>14</v>
      </c>
    </row>
    <row r="3" spans="1:7" x14ac:dyDescent="0.25">
      <c r="A3" s="5"/>
      <c r="B3" s="9" t="s">
        <v>112</v>
      </c>
      <c r="C3" s="9" t="s">
        <v>1</v>
      </c>
      <c r="D3" s="9" t="s">
        <v>113</v>
      </c>
      <c r="F3" s="11" t="s">
        <v>115</v>
      </c>
    </row>
    <row r="4" spans="1:7" x14ac:dyDescent="0.25">
      <c r="A4" s="9" t="s">
        <v>0</v>
      </c>
      <c r="B4" s="9">
        <v>0</v>
      </c>
      <c r="C4" s="9">
        <v>0</v>
      </c>
      <c r="D4" s="9">
        <f>B4*$C$1</f>
        <v>0</v>
      </c>
      <c r="F4" s="9">
        <v>0.54149999999999998</v>
      </c>
    </row>
    <row r="5" spans="1:7" x14ac:dyDescent="0.25">
      <c r="A5" s="9" t="s">
        <v>2</v>
      </c>
      <c r="B5" s="9">
        <v>63.372</v>
      </c>
      <c r="C5" s="9">
        <v>0.9871337</v>
      </c>
      <c r="D5" s="9">
        <f>B5*$C$1</f>
        <v>0.98713373006400007</v>
      </c>
      <c r="F5" s="9" t="s">
        <v>116</v>
      </c>
      <c r="G5" s="9" t="s">
        <v>119</v>
      </c>
    </row>
    <row r="6" spans="1:7" x14ac:dyDescent="0.25">
      <c r="A6" s="9" t="s">
        <v>3</v>
      </c>
      <c r="B6" s="9">
        <v>0</v>
      </c>
      <c r="C6" s="9">
        <v>0</v>
      </c>
      <c r="D6" s="9">
        <f>B6*$C$1</f>
        <v>0</v>
      </c>
      <c r="F6" s="5" t="s">
        <v>117</v>
      </c>
      <c r="G6" s="9">
        <v>3.62</v>
      </c>
    </row>
    <row r="7" spans="1:7" x14ac:dyDescent="0.25">
      <c r="A7" s="9" t="s">
        <v>4</v>
      </c>
      <c r="B7" s="9">
        <v>0</v>
      </c>
      <c r="C7" s="9">
        <v>0</v>
      </c>
      <c r="D7" s="9">
        <f>B7*$C$1</f>
        <v>0</v>
      </c>
      <c r="F7" s="5" t="s">
        <v>118</v>
      </c>
      <c r="G7" s="9">
        <v>0.47399999999999998</v>
      </c>
    </row>
    <row r="9" spans="1:7" x14ac:dyDescent="0.25">
      <c r="A9" s="5"/>
      <c r="B9" s="9" t="s">
        <v>114</v>
      </c>
      <c r="C9" s="9" t="s">
        <v>112</v>
      </c>
      <c r="D9" s="9" t="s">
        <v>1</v>
      </c>
    </row>
    <row r="10" spans="1:7" x14ac:dyDescent="0.25">
      <c r="A10" s="9" t="s">
        <v>5</v>
      </c>
      <c r="B10" s="9">
        <v>0.84719999999999995</v>
      </c>
      <c r="C10" s="9">
        <f>B10*B4</f>
        <v>0</v>
      </c>
      <c r="D10" s="9">
        <f>C10*$C$1</f>
        <v>0</v>
      </c>
    </row>
    <row r="11" spans="1:7" x14ac:dyDescent="0.25">
      <c r="A11" s="9" t="s">
        <v>6</v>
      </c>
      <c r="B11" s="9">
        <v>0.1071</v>
      </c>
      <c r="C11" s="9">
        <f>B11*B5</f>
        <v>6.7871411999999998</v>
      </c>
      <c r="D11" s="9">
        <f>C11*$C$1</f>
        <v>0.10572202248985441</v>
      </c>
    </row>
    <row r="12" spans="1:7" x14ac:dyDescent="0.25">
      <c r="A12" s="9" t="s">
        <v>7</v>
      </c>
      <c r="B12" s="10">
        <v>0</v>
      </c>
      <c r="C12" s="9">
        <f>B12*B6</f>
        <v>0</v>
      </c>
      <c r="D12" s="9">
        <f>C12*$C$1</f>
        <v>0</v>
      </c>
    </row>
    <row r="13" spans="1:7" x14ac:dyDescent="0.25">
      <c r="A13" s="9" t="s">
        <v>8</v>
      </c>
      <c r="B13" s="10">
        <v>0</v>
      </c>
      <c r="C13" s="9">
        <f>B13*B7</f>
        <v>0</v>
      </c>
      <c r="D13" s="9">
        <f>C13*$C$1</f>
        <v>0</v>
      </c>
    </row>
    <row r="14" spans="1:7" x14ac:dyDescent="0.25">
      <c r="A14" s="12" t="s">
        <v>11</v>
      </c>
      <c r="B14" s="5"/>
      <c r="C14" s="13">
        <f>SUM(C10:C13)</f>
        <v>6.7871411999999998</v>
      </c>
      <c r="D14" s="13">
        <f>SUM(D10:D13)</f>
        <v>0.10572202248985441</v>
      </c>
      <c r="F14" s="15"/>
    </row>
    <row r="15" spans="1:7" x14ac:dyDescent="0.25">
      <c r="A15" s="12" t="s">
        <v>120</v>
      </c>
      <c r="B15" s="5"/>
      <c r="C15" s="5"/>
      <c r="D15" s="13">
        <v>1.6640026999999999</v>
      </c>
    </row>
    <row r="16" spans="1:7" x14ac:dyDescent="0.25">
      <c r="A16" s="12" t="s">
        <v>122</v>
      </c>
      <c r="B16" s="5"/>
      <c r="C16" s="5"/>
      <c r="D16" s="13">
        <v>4.6039285999999997</v>
      </c>
    </row>
    <row r="17" spans="1:97" x14ac:dyDescent="0.25">
      <c r="A17" s="14"/>
      <c r="B17" s="4"/>
      <c r="C17" s="4"/>
      <c r="D17" s="14"/>
    </row>
    <row r="18" spans="1:97" x14ac:dyDescent="0.25">
      <c r="A18" s="3" t="s">
        <v>9</v>
      </c>
      <c r="B18" t="s">
        <v>10</v>
      </c>
      <c r="C18" t="s">
        <v>15</v>
      </c>
      <c r="D18" t="s">
        <v>16</v>
      </c>
      <c r="E18" t="s">
        <v>17</v>
      </c>
      <c r="F18" t="s">
        <v>18</v>
      </c>
      <c r="G18" t="s">
        <v>19</v>
      </c>
      <c r="H18" t="s">
        <v>20</v>
      </c>
      <c r="I18" t="s">
        <v>21</v>
      </c>
      <c r="J18" t="s">
        <v>22</v>
      </c>
      <c r="K18" t="s">
        <v>23</v>
      </c>
      <c r="L18" t="s">
        <v>24</v>
      </c>
      <c r="M18" t="s">
        <v>25</v>
      </c>
      <c r="N18" t="s">
        <v>26</v>
      </c>
      <c r="O18" t="s">
        <v>27</v>
      </c>
      <c r="P18" t="s">
        <v>28</v>
      </c>
      <c r="Q18" t="s">
        <v>29</v>
      </c>
      <c r="R18" t="s">
        <v>30</v>
      </c>
      <c r="S18" t="s">
        <v>31</v>
      </c>
      <c r="T18" t="s">
        <v>32</v>
      </c>
      <c r="U18" t="s">
        <v>33</v>
      </c>
      <c r="V18" t="s">
        <v>34</v>
      </c>
      <c r="W18" t="s">
        <v>35</v>
      </c>
      <c r="X18" t="s">
        <v>36</v>
      </c>
      <c r="Y18" t="s">
        <v>37</v>
      </c>
      <c r="Z18" t="s">
        <v>38</v>
      </c>
      <c r="AA18" t="s">
        <v>39</v>
      </c>
      <c r="AB18" t="s">
        <v>40</v>
      </c>
      <c r="AC18" t="s">
        <v>41</v>
      </c>
      <c r="AD18" t="s">
        <v>42</v>
      </c>
      <c r="AE18" t="s">
        <v>43</v>
      </c>
      <c r="AF18" t="s">
        <v>44</v>
      </c>
      <c r="AG18" t="s">
        <v>45</v>
      </c>
      <c r="AH18" t="s">
        <v>46</v>
      </c>
      <c r="AI18" t="s">
        <v>47</v>
      </c>
      <c r="AJ18" t="s">
        <v>48</v>
      </c>
      <c r="AK18" t="s">
        <v>49</v>
      </c>
      <c r="AL18" t="s">
        <v>50</v>
      </c>
      <c r="AM18" t="s">
        <v>51</v>
      </c>
      <c r="AN18" t="s">
        <v>52</v>
      </c>
      <c r="AO18" t="s">
        <v>53</v>
      </c>
      <c r="AP18" t="s">
        <v>54</v>
      </c>
      <c r="AQ18" t="s">
        <v>55</v>
      </c>
      <c r="AR18" t="s">
        <v>56</v>
      </c>
      <c r="AS18" t="s">
        <v>57</v>
      </c>
      <c r="AT18" t="s">
        <v>58</v>
      </c>
      <c r="AU18" t="s">
        <v>59</v>
      </c>
      <c r="AV18" t="s">
        <v>60</v>
      </c>
      <c r="AW18" t="s">
        <v>61</v>
      </c>
      <c r="AX18" t="s">
        <v>62</v>
      </c>
      <c r="AY18" t="s">
        <v>63</v>
      </c>
      <c r="AZ18" t="s">
        <v>64</v>
      </c>
      <c r="BA18" t="s">
        <v>65</v>
      </c>
      <c r="BB18" t="s">
        <v>66</v>
      </c>
      <c r="BC18" t="s">
        <v>67</v>
      </c>
      <c r="BD18" t="s">
        <v>68</v>
      </c>
      <c r="BE18" t="s">
        <v>69</v>
      </c>
      <c r="BF18" t="s">
        <v>70</v>
      </c>
      <c r="BG18" t="s">
        <v>71</v>
      </c>
      <c r="BH18" t="s">
        <v>72</v>
      </c>
      <c r="BI18" t="s">
        <v>73</v>
      </c>
      <c r="BJ18" t="s">
        <v>74</v>
      </c>
      <c r="BK18" t="s">
        <v>75</v>
      </c>
      <c r="BL18" t="s">
        <v>76</v>
      </c>
      <c r="BM18" t="s">
        <v>77</v>
      </c>
      <c r="BN18" t="s">
        <v>78</v>
      </c>
      <c r="BO18" t="s">
        <v>79</v>
      </c>
      <c r="BP18" t="s">
        <v>80</v>
      </c>
      <c r="BQ18" t="s">
        <v>81</v>
      </c>
      <c r="BR18" t="s">
        <v>82</v>
      </c>
      <c r="BS18" t="s">
        <v>83</v>
      </c>
      <c r="BT18" t="s">
        <v>84</v>
      </c>
      <c r="BU18" t="s">
        <v>85</v>
      </c>
      <c r="BV18" t="s">
        <v>86</v>
      </c>
      <c r="BW18" t="s">
        <v>87</v>
      </c>
      <c r="BX18" t="s">
        <v>88</v>
      </c>
      <c r="BY18" t="s">
        <v>89</v>
      </c>
      <c r="BZ18" t="s">
        <v>90</v>
      </c>
      <c r="CA18" t="s">
        <v>91</v>
      </c>
      <c r="CB18" t="s">
        <v>92</v>
      </c>
      <c r="CC18" t="s">
        <v>93</v>
      </c>
      <c r="CD18" t="s">
        <v>94</v>
      </c>
      <c r="CE18" t="s">
        <v>95</v>
      </c>
      <c r="CF18" t="s">
        <v>96</v>
      </c>
      <c r="CG18" t="s">
        <v>97</v>
      </c>
      <c r="CH18" t="s">
        <v>12</v>
      </c>
      <c r="CI18" t="s">
        <v>98</v>
      </c>
      <c r="CJ18" t="s">
        <v>99</v>
      </c>
      <c r="CK18" t="s">
        <v>100</v>
      </c>
      <c r="CL18" t="s">
        <v>101</v>
      </c>
      <c r="CM18" t="s">
        <v>102</v>
      </c>
      <c r="CN18" t="s">
        <v>103</v>
      </c>
      <c r="CO18" t="s">
        <v>104</v>
      </c>
      <c r="CP18" t="s">
        <v>105</v>
      </c>
      <c r="CQ18" t="s">
        <v>106</v>
      </c>
      <c r="CR18" t="s">
        <v>107</v>
      </c>
      <c r="CS18" t="s">
        <v>108</v>
      </c>
    </row>
    <row r="19" spans="1:97" x14ac:dyDescent="0.25">
      <c r="A19" s="3" t="s">
        <v>13</v>
      </c>
      <c r="B19" t="s">
        <v>14</v>
      </c>
      <c r="C19">
        <v>3.2456621999999999E-3</v>
      </c>
      <c r="D19">
        <v>4.3576748999999996E-3</v>
      </c>
      <c r="E19">
        <v>3.2844279999999998E-3</v>
      </c>
      <c r="F19">
        <v>3.8943943999999999E-3</v>
      </c>
      <c r="G19">
        <v>4.3632528999999996E-3</v>
      </c>
      <c r="H19">
        <v>3.8573090000000002E-3</v>
      </c>
      <c r="I19">
        <v>4.2601076000000002E-3</v>
      </c>
      <c r="J19">
        <v>4.2601076000000002E-3</v>
      </c>
      <c r="K19">
        <v>4.2601076000000002E-3</v>
      </c>
      <c r="L19">
        <v>4.2601076000000002E-3</v>
      </c>
      <c r="M19">
        <v>4.2601076000000002E-3</v>
      </c>
      <c r="N19">
        <v>4.2601076000000002E-3</v>
      </c>
      <c r="O19">
        <v>4.2601076000000002E-3</v>
      </c>
      <c r="P19">
        <v>4.2601076000000002E-3</v>
      </c>
      <c r="Q19">
        <v>4.2601076000000002E-3</v>
      </c>
      <c r="R19">
        <v>2.8918453000000002E-3</v>
      </c>
      <c r="S19">
        <v>4.2601076000000002E-3</v>
      </c>
      <c r="T19">
        <v>4.2601076000000002E-3</v>
      </c>
      <c r="U19">
        <v>4.5763668000000004E-3</v>
      </c>
      <c r="V19">
        <v>3.6095391000000002E-3</v>
      </c>
      <c r="W19">
        <v>5.6927148999999996E-3</v>
      </c>
      <c r="X19">
        <v>5.6927148999999996E-3</v>
      </c>
      <c r="Y19">
        <v>5.6927150000000001E-3</v>
      </c>
      <c r="Z19">
        <v>5.6927148999999996E-3</v>
      </c>
      <c r="AA19">
        <v>5.6927148999999996E-3</v>
      </c>
      <c r="AB19">
        <v>5.6927150000000001E-3</v>
      </c>
      <c r="AC19">
        <v>5.6927148999999996E-3</v>
      </c>
      <c r="AD19">
        <v>5.6927148999999996E-3</v>
      </c>
      <c r="AE19">
        <v>5.6927150000000001E-3</v>
      </c>
      <c r="AF19">
        <v>5.6927148999999996E-3</v>
      </c>
      <c r="AG19">
        <v>5.6927150000000001E-3</v>
      </c>
      <c r="AH19">
        <v>5.6927148999999996E-3</v>
      </c>
      <c r="AI19">
        <v>5.6927150000000001E-3</v>
      </c>
      <c r="AJ19">
        <v>5.6927148999999996E-3</v>
      </c>
      <c r="AK19">
        <v>5.6927148999999996E-3</v>
      </c>
      <c r="AL19">
        <v>5.6927148999999996E-3</v>
      </c>
      <c r="AM19">
        <v>5.6927148999999996E-3</v>
      </c>
      <c r="AN19">
        <v>5.6927150000000001E-3</v>
      </c>
      <c r="AO19">
        <v>5.6927148999999996E-3</v>
      </c>
      <c r="AP19">
        <v>5.6927148999999996E-3</v>
      </c>
      <c r="AQ19">
        <v>5.6927148999999996E-3</v>
      </c>
      <c r="AR19">
        <v>5.6927148999999996E-3</v>
      </c>
      <c r="AS19">
        <v>5.6927148999999996E-3</v>
      </c>
      <c r="AT19">
        <v>5.6927150000000001E-3</v>
      </c>
      <c r="AU19">
        <v>5.6927148999999996E-3</v>
      </c>
      <c r="AV19">
        <v>5.6927148999999996E-3</v>
      </c>
      <c r="AW19">
        <v>5.6927148999999996E-3</v>
      </c>
      <c r="AX19">
        <v>5.6927150000000001E-3</v>
      </c>
      <c r="AY19">
        <v>5.6927148999999996E-3</v>
      </c>
      <c r="AZ19">
        <v>5.6927148999999996E-3</v>
      </c>
      <c r="BA19">
        <v>7.6328734999999998E-3</v>
      </c>
      <c r="BB19">
        <v>6.1740073999999997E-3</v>
      </c>
      <c r="BC19">
        <v>4.8679936000000004E-3</v>
      </c>
      <c r="BD19">
        <v>4.8125412999999997E-3</v>
      </c>
      <c r="BE19">
        <v>3.1564700999999998E-3</v>
      </c>
      <c r="BF19">
        <v>4.8276161999999999E-3</v>
      </c>
      <c r="BG19">
        <v>3.5889638E-3</v>
      </c>
      <c r="BH19">
        <v>4.5408330000000002E-3</v>
      </c>
      <c r="BI19">
        <v>3.9032205E-3</v>
      </c>
      <c r="BJ19">
        <v>3.3586764999999998E-3</v>
      </c>
      <c r="BK19">
        <v>3.5383353999999998E-3</v>
      </c>
      <c r="BL19">
        <v>3.2456621999999999E-3</v>
      </c>
      <c r="BM19">
        <v>4.2613447999999996E-3</v>
      </c>
      <c r="BN19">
        <v>3.3279364999999998E-3</v>
      </c>
      <c r="BO19">
        <v>2.1756024000000001E-3</v>
      </c>
      <c r="BP19">
        <v>3.3757898E-3</v>
      </c>
      <c r="BQ19">
        <v>3.7536276E-3</v>
      </c>
      <c r="BR19">
        <v>4.7312519000000004E-3</v>
      </c>
      <c r="BS19">
        <v>4.1981809999999996E-3</v>
      </c>
      <c r="BT19">
        <v>4.0892117000000004E-3</v>
      </c>
      <c r="BU19">
        <v>3.2379558000000001E-3</v>
      </c>
      <c r="BV19">
        <v>4.6732746999999996E-3</v>
      </c>
      <c r="BW19">
        <v>4.6459450999999999E-3</v>
      </c>
      <c r="BX19">
        <v>3.2456621999999999E-3</v>
      </c>
      <c r="BY19">
        <v>2.8743063999999998E-3</v>
      </c>
      <c r="BZ19">
        <v>3.7380566999999998E-3</v>
      </c>
      <c r="CA19">
        <v>3.5189705999999999E-3</v>
      </c>
      <c r="CB19">
        <v>3.2456621999999999E-3</v>
      </c>
      <c r="CC19">
        <v>5.4390052999999999E-3</v>
      </c>
      <c r="CD19">
        <v>4.0970316000000003E-3</v>
      </c>
      <c r="CE19">
        <v>3.4354492000000002E-3</v>
      </c>
      <c r="CF19">
        <v>3.2456621999999999E-3</v>
      </c>
      <c r="CG19">
        <v>5.6203212999999998E-3</v>
      </c>
      <c r="CH19">
        <v>4.3268921000000002E-3</v>
      </c>
      <c r="CI19">
        <v>2.6107232000000001E-2</v>
      </c>
      <c r="CJ19">
        <v>4.0710420000000004E-3</v>
      </c>
      <c r="CK19">
        <v>3.2456621999999999E-3</v>
      </c>
      <c r="CL19">
        <v>3.8943943999999999E-3</v>
      </c>
      <c r="CM19">
        <v>3.2456621999999999E-3</v>
      </c>
      <c r="CN19">
        <v>3.0655741000000002E-3</v>
      </c>
      <c r="CO19">
        <v>3.2456621999999999E-3</v>
      </c>
      <c r="CP19">
        <v>3.4712602E-3</v>
      </c>
      <c r="CQ19">
        <v>7.4642583999999998E-3</v>
      </c>
      <c r="CR19">
        <v>3.2456621999999999E-3</v>
      </c>
      <c r="CS19">
        <v>7.5512425000000003E-3</v>
      </c>
    </row>
    <row r="20" spans="1:97" x14ac:dyDescent="0.25">
      <c r="C20">
        <f>C19*3600/1000</f>
        <v>1.1684383919999999E-2</v>
      </c>
      <c r="D20">
        <f t="shared" ref="D20:BO20" si="0">D19*3600/1000</f>
        <v>1.5687629639999999E-2</v>
      </c>
      <c r="E20">
        <f t="shared" si="0"/>
        <v>1.1823940799999998E-2</v>
      </c>
      <c r="F20">
        <f t="shared" si="0"/>
        <v>1.4019819839999999E-2</v>
      </c>
      <c r="G20">
        <f t="shared" si="0"/>
        <v>1.5707710439999998E-2</v>
      </c>
      <c r="H20">
        <f t="shared" si="0"/>
        <v>1.3886312400000001E-2</v>
      </c>
      <c r="I20">
        <f t="shared" si="0"/>
        <v>1.533638736E-2</v>
      </c>
      <c r="J20">
        <f t="shared" si="0"/>
        <v>1.533638736E-2</v>
      </c>
      <c r="K20">
        <f t="shared" si="0"/>
        <v>1.533638736E-2</v>
      </c>
      <c r="L20">
        <f t="shared" si="0"/>
        <v>1.533638736E-2</v>
      </c>
      <c r="M20">
        <f t="shared" si="0"/>
        <v>1.533638736E-2</v>
      </c>
      <c r="N20">
        <f t="shared" si="0"/>
        <v>1.533638736E-2</v>
      </c>
      <c r="O20">
        <f t="shared" si="0"/>
        <v>1.533638736E-2</v>
      </c>
      <c r="P20">
        <f t="shared" si="0"/>
        <v>1.533638736E-2</v>
      </c>
      <c r="Q20">
        <f t="shared" si="0"/>
        <v>1.533638736E-2</v>
      </c>
      <c r="R20">
        <f t="shared" si="0"/>
        <v>1.041064308E-2</v>
      </c>
      <c r="S20">
        <f t="shared" si="0"/>
        <v>1.533638736E-2</v>
      </c>
      <c r="T20">
        <f t="shared" si="0"/>
        <v>1.533638736E-2</v>
      </c>
      <c r="U20">
        <f t="shared" si="0"/>
        <v>1.6474920480000002E-2</v>
      </c>
      <c r="V20">
        <f t="shared" si="0"/>
        <v>1.299434076E-2</v>
      </c>
      <c r="W20">
        <f t="shared" si="0"/>
        <v>2.0493773639999997E-2</v>
      </c>
      <c r="X20">
        <f t="shared" si="0"/>
        <v>2.0493773639999997E-2</v>
      </c>
      <c r="Y20">
        <f t="shared" si="0"/>
        <v>2.0493774000000003E-2</v>
      </c>
      <c r="Z20">
        <f t="shared" si="0"/>
        <v>2.0493773639999997E-2</v>
      </c>
      <c r="AA20">
        <f t="shared" si="0"/>
        <v>2.0493773639999997E-2</v>
      </c>
      <c r="AB20">
        <f t="shared" si="0"/>
        <v>2.0493774000000003E-2</v>
      </c>
      <c r="AC20">
        <f t="shared" si="0"/>
        <v>2.0493773639999997E-2</v>
      </c>
      <c r="AD20">
        <f t="shared" si="0"/>
        <v>2.0493773639999997E-2</v>
      </c>
      <c r="AE20">
        <f t="shared" si="0"/>
        <v>2.0493774000000003E-2</v>
      </c>
      <c r="AF20">
        <f t="shared" si="0"/>
        <v>2.0493773639999997E-2</v>
      </c>
      <c r="AG20">
        <f t="shared" si="0"/>
        <v>2.0493774000000003E-2</v>
      </c>
      <c r="AH20">
        <f t="shared" si="0"/>
        <v>2.0493773639999997E-2</v>
      </c>
      <c r="AI20">
        <f t="shared" si="0"/>
        <v>2.0493774000000003E-2</v>
      </c>
      <c r="AJ20">
        <f t="shared" si="0"/>
        <v>2.0493773639999997E-2</v>
      </c>
      <c r="AK20">
        <f t="shared" si="0"/>
        <v>2.0493773639999997E-2</v>
      </c>
      <c r="AL20">
        <f t="shared" si="0"/>
        <v>2.0493773639999997E-2</v>
      </c>
      <c r="AM20">
        <f t="shared" si="0"/>
        <v>2.0493773639999997E-2</v>
      </c>
      <c r="AN20">
        <f t="shared" si="0"/>
        <v>2.0493774000000003E-2</v>
      </c>
      <c r="AO20">
        <f t="shared" si="0"/>
        <v>2.0493773639999997E-2</v>
      </c>
      <c r="AP20">
        <f t="shared" si="0"/>
        <v>2.0493773639999997E-2</v>
      </c>
      <c r="AQ20">
        <f t="shared" si="0"/>
        <v>2.0493773639999997E-2</v>
      </c>
      <c r="AR20">
        <f t="shared" si="0"/>
        <v>2.0493773639999997E-2</v>
      </c>
      <c r="AS20">
        <f t="shared" si="0"/>
        <v>2.0493773639999997E-2</v>
      </c>
      <c r="AT20">
        <f t="shared" si="0"/>
        <v>2.0493774000000003E-2</v>
      </c>
      <c r="AU20">
        <f t="shared" si="0"/>
        <v>2.0493773639999997E-2</v>
      </c>
      <c r="AV20">
        <f t="shared" si="0"/>
        <v>2.0493773639999997E-2</v>
      </c>
      <c r="AW20">
        <f t="shared" si="0"/>
        <v>2.0493773639999997E-2</v>
      </c>
      <c r="AX20">
        <f t="shared" si="0"/>
        <v>2.0493774000000003E-2</v>
      </c>
      <c r="AY20">
        <f t="shared" si="0"/>
        <v>2.0493773639999997E-2</v>
      </c>
      <c r="AZ20">
        <f t="shared" si="0"/>
        <v>2.0493773639999997E-2</v>
      </c>
      <c r="BA20">
        <f t="shared" si="0"/>
        <v>2.7478344599999999E-2</v>
      </c>
      <c r="BB20">
        <f t="shared" si="0"/>
        <v>2.2226426639999998E-2</v>
      </c>
      <c r="BC20">
        <f t="shared" si="0"/>
        <v>1.7524776960000002E-2</v>
      </c>
      <c r="BD20">
        <f t="shared" si="0"/>
        <v>1.7325148679999999E-2</v>
      </c>
      <c r="BE20">
        <f t="shared" si="0"/>
        <v>1.1363292359999999E-2</v>
      </c>
      <c r="BF20">
        <f t="shared" si="0"/>
        <v>1.7379418319999999E-2</v>
      </c>
      <c r="BG20">
        <f t="shared" si="0"/>
        <v>1.2920269680000001E-2</v>
      </c>
      <c r="BH20">
        <f t="shared" si="0"/>
        <v>1.6346998800000002E-2</v>
      </c>
      <c r="BI20">
        <f t="shared" si="0"/>
        <v>1.40515938E-2</v>
      </c>
      <c r="BJ20">
        <f t="shared" si="0"/>
        <v>1.2091235399999999E-2</v>
      </c>
      <c r="BK20">
        <f t="shared" si="0"/>
        <v>1.2738007439999999E-2</v>
      </c>
      <c r="BL20">
        <f t="shared" si="0"/>
        <v>1.1684383919999999E-2</v>
      </c>
      <c r="BM20">
        <f t="shared" si="0"/>
        <v>1.534084128E-2</v>
      </c>
      <c r="BN20">
        <f t="shared" si="0"/>
        <v>1.1980571399999999E-2</v>
      </c>
      <c r="BO20">
        <f t="shared" si="0"/>
        <v>7.8321686400000014E-3</v>
      </c>
      <c r="BP20">
        <f t="shared" ref="BP20:CS20" si="1">BP19*3600/1000</f>
        <v>1.2152843279999999E-2</v>
      </c>
      <c r="BQ20">
        <f t="shared" si="1"/>
        <v>1.3513059359999999E-2</v>
      </c>
      <c r="BR20">
        <f t="shared" si="1"/>
        <v>1.7032506839999999E-2</v>
      </c>
      <c r="BS20">
        <f t="shared" si="1"/>
        <v>1.5113451599999999E-2</v>
      </c>
      <c r="BT20">
        <f t="shared" si="1"/>
        <v>1.4721162120000001E-2</v>
      </c>
      <c r="BU20">
        <f t="shared" si="1"/>
        <v>1.1656640880000001E-2</v>
      </c>
      <c r="BV20">
        <f t="shared" si="1"/>
        <v>1.6823788919999999E-2</v>
      </c>
      <c r="BW20">
        <f t="shared" si="1"/>
        <v>1.6725402359999999E-2</v>
      </c>
      <c r="BX20">
        <f t="shared" si="1"/>
        <v>1.1684383919999999E-2</v>
      </c>
      <c r="BY20">
        <f t="shared" si="1"/>
        <v>1.0347503039999999E-2</v>
      </c>
      <c r="BZ20">
        <f t="shared" si="1"/>
        <v>1.3457004119999999E-2</v>
      </c>
      <c r="CA20">
        <f t="shared" si="1"/>
        <v>1.2668294159999999E-2</v>
      </c>
      <c r="CB20">
        <f t="shared" si="1"/>
        <v>1.1684383919999999E-2</v>
      </c>
      <c r="CC20">
        <f t="shared" si="1"/>
        <v>1.9580419079999998E-2</v>
      </c>
      <c r="CD20">
        <f t="shared" si="1"/>
        <v>1.4749313760000002E-2</v>
      </c>
      <c r="CE20">
        <f t="shared" si="1"/>
        <v>1.236761712E-2</v>
      </c>
      <c r="CF20">
        <f t="shared" si="1"/>
        <v>1.1684383919999999E-2</v>
      </c>
      <c r="CG20">
        <f t="shared" si="1"/>
        <v>2.0233156679999999E-2</v>
      </c>
      <c r="CH20">
        <f t="shared" si="1"/>
        <v>1.5576811560000001E-2</v>
      </c>
      <c r="CI20">
        <f t="shared" si="1"/>
        <v>9.3986035199999998E-2</v>
      </c>
      <c r="CJ20">
        <f t="shared" si="1"/>
        <v>1.4655751200000001E-2</v>
      </c>
      <c r="CK20">
        <f t="shared" si="1"/>
        <v>1.1684383919999999E-2</v>
      </c>
      <c r="CL20">
        <f t="shared" si="1"/>
        <v>1.4019819839999999E-2</v>
      </c>
      <c r="CM20">
        <f t="shared" si="1"/>
        <v>1.1684383919999999E-2</v>
      </c>
      <c r="CN20">
        <f t="shared" si="1"/>
        <v>1.1036066760000001E-2</v>
      </c>
      <c r="CO20">
        <f t="shared" si="1"/>
        <v>1.1684383919999999E-2</v>
      </c>
      <c r="CP20">
        <f t="shared" si="1"/>
        <v>1.249653672E-2</v>
      </c>
      <c r="CQ20">
        <f t="shared" si="1"/>
        <v>2.6871330239999998E-2</v>
      </c>
      <c r="CR20">
        <f t="shared" si="1"/>
        <v>1.1684383919999999E-2</v>
      </c>
      <c r="CS20">
        <f t="shared" si="1"/>
        <v>2.7184473000000001E-2</v>
      </c>
    </row>
    <row r="21" spans="1:97" x14ac:dyDescent="0.25">
      <c r="B21" s="5" t="s">
        <v>109</v>
      </c>
      <c r="C21" s="6">
        <f>MIN(C20:CS20)</f>
        <v>7.8321686400000014E-3</v>
      </c>
      <c r="D21" t="s">
        <v>79</v>
      </c>
    </row>
    <row r="22" spans="1:97" x14ac:dyDescent="0.25">
      <c r="B22" s="5" t="s">
        <v>110</v>
      </c>
      <c r="C22" s="7">
        <f>MAX(C20:CS20)</f>
        <v>9.3986035199999998E-2</v>
      </c>
      <c r="D22" t="s">
        <v>98</v>
      </c>
    </row>
    <row r="23" spans="1:97" x14ac:dyDescent="0.25">
      <c r="B23" s="5" t="s">
        <v>111</v>
      </c>
      <c r="C23" s="8">
        <v>1.5576812000000001E-2</v>
      </c>
      <c r="D23" s="2" t="s">
        <v>12</v>
      </c>
    </row>
    <row r="40" spans="3:9" x14ac:dyDescent="0.25">
      <c r="C40" s="1"/>
      <c r="E40" s="1"/>
      <c r="F40" s="1"/>
      <c r="G40" s="1"/>
      <c r="H40" s="1"/>
      <c r="I40" s="1"/>
    </row>
    <row r="41" spans="3:9" x14ac:dyDescent="0.25">
      <c r="C41" s="1"/>
      <c r="D41" s="1"/>
    </row>
    <row r="42" spans="3:9" x14ac:dyDescent="0.25">
      <c r="C42" s="1"/>
      <c r="E42" s="1"/>
      <c r="F42" s="1"/>
      <c r="G42" s="1"/>
      <c r="H42" s="1"/>
      <c r="I42" s="1"/>
    </row>
    <row r="43" spans="3:9" x14ac:dyDescent="0.25">
      <c r="C43" s="1"/>
      <c r="D43" s="1"/>
      <c r="E43" s="1"/>
      <c r="F43" s="1"/>
    </row>
    <row r="44" spans="3:9" x14ac:dyDescent="0.25">
      <c r="C44" s="1"/>
      <c r="D44" s="1"/>
    </row>
    <row r="45" spans="3:9" x14ac:dyDescent="0.25">
      <c r="C45" s="1"/>
      <c r="D45" s="1"/>
      <c r="E45" s="1"/>
      <c r="F45" s="1"/>
      <c r="G45" s="1"/>
      <c r="H45" s="1"/>
    </row>
    <row r="46" spans="3:9" x14ac:dyDescent="0.25">
      <c r="C46" s="1"/>
      <c r="D46" s="1"/>
      <c r="E46" s="1"/>
      <c r="F46" s="1"/>
      <c r="H46" s="1"/>
      <c r="I46" s="1"/>
    </row>
    <row r="47" spans="3:9" x14ac:dyDescent="0.25">
      <c r="C47" s="1"/>
      <c r="D47" s="1"/>
      <c r="E47" s="1"/>
      <c r="F47" s="1"/>
      <c r="G47" s="1"/>
      <c r="H47" s="1"/>
      <c r="I47" s="1"/>
    </row>
    <row r="48" spans="3:9" x14ac:dyDescent="0.25">
      <c r="C48" s="1"/>
      <c r="D48" s="1"/>
      <c r="E48" s="1"/>
      <c r="F48" s="1"/>
      <c r="G48" s="1"/>
      <c r="H48" s="1"/>
      <c r="I48" s="1"/>
    </row>
    <row r="49" spans="3:9" x14ac:dyDescent="0.25">
      <c r="C49" s="1"/>
      <c r="E49" s="1"/>
      <c r="F49" s="1"/>
      <c r="G49" s="1"/>
      <c r="H49" s="1"/>
      <c r="I49" s="1"/>
    </row>
    <row r="50" spans="3:9" x14ac:dyDescent="0.25">
      <c r="C50" s="1"/>
      <c r="E50" s="1"/>
      <c r="F50" s="1"/>
      <c r="G50" s="1"/>
      <c r="H50" s="1"/>
    </row>
    <row r="51" spans="3:9" x14ac:dyDescent="0.25">
      <c r="C51" s="1"/>
      <c r="E51" s="1"/>
      <c r="F51" s="1"/>
      <c r="G51" s="1"/>
      <c r="H51" s="1"/>
    </row>
    <row r="52" spans="3:9" x14ac:dyDescent="0.25">
      <c r="C52" s="1"/>
      <c r="E52" s="1"/>
      <c r="F52" s="1"/>
      <c r="G52" s="1"/>
      <c r="H52" s="1"/>
    </row>
    <row r="54" spans="3:9" x14ac:dyDescent="0.25">
      <c r="G54" s="1"/>
      <c r="H54" s="1"/>
    </row>
    <row r="55" spans="3:9" x14ac:dyDescent="0.25">
      <c r="G55" s="1"/>
    </row>
    <row r="56" spans="3:9" x14ac:dyDescent="0.25">
      <c r="E56" s="1"/>
      <c r="H56" s="1"/>
    </row>
    <row r="57" spans="3:9" x14ac:dyDescent="0.25">
      <c r="E57" s="1"/>
    </row>
    <row r="58" spans="3:9" x14ac:dyDescent="0.25">
      <c r="E58" s="1"/>
      <c r="G58" s="1"/>
    </row>
    <row r="59" spans="3:9" x14ac:dyDescent="0.25">
      <c r="E59" s="1"/>
      <c r="G59" s="1"/>
      <c r="H59" s="1"/>
    </row>
    <row r="61" spans="3:9" x14ac:dyDescent="0.25">
      <c r="E61" s="1"/>
      <c r="F61" s="1"/>
    </row>
  </sheetData>
  <conditionalFormatting sqref="C19:CS20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20:CS20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19:CS19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9A97B6-70D7-4B66-A2B2-9DDBCAA70405}">
  <dimension ref="A1:CC57"/>
  <sheetViews>
    <sheetView topLeftCell="BN1" zoomScaleNormal="100" workbookViewId="0">
      <selection activeCell="CB18" sqref="CB18"/>
    </sheetView>
  </sheetViews>
  <sheetFormatPr defaultRowHeight="15" x14ac:dyDescent="0.25"/>
  <cols>
    <col min="1" max="1" width="89" customWidth="1"/>
    <col min="2" max="2" width="25.85546875" customWidth="1"/>
    <col min="3" max="3" width="23" customWidth="1"/>
    <col min="4" max="4" width="12.28515625" bestFit="1" customWidth="1"/>
    <col min="6" max="6" width="24.5703125" customWidth="1"/>
    <col min="7" max="7" width="14.7109375" customWidth="1"/>
  </cols>
  <sheetData>
    <row r="1" spans="1:7" x14ac:dyDescent="0.25">
      <c r="A1" s="9" t="s">
        <v>121</v>
      </c>
      <c r="B1" s="9" t="s">
        <v>13</v>
      </c>
      <c r="C1" s="9">
        <v>0.73691214000000005</v>
      </c>
      <c r="D1" s="9" t="s">
        <v>14</v>
      </c>
    </row>
    <row r="3" spans="1:7" x14ac:dyDescent="0.25">
      <c r="A3" s="5"/>
      <c r="B3" s="9" t="s">
        <v>112</v>
      </c>
      <c r="C3" s="9" t="s">
        <v>1</v>
      </c>
      <c r="D3" s="9" t="s">
        <v>113</v>
      </c>
      <c r="F3" s="11" t="s">
        <v>115</v>
      </c>
    </row>
    <row r="4" spans="1:7" x14ac:dyDescent="0.25">
      <c r="A4" s="9" t="s">
        <v>0</v>
      </c>
      <c r="B4" s="9">
        <v>0.28199999999999997</v>
      </c>
      <c r="C4" s="9">
        <v>0.20780921999999999</v>
      </c>
      <c r="D4" s="9">
        <f>B4*$C$1</f>
        <v>0.20780922348</v>
      </c>
      <c r="F4" s="9">
        <v>0.54149999999999998</v>
      </c>
    </row>
    <row r="5" spans="1:7" x14ac:dyDescent="0.25">
      <c r="A5" s="9" t="s">
        <v>2</v>
      </c>
      <c r="B5" s="9">
        <v>63.372</v>
      </c>
      <c r="C5" s="9">
        <v>46.699596</v>
      </c>
      <c r="D5" s="9">
        <f>B5*$C$1</f>
        <v>46.699596136080004</v>
      </c>
      <c r="F5" s="9" t="s">
        <v>116</v>
      </c>
      <c r="G5" s="9" t="s">
        <v>119</v>
      </c>
    </row>
    <row r="6" spans="1:7" x14ac:dyDescent="0.25">
      <c r="A6" s="9" t="s">
        <v>3</v>
      </c>
      <c r="B6" s="9">
        <v>0.28199999999999997</v>
      </c>
      <c r="C6" s="9">
        <v>0.20780921999999999</v>
      </c>
      <c r="D6" s="9">
        <f>B6*$C$1</f>
        <v>0.20780922348</v>
      </c>
      <c r="F6" s="5" t="s">
        <v>117</v>
      </c>
      <c r="G6" s="9">
        <v>3.62</v>
      </c>
    </row>
    <row r="7" spans="1:7" x14ac:dyDescent="0.25">
      <c r="A7" s="9" t="s">
        <v>4</v>
      </c>
      <c r="B7" s="9">
        <v>63.372</v>
      </c>
      <c r="C7" s="9">
        <v>46.699596</v>
      </c>
      <c r="D7" s="9">
        <f>B7*$C$1</f>
        <v>46.699596136080004</v>
      </c>
      <c r="F7" s="5" t="s">
        <v>118</v>
      </c>
      <c r="G7" s="9">
        <v>0.47399999999999998</v>
      </c>
    </row>
    <row r="9" spans="1:7" x14ac:dyDescent="0.25">
      <c r="A9" s="5"/>
      <c r="B9" s="9" t="s">
        <v>114</v>
      </c>
      <c r="C9" s="9" t="s">
        <v>112</v>
      </c>
      <c r="D9" s="9" t="s">
        <v>1</v>
      </c>
    </row>
    <row r="10" spans="1:7" x14ac:dyDescent="0.25">
      <c r="A10" s="9" t="s">
        <v>5</v>
      </c>
      <c r="B10" s="9">
        <v>0.84719999999999995</v>
      </c>
      <c r="C10" s="9">
        <f>B10*B4</f>
        <v>0.23891039999999997</v>
      </c>
      <c r="D10" s="9">
        <f>C10*$C$1</f>
        <v>0.17605597413225599</v>
      </c>
    </row>
    <row r="11" spans="1:7" x14ac:dyDescent="0.25">
      <c r="A11" s="9" t="s">
        <v>6</v>
      </c>
      <c r="B11" s="9">
        <v>0.1071</v>
      </c>
      <c r="C11" s="9">
        <f>B11*B5</f>
        <v>6.7871411999999998</v>
      </c>
      <c r="D11" s="9">
        <f>C11*$C$1</f>
        <v>5.0015267461741679</v>
      </c>
    </row>
    <row r="12" spans="1:7" x14ac:dyDescent="0.25">
      <c r="A12" s="9" t="s">
        <v>7</v>
      </c>
      <c r="B12" s="10">
        <f>F4*G6</f>
        <v>1.9602299999999999</v>
      </c>
      <c r="C12" s="9">
        <f>B12*B6</f>
        <v>0.55278485999999993</v>
      </c>
      <c r="D12" s="9">
        <f>C12*$C$1</f>
        <v>0.40735387414220037</v>
      </c>
    </row>
    <row r="13" spans="1:7" x14ac:dyDescent="0.25">
      <c r="A13" s="9" t="s">
        <v>8</v>
      </c>
      <c r="B13" s="10">
        <f>F4*G7</f>
        <v>0.25667099999999998</v>
      </c>
      <c r="C13" s="9">
        <f>B13*B7</f>
        <v>16.265754611999999</v>
      </c>
      <c r="D13" s="9">
        <f>C13*$C$1</f>
        <v>11.986432039843789</v>
      </c>
    </row>
    <row r="14" spans="1:7" x14ac:dyDescent="0.25">
      <c r="A14" s="12" t="s">
        <v>11</v>
      </c>
      <c r="B14" s="5"/>
      <c r="C14" s="13">
        <f>SUM(C10:C13)</f>
        <v>23.844591072</v>
      </c>
      <c r="D14" s="13">
        <f>SUM(D10:D13)</f>
        <v>17.571368634292412</v>
      </c>
    </row>
    <row r="15" spans="1:7" x14ac:dyDescent="0.25">
      <c r="A15" s="12" t="s">
        <v>120</v>
      </c>
      <c r="B15" s="5"/>
      <c r="C15" s="5"/>
      <c r="D15" s="13">
        <v>16.932148000000002</v>
      </c>
    </row>
    <row r="16" spans="1:7" x14ac:dyDescent="0.25">
      <c r="A16" s="12" t="s">
        <v>122</v>
      </c>
      <c r="B16" s="5"/>
      <c r="C16" s="5"/>
      <c r="D16" s="13">
        <v>4.6039285999999997</v>
      </c>
    </row>
    <row r="17" spans="1:81" x14ac:dyDescent="0.25">
      <c r="A17" s="14"/>
      <c r="B17" s="4"/>
      <c r="C17" s="4"/>
      <c r="D17" s="14"/>
    </row>
    <row r="18" spans="1:81" x14ac:dyDescent="0.25">
      <c r="A18" s="3" t="s">
        <v>9</v>
      </c>
      <c r="B18" t="s">
        <v>10</v>
      </c>
      <c r="C18" t="s">
        <v>123</v>
      </c>
      <c r="D18" t="s">
        <v>124</v>
      </c>
      <c r="E18" t="s">
        <v>125</v>
      </c>
      <c r="F18" t="s">
        <v>126</v>
      </c>
      <c r="G18" t="s">
        <v>127</v>
      </c>
      <c r="H18" t="s">
        <v>128</v>
      </c>
      <c r="I18" t="s">
        <v>129</v>
      </c>
      <c r="J18" t="s">
        <v>130</v>
      </c>
      <c r="K18" t="s">
        <v>131</v>
      </c>
      <c r="L18" t="s">
        <v>132</v>
      </c>
      <c r="M18" t="s">
        <v>133</v>
      </c>
      <c r="N18" t="s">
        <v>134</v>
      </c>
      <c r="O18" t="s">
        <v>135</v>
      </c>
      <c r="P18" t="s">
        <v>136</v>
      </c>
      <c r="Q18" t="s">
        <v>137</v>
      </c>
      <c r="R18" t="s">
        <v>138</v>
      </c>
      <c r="S18" t="s">
        <v>139</v>
      </c>
      <c r="T18" t="s">
        <v>140</v>
      </c>
      <c r="U18" t="s">
        <v>141</v>
      </c>
      <c r="V18" t="s">
        <v>142</v>
      </c>
      <c r="W18" t="s">
        <v>143</v>
      </c>
      <c r="X18" t="s">
        <v>144</v>
      </c>
      <c r="Y18" t="s">
        <v>145</v>
      </c>
      <c r="Z18" t="s">
        <v>146</v>
      </c>
      <c r="AA18" t="s">
        <v>147</v>
      </c>
      <c r="AB18" t="s">
        <v>148</v>
      </c>
      <c r="AC18" t="s">
        <v>149</v>
      </c>
      <c r="AD18" t="s">
        <v>150</v>
      </c>
      <c r="AE18" t="s">
        <v>151</v>
      </c>
      <c r="AF18" t="s">
        <v>152</v>
      </c>
      <c r="AG18" t="s">
        <v>153</v>
      </c>
      <c r="AH18" t="s">
        <v>154</v>
      </c>
      <c r="AI18" t="s">
        <v>155</v>
      </c>
      <c r="AJ18" t="s">
        <v>156</v>
      </c>
      <c r="AK18" t="s">
        <v>157</v>
      </c>
      <c r="AL18" t="s">
        <v>158</v>
      </c>
      <c r="AM18" t="s">
        <v>159</v>
      </c>
      <c r="AN18" t="s">
        <v>160</v>
      </c>
      <c r="AO18" t="s">
        <v>161</v>
      </c>
      <c r="AP18" t="s">
        <v>162</v>
      </c>
      <c r="AQ18" t="s">
        <v>163</v>
      </c>
      <c r="AR18" t="s">
        <v>164</v>
      </c>
      <c r="AS18" t="s">
        <v>165</v>
      </c>
      <c r="AT18" t="s">
        <v>166</v>
      </c>
      <c r="AU18" t="s">
        <v>167</v>
      </c>
      <c r="AV18" t="s">
        <v>168</v>
      </c>
      <c r="AW18" t="s">
        <v>169</v>
      </c>
      <c r="AX18" t="s">
        <v>170</v>
      </c>
      <c r="AY18" t="s">
        <v>171</v>
      </c>
      <c r="AZ18" t="s">
        <v>172</v>
      </c>
      <c r="BA18" t="s">
        <v>173</v>
      </c>
      <c r="BB18" t="s">
        <v>174</v>
      </c>
      <c r="BC18" t="s">
        <v>175</v>
      </c>
      <c r="BD18" t="s">
        <v>176</v>
      </c>
      <c r="BE18" t="s">
        <v>177</v>
      </c>
      <c r="BF18" t="s">
        <v>178</v>
      </c>
      <c r="BG18" t="s">
        <v>179</v>
      </c>
      <c r="BH18" t="s">
        <v>180</v>
      </c>
      <c r="BI18" t="s">
        <v>181</v>
      </c>
      <c r="BJ18" t="s">
        <v>182</v>
      </c>
      <c r="BK18" t="s">
        <v>183</v>
      </c>
      <c r="BL18" t="s">
        <v>184</v>
      </c>
      <c r="BM18" t="s">
        <v>185</v>
      </c>
      <c r="BN18" t="s">
        <v>186</v>
      </c>
      <c r="BO18" t="s">
        <v>187</v>
      </c>
      <c r="BP18" t="s">
        <v>188</v>
      </c>
      <c r="BQ18" t="s">
        <v>189</v>
      </c>
      <c r="BR18" t="s">
        <v>190</v>
      </c>
      <c r="BS18" t="s">
        <v>191</v>
      </c>
      <c r="BT18" t="s">
        <v>192</v>
      </c>
      <c r="BU18" t="s">
        <v>193</v>
      </c>
      <c r="BV18" t="s">
        <v>194</v>
      </c>
      <c r="BW18" t="s">
        <v>195</v>
      </c>
      <c r="BX18" t="s">
        <v>196</v>
      </c>
      <c r="BY18" t="s">
        <v>197</v>
      </c>
      <c r="BZ18" t="s">
        <v>198</v>
      </c>
      <c r="CA18" t="s">
        <v>199</v>
      </c>
      <c r="CB18" t="s">
        <v>200</v>
      </c>
      <c r="CC18" t="s">
        <v>201</v>
      </c>
    </row>
    <row r="19" spans="1:81" x14ac:dyDescent="0.25">
      <c r="A19" s="3" t="s">
        <v>13</v>
      </c>
      <c r="B19" t="s">
        <v>14</v>
      </c>
      <c r="C19">
        <v>0.18595007</v>
      </c>
      <c r="D19">
        <v>8.7396856999999994E-2</v>
      </c>
      <c r="E19">
        <v>0.26569040999999999</v>
      </c>
      <c r="F19">
        <v>0.21919403000000001</v>
      </c>
      <c r="G19">
        <v>7.6212751999999995E-2</v>
      </c>
      <c r="H19">
        <v>0.17274142000000001</v>
      </c>
      <c r="I19">
        <v>7.0013786999999994E-2</v>
      </c>
      <c r="J19">
        <v>0.25058408999999998</v>
      </c>
      <c r="K19">
        <v>2.8220988999999998E-2</v>
      </c>
      <c r="L19">
        <v>1.9141293E-2</v>
      </c>
      <c r="M19">
        <v>0.12745725999999999</v>
      </c>
      <c r="N19">
        <v>2.5611306E-2</v>
      </c>
      <c r="O19">
        <v>0.2713333</v>
      </c>
      <c r="P19">
        <v>9.7509075000000001E-2</v>
      </c>
      <c r="Q19">
        <v>0.31790998999999998</v>
      </c>
      <c r="R19">
        <v>2.5589530999999999E-2</v>
      </c>
      <c r="S19">
        <v>8.0190365999999999E-2</v>
      </c>
      <c r="T19">
        <v>6.5599266999999996E-3</v>
      </c>
      <c r="U19">
        <v>0.20173605999999999</v>
      </c>
      <c r="V19">
        <v>1.8080193000000001E-2</v>
      </c>
      <c r="W19">
        <v>2.6364061000000001E-2</v>
      </c>
      <c r="X19">
        <v>0.16861303999999999</v>
      </c>
      <c r="Y19">
        <v>0.32792213999999997</v>
      </c>
      <c r="Z19">
        <v>0.19325971</v>
      </c>
      <c r="AA19">
        <v>0.28889490000000001</v>
      </c>
      <c r="AB19">
        <v>0.21430637999999999</v>
      </c>
      <c r="AC19">
        <v>0.18116797000000001</v>
      </c>
      <c r="AD19">
        <v>0.10156477</v>
      </c>
      <c r="AE19">
        <v>0.24293532000000001</v>
      </c>
      <c r="AF19">
        <v>9.4085062999999997E-2</v>
      </c>
      <c r="AG19">
        <v>6.7891392999999994E-2</v>
      </c>
      <c r="AH19">
        <v>1.4991996E-2</v>
      </c>
      <c r="AI19">
        <v>0.18123911000000001</v>
      </c>
      <c r="AJ19">
        <v>0.14706948</v>
      </c>
      <c r="AK19">
        <v>0.26585902</v>
      </c>
      <c r="AL19">
        <v>0.25109711000000001</v>
      </c>
      <c r="AM19">
        <v>0.10419501</v>
      </c>
      <c r="AN19">
        <v>0.12788567000000001</v>
      </c>
      <c r="AO19">
        <v>0.30499576</v>
      </c>
      <c r="AP19">
        <v>0.14514378999999999</v>
      </c>
      <c r="AQ19">
        <v>0.20451356000000001</v>
      </c>
      <c r="AR19">
        <v>1.7076451999999999E-2</v>
      </c>
      <c r="AS19">
        <v>0.12110290999999999</v>
      </c>
      <c r="AT19">
        <v>0.21354524999999999</v>
      </c>
      <c r="AU19">
        <v>0.18027762999999999</v>
      </c>
      <c r="AV19">
        <v>0.17399556999999999</v>
      </c>
      <c r="AW19">
        <v>0.15690385000000001</v>
      </c>
      <c r="AX19">
        <v>0.16803651999999999</v>
      </c>
      <c r="AY19">
        <v>0.26952820999999999</v>
      </c>
      <c r="AZ19">
        <v>0.20946625999999999</v>
      </c>
      <c r="BA19">
        <v>0.34664265999999999</v>
      </c>
      <c r="BB19">
        <v>0.15742871</v>
      </c>
      <c r="BC19">
        <v>0.2284485</v>
      </c>
      <c r="BD19">
        <v>0.17396597</v>
      </c>
      <c r="BE19">
        <v>7.1015169000000003E-3</v>
      </c>
      <c r="BF19">
        <v>8.3830387000000006E-2</v>
      </c>
      <c r="BG19">
        <v>0.1016904</v>
      </c>
      <c r="BH19">
        <v>0.28359036999999998</v>
      </c>
      <c r="BI19">
        <v>0.10053644</v>
      </c>
      <c r="BJ19">
        <v>0.20596512</v>
      </c>
      <c r="BK19">
        <v>0.12050690999999999</v>
      </c>
      <c r="BL19">
        <v>0.17916431999999999</v>
      </c>
      <c r="BM19">
        <v>0.23491296</v>
      </c>
      <c r="BN19">
        <v>0.20527764000000001</v>
      </c>
      <c r="BO19">
        <v>0.29438234000000002</v>
      </c>
      <c r="BP19">
        <v>1.1724612000000001E-2</v>
      </c>
      <c r="BQ19">
        <v>0.20524759000000001</v>
      </c>
      <c r="BR19">
        <v>0.29851097999999998</v>
      </c>
      <c r="BS19">
        <v>8.7526928000000004E-2</v>
      </c>
      <c r="BT19">
        <v>0.12445422</v>
      </c>
      <c r="BU19">
        <v>0.22005375999999999</v>
      </c>
      <c r="BV19">
        <v>0.18485772</v>
      </c>
      <c r="BW19">
        <v>0.17903411</v>
      </c>
      <c r="BX19">
        <v>0.20039086</v>
      </c>
      <c r="BY19">
        <v>0.20105471999999999</v>
      </c>
      <c r="BZ19">
        <v>0.15156869000000001</v>
      </c>
      <c r="CA19">
        <v>0.18055905</v>
      </c>
      <c r="CB19">
        <v>0.13894833000000001</v>
      </c>
      <c r="CC19">
        <v>0.28785815999999997</v>
      </c>
    </row>
    <row r="20" spans="1:81" x14ac:dyDescent="0.25">
      <c r="C20">
        <f>C19*3600/1000</f>
        <v>0.66942025199999999</v>
      </c>
      <c r="D20">
        <f t="shared" ref="D20:BO20" si="0">D19*3600/1000</f>
        <v>0.31462868519999998</v>
      </c>
      <c r="E20">
        <f t="shared" si="0"/>
        <v>0.956485476</v>
      </c>
      <c r="F20">
        <f t="shared" si="0"/>
        <v>0.78909850800000003</v>
      </c>
      <c r="G20">
        <f t="shared" si="0"/>
        <v>0.27436590719999998</v>
      </c>
      <c r="H20">
        <f t="shared" si="0"/>
        <v>0.62186911199999995</v>
      </c>
      <c r="I20">
        <f t="shared" si="0"/>
        <v>0.25204963320000001</v>
      </c>
      <c r="J20">
        <f t="shared" si="0"/>
        <v>0.90210272399999991</v>
      </c>
      <c r="K20">
        <f t="shared" si="0"/>
        <v>0.10159556039999999</v>
      </c>
      <c r="L20">
        <f t="shared" si="0"/>
        <v>6.8908654799999997E-2</v>
      </c>
      <c r="M20">
        <f t="shared" si="0"/>
        <v>0.45884613599999996</v>
      </c>
      <c r="N20">
        <f t="shared" si="0"/>
        <v>9.2200701600000004E-2</v>
      </c>
      <c r="O20">
        <f t="shared" si="0"/>
        <v>0.97679988000000006</v>
      </c>
      <c r="P20">
        <f t="shared" si="0"/>
        <v>0.35103266999999999</v>
      </c>
      <c r="Q20">
        <f t="shared" si="0"/>
        <v>1.144475964</v>
      </c>
      <c r="R20">
        <f t="shared" si="0"/>
        <v>9.2122311599999993E-2</v>
      </c>
      <c r="S20">
        <f t="shared" si="0"/>
        <v>0.28868531760000005</v>
      </c>
      <c r="T20">
        <f t="shared" si="0"/>
        <v>2.3615736119999998E-2</v>
      </c>
      <c r="U20">
        <f t="shared" si="0"/>
        <v>0.72624981600000005</v>
      </c>
      <c r="V20">
        <f t="shared" si="0"/>
        <v>6.5088694799999999E-2</v>
      </c>
      <c r="W20">
        <f t="shared" si="0"/>
        <v>9.491061960000001E-2</v>
      </c>
      <c r="X20">
        <f t="shared" si="0"/>
        <v>0.60700694399999999</v>
      </c>
      <c r="Y20">
        <f t="shared" si="0"/>
        <v>1.1805197039999997</v>
      </c>
      <c r="Z20">
        <f t="shared" si="0"/>
        <v>0.69573495600000002</v>
      </c>
      <c r="AA20">
        <f t="shared" si="0"/>
        <v>1.04002164</v>
      </c>
      <c r="AB20">
        <f t="shared" si="0"/>
        <v>0.77150296799999996</v>
      </c>
      <c r="AC20">
        <f t="shared" si="0"/>
        <v>0.65220469199999997</v>
      </c>
      <c r="AD20">
        <f t="shared" si="0"/>
        <v>0.36563317200000001</v>
      </c>
      <c r="AE20">
        <f t="shared" si="0"/>
        <v>0.87456715200000013</v>
      </c>
      <c r="AF20">
        <f t="shared" si="0"/>
        <v>0.33870622679999995</v>
      </c>
      <c r="AG20">
        <f t="shared" si="0"/>
        <v>0.24440901479999996</v>
      </c>
      <c r="AH20">
        <f t="shared" si="0"/>
        <v>5.3971185599999999E-2</v>
      </c>
      <c r="AI20">
        <f t="shared" si="0"/>
        <v>0.65246079600000007</v>
      </c>
      <c r="AJ20">
        <f t="shared" si="0"/>
        <v>0.52945012800000002</v>
      </c>
      <c r="AK20">
        <f t="shared" si="0"/>
        <v>0.95709247200000003</v>
      </c>
      <c r="AL20">
        <f t="shared" si="0"/>
        <v>0.90394959600000002</v>
      </c>
      <c r="AM20">
        <f t="shared" si="0"/>
        <v>0.37510203599999997</v>
      </c>
      <c r="AN20">
        <f t="shared" si="0"/>
        <v>0.46038841200000002</v>
      </c>
      <c r="AO20">
        <f t="shared" si="0"/>
        <v>1.0979847360000001</v>
      </c>
      <c r="AP20">
        <f t="shared" si="0"/>
        <v>0.522517644</v>
      </c>
      <c r="AQ20">
        <f t="shared" si="0"/>
        <v>0.73624881600000003</v>
      </c>
      <c r="AR20">
        <f t="shared" si="0"/>
        <v>6.1475227199999996E-2</v>
      </c>
      <c r="AS20">
        <f t="shared" si="0"/>
        <v>0.43597047599999994</v>
      </c>
      <c r="AT20">
        <f t="shared" si="0"/>
        <v>0.76876289999999992</v>
      </c>
      <c r="AU20">
        <f t="shared" si="0"/>
        <v>0.64899946799999997</v>
      </c>
      <c r="AV20">
        <f t="shared" si="0"/>
        <v>0.62638405200000002</v>
      </c>
      <c r="AW20">
        <f t="shared" si="0"/>
        <v>0.56485386000000004</v>
      </c>
      <c r="AX20">
        <f t="shared" si="0"/>
        <v>0.60493147199999997</v>
      </c>
      <c r="AY20">
        <f t="shared" si="0"/>
        <v>0.97030155600000001</v>
      </c>
      <c r="AZ20">
        <f t="shared" si="0"/>
        <v>0.75407853599999997</v>
      </c>
      <c r="BA20">
        <f t="shared" si="0"/>
        <v>1.247913576</v>
      </c>
      <c r="BB20">
        <f t="shared" si="0"/>
        <v>0.56674335599999992</v>
      </c>
      <c r="BC20">
        <f t="shared" si="0"/>
        <v>0.8224146</v>
      </c>
      <c r="BD20">
        <f t="shared" si="0"/>
        <v>0.62627749199999994</v>
      </c>
      <c r="BE20">
        <f t="shared" si="0"/>
        <v>2.5565460840000002E-2</v>
      </c>
      <c r="BF20">
        <f t="shared" si="0"/>
        <v>0.30178939320000003</v>
      </c>
      <c r="BG20">
        <f t="shared" si="0"/>
        <v>0.36608543999999998</v>
      </c>
      <c r="BH20">
        <f t="shared" si="0"/>
        <v>1.020925332</v>
      </c>
      <c r="BI20">
        <f t="shared" si="0"/>
        <v>0.36193118400000002</v>
      </c>
      <c r="BJ20">
        <f t="shared" si="0"/>
        <v>0.74147443199999996</v>
      </c>
      <c r="BK20">
        <f t="shared" si="0"/>
        <v>0.43382487599999997</v>
      </c>
      <c r="BL20">
        <f t="shared" si="0"/>
        <v>0.64499155199999991</v>
      </c>
      <c r="BM20">
        <f t="shared" si="0"/>
        <v>0.84568665599999993</v>
      </c>
      <c r="BN20">
        <f t="shared" si="0"/>
        <v>0.73899950400000003</v>
      </c>
      <c r="BO20">
        <f t="shared" si="0"/>
        <v>1.0597764240000001</v>
      </c>
      <c r="BP20">
        <f t="shared" ref="BP20:CC20" si="1">BP19*3600/1000</f>
        <v>4.22086032E-2</v>
      </c>
      <c r="BQ20">
        <f t="shared" si="1"/>
        <v>0.73889132400000002</v>
      </c>
      <c r="BR20">
        <f t="shared" si="1"/>
        <v>1.0746395279999998</v>
      </c>
      <c r="BS20">
        <f t="shared" si="1"/>
        <v>0.3150969408</v>
      </c>
      <c r="BT20">
        <f t="shared" si="1"/>
        <v>0.44803519199999997</v>
      </c>
      <c r="BU20">
        <f t="shared" si="1"/>
        <v>0.79219353599999998</v>
      </c>
      <c r="BV20">
        <f t="shared" si="1"/>
        <v>0.66548779199999997</v>
      </c>
      <c r="BW20">
        <f t="shared" si="1"/>
        <v>0.64452279599999995</v>
      </c>
      <c r="BX20">
        <f t="shared" si="1"/>
        <v>0.72140709599999997</v>
      </c>
      <c r="BY20">
        <f t="shared" si="1"/>
        <v>0.72379699199999992</v>
      </c>
      <c r="BZ20">
        <f t="shared" si="1"/>
        <v>0.54564728400000007</v>
      </c>
      <c r="CA20">
        <f t="shared" si="1"/>
        <v>0.65001257999999995</v>
      </c>
      <c r="CB20">
        <f t="shared" si="1"/>
        <v>0.50021398800000005</v>
      </c>
      <c r="CC20">
        <f t="shared" si="1"/>
        <v>1.036289376</v>
      </c>
    </row>
    <row r="21" spans="1:81" x14ac:dyDescent="0.25">
      <c r="B21" s="5" t="s">
        <v>109</v>
      </c>
      <c r="C21" s="6">
        <f>MIN(C20:CS20)</f>
        <v>2.3615736119999998E-2</v>
      </c>
      <c r="D21" t="s">
        <v>140</v>
      </c>
    </row>
    <row r="22" spans="1:81" x14ac:dyDescent="0.25">
      <c r="B22" s="5" t="s">
        <v>110</v>
      </c>
      <c r="C22" s="7">
        <f>MAX(C20:CS20)</f>
        <v>1.247913576</v>
      </c>
      <c r="D22" t="s">
        <v>173</v>
      </c>
    </row>
    <row r="23" spans="1:81" x14ac:dyDescent="0.25">
      <c r="B23" s="5" t="s">
        <v>111</v>
      </c>
      <c r="C23" s="8">
        <v>0.73691214000000005</v>
      </c>
      <c r="D23" s="11" t="s">
        <v>121</v>
      </c>
    </row>
    <row r="36" spans="3:81" x14ac:dyDescent="0.25"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</row>
    <row r="38" spans="3:81" x14ac:dyDescent="0.25">
      <c r="G38" s="1"/>
      <c r="K38" s="1"/>
      <c r="L38" s="1"/>
      <c r="N38" s="1"/>
      <c r="R38" s="1"/>
      <c r="T38" s="1"/>
      <c r="V38" s="1"/>
      <c r="W38" s="1"/>
      <c r="AH38" s="1"/>
      <c r="AR38" s="1"/>
      <c r="BE38" s="1"/>
      <c r="BF38" s="1"/>
      <c r="BP38" s="1"/>
    </row>
    <row r="39" spans="3:81" x14ac:dyDescent="0.25">
      <c r="D39" s="1"/>
      <c r="G39" s="1"/>
      <c r="K39" s="1"/>
      <c r="L39" s="1"/>
      <c r="N39" s="1"/>
      <c r="R39" s="1"/>
      <c r="T39" s="1"/>
      <c r="V39" s="1"/>
      <c r="W39" s="1"/>
      <c r="AD39" s="1"/>
      <c r="AG39" s="1"/>
      <c r="AH39" s="1"/>
      <c r="AR39" s="1"/>
      <c r="BD39" s="1"/>
      <c r="BE39" s="1"/>
      <c r="BG39" s="1"/>
      <c r="BP39" s="1"/>
    </row>
    <row r="40" spans="3:81" x14ac:dyDescent="0.25">
      <c r="C40" s="1"/>
      <c r="D40" s="1"/>
      <c r="E40" s="1"/>
      <c r="F40" s="1"/>
      <c r="G40" s="1"/>
      <c r="H40" s="1"/>
      <c r="K40" s="1"/>
      <c r="L40" s="1"/>
      <c r="N40" s="1"/>
      <c r="R40" s="1"/>
      <c r="T40" s="1"/>
      <c r="V40" s="1"/>
      <c r="W40" s="1"/>
      <c r="AH40" s="1"/>
      <c r="AR40" s="1"/>
      <c r="BE40" s="1"/>
      <c r="BF40" s="1"/>
      <c r="BP40" s="1"/>
    </row>
    <row r="41" spans="3:81" x14ac:dyDescent="0.25">
      <c r="L41" s="1"/>
      <c r="N41" s="1"/>
      <c r="R41" s="1"/>
      <c r="T41" s="1"/>
      <c r="AH41" s="1"/>
      <c r="AR41" s="1"/>
      <c r="BE41" s="1"/>
      <c r="BP41" s="1"/>
    </row>
    <row r="42" spans="3:81" x14ac:dyDescent="0.25">
      <c r="C42" s="1"/>
      <c r="E42" s="1"/>
      <c r="G42" s="1"/>
      <c r="H42" s="1"/>
      <c r="I42" s="1"/>
      <c r="K42" s="1"/>
      <c r="L42" s="1"/>
      <c r="M42" s="1"/>
      <c r="N42" s="1"/>
      <c r="P42" s="1"/>
      <c r="Q42" s="1"/>
      <c r="R42" s="1"/>
      <c r="S42" s="1"/>
      <c r="T42" s="1"/>
      <c r="V42" s="1"/>
      <c r="W42" s="1"/>
      <c r="Y42" s="1"/>
      <c r="Z42" s="1"/>
      <c r="AA42" s="1"/>
      <c r="AD42" s="1"/>
      <c r="AE42" s="1"/>
      <c r="AF42" s="1"/>
      <c r="AG42" s="1"/>
      <c r="AH42" s="1"/>
      <c r="AJ42" s="1"/>
      <c r="AL42" s="1"/>
      <c r="AP42" s="1"/>
      <c r="AQ42" s="1"/>
      <c r="AR42" s="1"/>
      <c r="AS42" s="1"/>
      <c r="AT42" s="1"/>
      <c r="AV42" s="1"/>
      <c r="AX42" s="1"/>
      <c r="BA42" s="1"/>
      <c r="BB42" s="1"/>
      <c r="BC42" s="1"/>
      <c r="BD42" s="1"/>
      <c r="BE42" s="1"/>
      <c r="BF42" s="1"/>
      <c r="BG42" s="1"/>
      <c r="BI42" s="1"/>
      <c r="BN42" s="1"/>
      <c r="BO42" s="1"/>
      <c r="BP42" s="1"/>
      <c r="BR42" s="1"/>
      <c r="BZ42" s="1"/>
      <c r="CA42" s="1"/>
    </row>
    <row r="43" spans="3:81" x14ac:dyDescent="0.25"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</row>
    <row r="44" spans="3:81" x14ac:dyDescent="0.25">
      <c r="E44" s="1"/>
      <c r="G44" s="1"/>
      <c r="H44" s="1"/>
    </row>
    <row r="45" spans="3:81" x14ac:dyDescent="0.25">
      <c r="E45" s="1"/>
      <c r="G45" s="1"/>
      <c r="H45" s="1"/>
    </row>
    <row r="46" spans="3:81" x14ac:dyDescent="0.25">
      <c r="E46" s="1"/>
      <c r="G46" s="1"/>
      <c r="H46" s="1"/>
    </row>
    <row r="47" spans="3:81" x14ac:dyDescent="0.25">
      <c r="C47" s="1"/>
      <c r="D47" s="1"/>
      <c r="E47" s="1"/>
      <c r="F47" s="1"/>
      <c r="G47" s="1"/>
      <c r="H47" s="1"/>
    </row>
    <row r="48" spans="3:81" x14ac:dyDescent="0.25">
      <c r="E48" s="1"/>
    </row>
    <row r="49" spans="3:81" x14ac:dyDescent="0.25">
      <c r="E49" s="1"/>
      <c r="G49" s="1"/>
      <c r="N49" s="1"/>
    </row>
    <row r="50" spans="3:81" x14ac:dyDescent="0.25">
      <c r="C50" s="1"/>
      <c r="D50" s="1"/>
      <c r="E50" s="1"/>
      <c r="F50" s="1"/>
      <c r="G50" s="1"/>
      <c r="I50" s="1"/>
      <c r="J50" s="1"/>
      <c r="K50" s="1"/>
      <c r="L50" s="1"/>
      <c r="N50" s="1"/>
      <c r="O50" s="1"/>
      <c r="P50" s="1"/>
      <c r="T50" s="1"/>
      <c r="U50" s="1"/>
      <c r="V50" s="1"/>
      <c r="X50" s="1"/>
      <c r="Y50" s="1"/>
      <c r="Z50" s="1"/>
      <c r="AI50" s="1"/>
      <c r="AK50" s="1"/>
      <c r="AL50" s="1"/>
      <c r="AM50" s="1"/>
      <c r="AO50" s="1"/>
      <c r="AP50" s="1"/>
      <c r="AQ50" s="1"/>
      <c r="AR50" s="1"/>
      <c r="AS50" s="1"/>
      <c r="AX50" s="1"/>
      <c r="AY50" s="1"/>
      <c r="BB50" s="1"/>
      <c r="BC50" s="1"/>
      <c r="BD50" s="1"/>
      <c r="BE50" s="1"/>
      <c r="BG50" s="1"/>
      <c r="BH50" s="1"/>
      <c r="BI50" s="1"/>
      <c r="BL50" s="1"/>
      <c r="BM50" s="1"/>
      <c r="BO50" s="1"/>
      <c r="BR50" s="1"/>
      <c r="BS50" s="1"/>
      <c r="BU50" s="1"/>
      <c r="BV50" s="1"/>
      <c r="BW50" s="1"/>
      <c r="BX50" s="1"/>
      <c r="BY50" s="1"/>
      <c r="BZ50" s="1"/>
      <c r="CB50" s="1"/>
      <c r="CC50" s="1"/>
    </row>
    <row r="52" spans="3:81" x14ac:dyDescent="0.25">
      <c r="V52" s="1"/>
    </row>
    <row r="53" spans="3:81" x14ac:dyDescent="0.25">
      <c r="E53" s="1"/>
      <c r="G53" s="1"/>
    </row>
    <row r="54" spans="3:81" x14ac:dyDescent="0.25">
      <c r="E54" s="1"/>
      <c r="F54" s="1"/>
      <c r="G54" s="1"/>
      <c r="H54" s="1"/>
    </row>
    <row r="56" spans="3:81" x14ac:dyDescent="0.25">
      <c r="E56" s="1"/>
    </row>
    <row r="57" spans="3:81" x14ac:dyDescent="0.25">
      <c r="E57" s="1"/>
    </row>
  </sheetData>
  <conditionalFormatting sqref="C19:CS20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20:CS20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19:CS19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19:CC19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20:CC20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817139-080B-4B39-AAAD-3254E0E4BE26}">
  <dimension ref="A1:CC57"/>
  <sheetViews>
    <sheetView zoomScaleNormal="100" workbookViewId="0">
      <selection activeCell="C15" sqref="C15"/>
    </sheetView>
  </sheetViews>
  <sheetFormatPr defaultRowHeight="15" x14ac:dyDescent="0.25"/>
  <cols>
    <col min="1" max="1" width="89" customWidth="1"/>
    <col min="2" max="2" width="25.85546875" customWidth="1"/>
    <col min="3" max="3" width="23" customWidth="1"/>
    <col min="4" max="4" width="12.28515625" bestFit="1" customWidth="1"/>
    <col min="6" max="6" width="24.5703125" customWidth="1"/>
    <col min="7" max="7" width="14.7109375" customWidth="1"/>
  </cols>
  <sheetData>
    <row r="1" spans="1:7" x14ac:dyDescent="0.25">
      <c r="A1" s="9" t="s">
        <v>121</v>
      </c>
      <c r="B1" s="9" t="s">
        <v>13</v>
      </c>
      <c r="C1" s="9">
        <v>0.73691214000000005</v>
      </c>
      <c r="D1" s="9" t="s">
        <v>14</v>
      </c>
    </row>
    <row r="3" spans="1:7" x14ac:dyDescent="0.25">
      <c r="A3" s="5"/>
      <c r="B3" s="9" t="s">
        <v>112</v>
      </c>
      <c r="C3" s="9" t="s">
        <v>1</v>
      </c>
      <c r="D3" s="9" t="s">
        <v>113</v>
      </c>
      <c r="F3" s="11" t="s">
        <v>115</v>
      </c>
    </row>
    <row r="4" spans="1:7" x14ac:dyDescent="0.25">
      <c r="A4" s="9" t="s">
        <v>0</v>
      </c>
      <c r="B4" s="9">
        <v>0.28199999999999997</v>
      </c>
      <c r="C4" s="9">
        <v>0.20780921999999999</v>
      </c>
      <c r="D4" s="9">
        <f>B4*$C$1</f>
        <v>0.20780922348</v>
      </c>
      <c r="F4" s="9">
        <v>0.54149999999999998</v>
      </c>
    </row>
    <row r="5" spans="1:7" x14ac:dyDescent="0.25">
      <c r="A5" s="9" t="s">
        <v>2</v>
      </c>
      <c r="B5" s="9">
        <v>63.372</v>
      </c>
      <c r="C5" s="9">
        <v>46.699596</v>
      </c>
      <c r="D5" s="9">
        <f>B5*$C$1</f>
        <v>46.699596136080004</v>
      </c>
      <c r="F5" s="9" t="s">
        <v>116</v>
      </c>
      <c r="G5" s="9" t="s">
        <v>119</v>
      </c>
    </row>
    <row r="6" spans="1:7" x14ac:dyDescent="0.25">
      <c r="A6" s="9" t="s">
        <v>3</v>
      </c>
      <c r="B6" s="9">
        <v>0</v>
      </c>
      <c r="C6" s="9">
        <v>0</v>
      </c>
      <c r="D6" s="9">
        <f>B6*$C$1</f>
        <v>0</v>
      </c>
      <c r="F6" s="5" t="s">
        <v>117</v>
      </c>
      <c r="G6" s="9">
        <v>3.62</v>
      </c>
    </row>
    <row r="7" spans="1:7" x14ac:dyDescent="0.25">
      <c r="A7" s="9" t="s">
        <v>4</v>
      </c>
      <c r="B7" s="9">
        <v>0</v>
      </c>
      <c r="C7" s="9">
        <v>0</v>
      </c>
      <c r="D7" s="9">
        <f>B7*$C$1</f>
        <v>0</v>
      </c>
      <c r="F7" s="5" t="s">
        <v>118</v>
      </c>
      <c r="G7" s="9">
        <v>0.47399999999999998</v>
      </c>
    </row>
    <row r="9" spans="1:7" x14ac:dyDescent="0.25">
      <c r="A9" s="5"/>
      <c r="B9" s="9" t="s">
        <v>114</v>
      </c>
      <c r="C9" s="9" t="s">
        <v>112</v>
      </c>
      <c r="D9" s="9" t="s">
        <v>1</v>
      </c>
    </row>
    <row r="10" spans="1:7" x14ac:dyDescent="0.25">
      <c r="A10" s="9" t="s">
        <v>5</v>
      </c>
      <c r="B10" s="9">
        <v>0.84719999999999995</v>
      </c>
      <c r="C10" s="9">
        <f>B10*B4</f>
        <v>0.23891039999999997</v>
      </c>
      <c r="D10" s="9">
        <f>C10*$C$1</f>
        <v>0.17605597413225599</v>
      </c>
    </row>
    <row r="11" spans="1:7" x14ac:dyDescent="0.25">
      <c r="A11" s="9" t="s">
        <v>6</v>
      </c>
      <c r="B11" s="9">
        <v>0.1071</v>
      </c>
      <c r="C11" s="9">
        <f>B11*B5</f>
        <v>6.7871411999999998</v>
      </c>
      <c r="D11" s="9">
        <f>C11*$C$1</f>
        <v>5.0015267461741679</v>
      </c>
    </row>
    <row r="12" spans="1:7" x14ac:dyDescent="0.25">
      <c r="A12" s="9" t="s">
        <v>7</v>
      </c>
      <c r="B12" s="10">
        <v>0</v>
      </c>
      <c r="C12" s="9">
        <f>B12*B6</f>
        <v>0</v>
      </c>
      <c r="D12" s="9">
        <f>C12*$C$1</f>
        <v>0</v>
      </c>
    </row>
    <row r="13" spans="1:7" x14ac:dyDescent="0.25">
      <c r="A13" s="9" t="s">
        <v>8</v>
      </c>
      <c r="B13" s="10">
        <v>0</v>
      </c>
      <c r="C13" s="9">
        <f>B13*B7</f>
        <v>0</v>
      </c>
      <c r="D13" s="9">
        <f>C13*$C$1</f>
        <v>0</v>
      </c>
    </row>
    <row r="14" spans="1:7" x14ac:dyDescent="0.25">
      <c r="A14" s="12" t="s">
        <v>11</v>
      </c>
      <c r="B14" s="5"/>
      <c r="C14" s="13">
        <f>SUM(C10:C13)</f>
        <v>7.0260515999999997</v>
      </c>
      <c r="D14" s="13">
        <f>SUM(D10:D13)</f>
        <v>5.1775827203064235</v>
      </c>
    </row>
    <row r="15" spans="1:7" x14ac:dyDescent="0.25">
      <c r="A15" s="12" t="s">
        <v>120</v>
      </c>
      <c r="B15" s="5"/>
      <c r="C15" s="5"/>
      <c r="D15" s="13">
        <v>6.0384535000000001</v>
      </c>
    </row>
    <row r="16" spans="1:7" x14ac:dyDescent="0.25">
      <c r="A16" s="12" t="s">
        <v>122</v>
      </c>
      <c r="B16" s="5"/>
      <c r="C16" s="5"/>
      <c r="D16" s="13">
        <v>4.6039285999999997</v>
      </c>
    </row>
    <row r="17" spans="1:81" x14ac:dyDescent="0.25">
      <c r="A17" s="14"/>
      <c r="B17" s="4"/>
      <c r="C17" s="4"/>
      <c r="D17" s="14"/>
    </row>
    <row r="18" spans="1:81" x14ac:dyDescent="0.25">
      <c r="A18" s="3" t="s">
        <v>9</v>
      </c>
      <c r="B18" t="s">
        <v>10</v>
      </c>
      <c r="C18" t="s">
        <v>123</v>
      </c>
      <c r="D18" t="s">
        <v>124</v>
      </c>
      <c r="E18" t="s">
        <v>125</v>
      </c>
      <c r="F18" t="s">
        <v>126</v>
      </c>
      <c r="G18" t="s">
        <v>127</v>
      </c>
      <c r="H18" t="s">
        <v>128</v>
      </c>
      <c r="I18" t="s">
        <v>129</v>
      </c>
      <c r="J18" t="s">
        <v>130</v>
      </c>
      <c r="K18" t="s">
        <v>131</v>
      </c>
      <c r="L18" t="s">
        <v>132</v>
      </c>
      <c r="M18" t="s">
        <v>133</v>
      </c>
      <c r="N18" t="s">
        <v>134</v>
      </c>
      <c r="O18" t="s">
        <v>135</v>
      </c>
      <c r="P18" t="s">
        <v>136</v>
      </c>
      <c r="Q18" t="s">
        <v>137</v>
      </c>
      <c r="R18" t="s">
        <v>138</v>
      </c>
      <c r="S18" t="s">
        <v>139</v>
      </c>
      <c r="T18" t="s">
        <v>140</v>
      </c>
      <c r="U18" t="s">
        <v>141</v>
      </c>
      <c r="V18" t="s">
        <v>142</v>
      </c>
      <c r="W18" t="s">
        <v>143</v>
      </c>
      <c r="X18" t="s">
        <v>144</v>
      </c>
      <c r="Y18" t="s">
        <v>145</v>
      </c>
      <c r="Z18" t="s">
        <v>146</v>
      </c>
      <c r="AA18" t="s">
        <v>147</v>
      </c>
      <c r="AB18" t="s">
        <v>148</v>
      </c>
      <c r="AC18" t="s">
        <v>149</v>
      </c>
      <c r="AD18" t="s">
        <v>150</v>
      </c>
      <c r="AE18" t="s">
        <v>151</v>
      </c>
      <c r="AF18" t="s">
        <v>152</v>
      </c>
      <c r="AG18" t="s">
        <v>153</v>
      </c>
      <c r="AH18" t="s">
        <v>154</v>
      </c>
      <c r="AI18" t="s">
        <v>155</v>
      </c>
      <c r="AJ18" t="s">
        <v>156</v>
      </c>
      <c r="AK18" t="s">
        <v>157</v>
      </c>
      <c r="AL18" t="s">
        <v>158</v>
      </c>
      <c r="AM18" t="s">
        <v>159</v>
      </c>
      <c r="AN18" t="s">
        <v>160</v>
      </c>
      <c r="AO18" t="s">
        <v>161</v>
      </c>
      <c r="AP18" t="s">
        <v>162</v>
      </c>
      <c r="AQ18" t="s">
        <v>163</v>
      </c>
      <c r="AR18" t="s">
        <v>164</v>
      </c>
      <c r="AS18" t="s">
        <v>165</v>
      </c>
      <c r="AT18" t="s">
        <v>166</v>
      </c>
      <c r="AU18" t="s">
        <v>167</v>
      </c>
      <c r="AV18" t="s">
        <v>168</v>
      </c>
      <c r="AW18" t="s">
        <v>169</v>
      </c>
      <c r="AX18" t="s">
        <v>170</v>
      </c>
      <c r="AY18" t="s">
        <v>171</v>
      </c>
      <c r="AZ18" t="s">
        <v>172</v>
      </c>
      <c r="BA18" t="s">
        <v>173</v>
      </c>
      <c r="BB18" t="s">
        <v>174</v>
      </c>
      <c r="BC18" t="s">
        <v>175</v>
      </c>
      <c r="BD18" t="s">
        <v>176</v>
      </c>
      <c r="BE18" t="s">
        <v>177</v>
      </c>
      <c r="BF18" t="s">
        <v>178</v>
      </c>
      <c r="BG18" t="s">
        <v>179</v>
      </c>
      <c r="BH18" t="s">
        <v>180</v>
      </c>
      <c r="BI18" t="s">
        <v>181</v>
      </c>
      <c r="BJ18" t="s">
        <v>182</v>
      </c>
      <c r="BK18" t="s">
        <v>183</v>
      </c>
      <c r="BL18" t="s">
        <v>184</v>
      </c>
      <c r="BM18" t="s">
        <v>185</v>
      </c>
      <c r="BN18" t="s">
        <v>186</v>
      </c>
      <c r="BO18" t="s">
        <v>187</v>
      </c>
      <c r="BP18" t="s">
        <v>188</v>
      </c>
      <c r="BQ18" t="s">
        <v>189</v>
      </c>
      <c r="BR18" t="s">
        <v>190</v>
      </c>
      <c r="BS18" t="s">
        <v>191</v>
      </c>
      <c r="BT18" t="s">
        <v>192</v>
      </c>
      <c r="BU18" t="s">
        <v>193</v>
      </c>
      <c r="BV18" t="s">
        <v>194</v>
      </c>
      <c r="BW18" t="s">
        <v>195</v>
      </c>
      <c r="BX18" t="s">
        <v>196</v>
      </c>
      <c r="BY18" t="s">
        <v>197</v>
      </c>
      <c r="BZ18" t="s">
        <v>198</v>
      </c>
      <c r="CA18" t="s">
        <v>199</v>
      </c>
      <c r="CB18" t="s">
        <v>200</v>
      </c>
      <c r="CC18" t="s">
        <v>201</v>
      </c>
    </row>
    <row r="19" spans="1:81" x14ac:dyDescent="0.25">
      <c r="A19" s="3" t="s">
        <v>13</v>
      </c>
      <c r="B19" t="s">
        <v>14</v>
      </c>
      <c r="C19">
        <v>0.18595007</v>
      </c>
      <c r="D19">
        <v>8.7396856999999994E-2</v>
      </c>
      <c r="E19">
        <v>0.26569040999999999</v>
      </c>
      <c r="F19">
        <v>0.21919403000000001</v>
      </c>
      <c r="G19">
        <v>7.6212751999999995E-2</v>
      </c>
      <c r="H19">
        <v>0.17274142000000001</v>
      </c>
      <c r="I19">
        <v>7.0013786999999994E-2</v>
      </c>
      <c r="J19">
        <v>0.25058408999999998</v>
      </c>
      <c r="K19">
        <v>2.8220988999999998E-2</v>
      </c>
      <c r="L19">
        <v>1.9141293E-2</v>
      </c>
      <c r="M19">
        <v>0.12745725999999999</v>
      </c>
      <c r="N19">
        <v>2.5611306E-2</v>
      </c>
      <c r="O19">
        <v>0.2713333</v>
      </c>
      <c r="P19">
        <v>9.7509075000000001E-2</v>
      </c>
      <c r="Q19">
        <v>0.31790998999999998</v>
      </c>
      <c r="R19">
        <v>2.5589530999999999E-2</v>
      </c>
      <c r="S19">
        <v>8.0190365999999999E-2</v>
      </c>
      <c r="T19">
        <v>6.5599266999999996E-3</v>
      </c>
      <c r="U19">
        <v>0.20173605999999999</v>
      </c>
      <c r="V19">
        <v>1.8080193000000001E-2</v>
      </c>
      <c r="W19">
        <v>2.6364061000000001E-2</v>
      </c>
      <c r="X19">
        <v>0.16861303999999999</v>
      </c>
      <c r="Y19">
        <v>0.32792213999999997</v>
      </c>
      <c r="Z19">
        <v>0.19325971</v>
      </c>
      <c r="AA19">
        <v>0.28889490000000001</v>
      </c>
      <c r="AB19">
        <v>0.21430637999999999</v>
      </c>
      <c r="AC19">
        <v>0.18116797000000001</v>
      </c>
      <c r="AD19">
        <v>0.10156477</v>
      </c>
      <c r="AE19">
        <v>0.24293532000000001</v>
      </c>
      <c r="AF19">
        <v>9.4085062999999997E-2</v>
      </c>
      <c r="AG19">
        <v>6.7891392999999994E-2</v>
      </c>
      <c r="AH19">
        <v>1.4991996E-2</v>
      </c>
      <c r="AI19">
        <v>0.18123911000000001</v>
      </c>
      <c r="AJ19">
        <v>0.14706948</v>
      </c>
      <c r="AK19">
        <v>0.26585902</v>
      </c>
      <c r="AL19">
        <v>0.25109711000000001</v>
      </c>
      <c r="AM19">
        <v>0.10419501</v>
      </c>
      <c r="AN19">
        <v>0.12788567000000001</v>
      </c>
      <c r="AO19">
        <v>0.30499576</v>
      </c>
      <c r="AP19">
        <v>0.14514378999999999</v>
      </c>
      <c r="AQ19">
        <v>0.20451356000000001</v>
      </c>
      <c r="AR19">
        <v>1.7076451999999999E-2</v>
      </c>
      <c r="AS19">
        <v>0.12110290999999999</v>
      </c>
      <c r="AT19">
        <v>0.21354524999999999</v>
      </c>
      <c r="AU19">
        <v>0.18027762999999999</v>
      </c>
      <c r="AV19">
        <v>0.17399556999999999</v>
      </c>
      <c r="AW19">
        <v>0.15690385000000001</v>
      </c>
      <c r="AX19">
        <v>0.16803651999999999</v>
      </c>
      <c r="AY19">
        <v>0.26952820999999999</v>
      </c>
      <c r="AZ19">
        <v>0.20946625999999999</v>
      </c>
      <c r="BA19">
        <v>0.34664265999999999</v>
      </c>
      <c r="BB19">
        <v>0.15742871</v>
      </c>
      <c r="BC19">
        <v>0.2284485</v>
      </c>
      <c r="BD19">
        <v>0.17396597</v>
      </c>
      <c r="BE19">
        <v>7.1015169000000003E-3</v>
      </c>
      <c r="BF19">
        <v>8.3830387000000006E-2</v>
      </c>
      <c r="BG19">
        <v>0.1016904</v>
      </c>
      <c r="BH19">
        <v>0.28359036999999998</v>
      </c>
      <c r="BI19">
        <v>0.10053644</v>
      </c>
      <c r="BJ19">
        <v>0.20596512</v>
      </c>
      <c r="BK19">
        <v>0.12050690999999999</v>
      </c>
      <c r="BL19">
        <v>0.17916431999999999</v>
      </c>
      <c r="BM19">
        <v>0.23491296</v>
      </c>
      <c r="BN19">
        <v>0.20527764000000001</v>
      </c>
      <c r="BO19">
        <v>0.29438234000000002</v>
      </c>
      <c r="BP19">
        <v>1.1724612000000001E-2</v>
      </c>
      <c r="BQ19">
        <v>0.20524759000000001</v>
      </c>
      <c r="BR19">
        <v>0.29851097999999998</v>
      </c>
      <c r="BS19">
        <v>8.7526928000000004E-2</v>
      </c>
      <c r="BT19">
        <v>0.12445422</v>
      </c>
      <c r="BU19">
        <v>0.22005375999999999</v>
      </c>
      <c r="BV19">
        <v>0.18485772</v>
      </c>
      <c r="BW19">
        <v>0.17903411</v>
      </c>
      <c r="BX19">
        <v>0.20039086</v>
      </c>
      <c r="BY19">
        <v>0.20105471999999999</v>
      </c>
      <c r="BZ19">
        <v>0.15156869000000001</v>
      </c>
      <c r="CA19">
        <v>0.18055905</v>
      </c>
      <c r="CB19">
        <v>0.13894833000000001</v>
      </c>
      <c r="CC19">
        <v>0.28785815999999997</v>
      </c>
    </row>
    <row r="20" spans="1:81" x14ac:dyDescent="0.25">
      <c r="C20">
        <f>C19*3600/1000</f>
        <v>0.66942025199999999</v>
      </c>
      <c r="D20">
        <f t="shared" ref="D20:BO20" si="0">D19*3600/1000</f>
        <v>0.31462868519999998</v>
      </c>
      <c r="E20">
        <f t="shared" si="0"/>
        <v>0.956485476</v>
      </c>
      <c r="F20">
        <f t="shared" si="0"/>
        <v>0.78909850800000003</v>
      </c>
      <c r="G20">
        <f t="shared" si="0"/>
        <v>0.27436590719999998</v>
      </c>
      <c r="H20">
        <f t="shared" si="0"/>
        <v>0.62186911199999995</v>
      </c>
      <c r="I20">
        <f t="shared" si="0"/>
        <v>0.25204963320000001</v>
      </c>
      <c r="J20">
        <f t="shared" si="0"/>
        <v>0.90210272399999991</v>
      </c>
      <c r="K20">
        <f t="shared" si="0"/>
        <v>0.10159556039999999</v>
      </c>
      <c r="L20">
        <f t="shared" si="0"/>
        <v>6.8908654799999997E-2</v>
      </c>
      <c r="M20">
        <f t="shared" si="0"/>
        <v>0.45884613599999996</v>
      </c>
      <c r="N20">
        <f t="shared" si="0"/>
        <v>9.2200701600000004E-2</v>
      </c>
      <c r="O20">
        <f t="shared" si="0"/>
        <v>0.97679988000000006</v>
      </c>
      <c r="P20">
        <f t="shared" si="0"/>
        <v>0.35103266999999999</v>
      </c>
      <c r="Q20">
        <f t="shared" si="0"/>
        <v>1.144475964</v>
      </c>
      <c r="R20">
        <f t="shared" si="0"/>
        <v>9.2122311599999993E-2</v>
      </c>
      <c r="S20">
        <f t="shared" si="0"/>
        <v>0.28868531760000005</v>
      </c>
      <c r="T20">
        <f t="shared" si="0"/>
        <v>2.3615736119999998E-2</v>
      </c>
      <c r="U20">
        <f t="shared" si="0"/>
        <v>0.72624981600000005</v>
      </c>
      <c r="V20">
        <f t="shared" si="0"/>
        <v>6.5088694799999999E-2</v>
      </c>
      <c r="W20">
        <f t="shared" si="0"/>
        <v>9.491061960000001E-2</v>
      </c>
      <c r="X20">
        <f t="shared" si="0"/>
        <v>0.60700694399999999</v>
      </c>
      <c r="Y20">
        <f t="shared" si="0"/>
        <v>1.1805197039999997</v>
      </c>
      <c r="Z20">
        <f t="shared" si="0"/>
        <v>0.69573495600000002</v>
      </c>
      <c r="AA20">
        <f t="shared" si="0"/>
        <v>1.04002164</v>
      </c>
      <c r="AB20">
        <f t="shared" si="0"/>
        <v>0.77150296799999996</v>
      </c>
      <c r="AC20">
        <f t="shared" si="0"/>
        <v>0.65220469199999997</v>
      </c>
      <c r="AD20">
        <f t="shared" si="0"/>
        <v>0.36563317200000001</v>
      </c>
      <c r="AE20">
        <f t="shared" si="0"/>
        <v>0.87456715200000013</v>
      </c>
      <c r="AF20">
        <f t="shared" si="0"/>
        <v>0.33870622679999995</v>
      </c>
      <c r="AG20">
        <f t="shared" si="0"/>
        <v>0.24440901479999996</v>
      </c>
      <c r="AH20">
        <f t="shared" si="0"/>
        <v>5.3971185599999999E-2</v>
      </c>
      <c r="AI20">
        <f t="shared" si="0"/>
        <v>0.65246079600000007</v>
      </c>
      <c r="AJ20">
        <f t="shared" si="0"/>
        <v>0.52945012800000002</v>
      </c>
      <c r="AK20">
        <f t="shared" si="0"/>
        <v>0.95709247200000003</v>
      </c>
      <c r="AL20">
        <f t="shared" si="0"/>
        <v>0.90394959600000002</v>
      </c>
      <c r="AM20">
        <f t="shared" si="0"/>
        <v>0.37510203599999997</v>
      </c>
      <c r="AN20">
        <f t="shared" si="0"/>
        <v>0.46038841200000002</v>
      </c>
      <c r="AO20">
        <f t="shared" si="0"/>
        <v>1.0979847360000001</v>
      </c>
      <c r="AP20">
        <f t="shared" si="0"/>
        <v>0.522517644</v>
      </c>
      <c r="AQ20">
        <f t="shared" si="0"/>
        <v>0.73624881600000003</v>
      </c>
      <c r="AR20">
        <f t="shared" si="0"/>
        <v>6.1475227199999996E-2</v>
      </c>
      <c r="AS20">
        <f t="shared" si="0"/>
        <v>0.43597047599999994</v>
      </c>
      <c r="AT20">
        <f t="shared" si="0"/>
        <v>0.76876289999999992</v>
      </c>
      <c r="AU20">
        <f t="shared" si="0"/>
        <v>0.64899946799999997</v>
      </c>
      <c r="AV20">
        <f t="shared" si="0"/>
        <v>0.62638405200000002</v>
      </c>
      <c r="AW20">
        <f t="shared" si="0"/>
        <v>0.56485386000000004</v>
      </c>
      <c r="AX20">
        <f t="shared" si="0"/>
        <v>0.60493147199999997</v>
      </c>
      <c r="AY20">
        <f t="shared" si="0"/>
        <v>0.97030155600000001</v>
      </c>
      <c r="AZ20">
        <f t="shared" si="0"/>
        <v>0.75407853599999997</v>
      </c>
      <c r="BA20">
        <f t="shared" si="0"/>
        <v>1.247913576</v>
      </c>
      <c r="BB20">
        <f t="shared" si="0"/>
        <v>0.56674335599999992</v>
      </c>
      <c r="BC20">
        <f t="shared" si="0"/>
        <v>0.8224146</v>
      </c>
      <c r="BD20">
        <f t="shared" si="0"/>
        <v>0.62627749199999994</v>
      </c>
      <c r="BE20">
        <f t="shared" si="0"/>
        <v>2.5565460840000002E-2</v>
      </c>
      <c r="BF20">
        <f t="shared" si="0"/>
        <v>0.30178939320000003</v>
      </c>
      <c r="BG20">
        <f t="shared" si="0"/>
        <v>0.36608543999999998</v>
      </c>
      <c r="BH20">
        <f t="shared" si="0"/>
        <v>1.020925332</v>
      </c>
      <c r="BI20">
        <f t="shared" si="0"/>
        <v>0.36193118400000002</v>
      </c>
      <c r="BJ20">
        <f t="shared" si="0"/>
        <v>0.74147443199999996</v>
      </c>
      <c r="BK20">
        <f t="shared" si="0"/>
        <v>0.43382487599999997</v>
      </c>
      <c r="BL20">
        <f t="shared" si="0"/>
        <v>0.64499155199999991</v>
      </c>
      <c r="BM20">
        <f t="shared" si="0"/>
        <v>0.84568665599999993</v>
      </c>
      <c r="BN20">
        <f t="shared" si="0"/>
        <v>0.73899950400000003</v>
      </c>
      <c r="BO20">
        <f t="shared" si="0"/>
        <v>1.0597764240000001</v>
      </c>
      <c r="BP20">
        <f t="shared" ref="BP20:CC20" si="1">BP19*3600/1000</f>
        <v>4.22086032E-2</v>
      </c>
      <c r="BQ20">
        <f t="shared" si="1"/>
        <v>0.73889132400000002</v>
      </c>
      <c r="BR20">
        <f t="shared" si="1"/>
        <v>1.0746395279999998</v>
      </c>
      <c r="BS20">
        <f t="shared" si="1"/>
        <v>0.3150969408</v>
      </c>
      <c r="BT20">
        <f t="shared" si="1"/>
        <v>0.44803519199999997</v>
      </c>
      <c r="BU20">
        <f t="shared" si="1"/>
        <v>0.79219353599999998</v>
      </c>
      <c r="BV20">
        <f t="shared" si="1"/>
        <v>0.66548779199999997</v>
      </c>
      <c r="BW20">
        <f t="shared" si="1"/>
        <v>0.64452279599999995</v>
      </c>
      <c r="BX20">
        <f t="shared" si="1"/>
        <v>0.72140709599999997</v>
      </c>
      <c r="BY20">
        <f t="shared" si="1"/>
        <v>0.72379699199999992</v>
      </c>
      <c r="BZ20">
        <f t="shared" si="1"/>
        <v>0.54564728400000007</v>
      </c>
      <c r="CA20">
        <f t="shared" si="1"/>
        <v>0.65001257999999995</v>
      </c>
      <c r="CB20">
        <f t="shared" si="1"/>
        <v>0.50021398800000005</v>
      </c>
      <c r="CC20">
        <f t="shared" si="1"/>
        <v>1.036289376</v>
      </c>
    </row>
    <row r="21" spans="1:81" x14ac:dyDescent="0.25">
      <c r="B21" s="5" t="s">
        <v>109</v>
      </c>
      <c r="C21" s="6">
        <f>MIN(C20:CS20)</f>
        <v>2.3615736119999998E-2</v>
      </c>
      <c r="D21" t="s">
        <v>140</v>
      </c>
    </row>
    <row r="22" spans="1:81" x14ac:dyDescent="0.25">
      <c r="B22" s="5" t="s">
        <v>110</v>
      </c>
      <c r="C22" s="7">
        <f>MAX(C20:CS20)</f>
        <v>1.247913576</v>
      </c>
      <c r="D22" t="s">
        <v>173</v>
      </c>
    </row>
    <row r="23" spans="1:81" x14ac:dyDescent="0.25">
      <c r="B23" s="5" t="s">
        <v>111</v>
      </c>
      <c r="C23" s="8">
        <v>0.73691214000000005</v>
      </c>
      <c r="D23" s="11" t="s">
        <v>121</v>
      </c>
    </row>
    <row r="36" spans="3:81" x14ac:dyDescent="0.25"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</row>
    <row r="38" spans="3:81" x14ac:dyDescent="0.25">
      <c r="G38" s="1"/>
      <c r="K38" s="1"/>
      <c r="L38" s="1"/>
      <c r="N38" s="1"/>
      <c r="R38" s="1"/>
      <c r="T38" s="1"/>
      <c r="V38" s="1"/>
      <c r="W38" s="1"/>
      <c r="AH38" s="1"/>
      <c r="AR38" s="1"/>
      <c r="BE38" s="1"/>
      <c r="BF38" s="1"/>
      <c r="BP38" s="1"/>
    </row>
    <row r="39" spans="3:81" x14ac:dyDescent="0.25">
      <c r="D39" s="1"/>
      <c r="G39" s="1"/>
      <c r="K39" s="1"/>
      <c r="L39" s="1"/>
      <c r="N39" s="1"/>
      <c r="R39" s="1"/>
      <c r="T39" s="1"/>
      <c r="V39" s="1"/>
      <c r="W39" s="1"/>
      <c r="AD39" s="1"/>
      <c r="AG39" s="1"/>
      <c r="AH39" s="1"/>
      <c r="AR39" s="1"/>
      <c r="BD39" s="1"/>
      <c r="BE39" s="1"/>
      <c r="BG39" s="1"/>
      <c r="BP39" s="1"/>
    </row>
    <row r="40" spans="3:81" x14ac:dyDescent="0.25">
      <c r="C40" s="1"/>
      <c r="D40" s="1"/>
      <c r="E40" s="1"/>
      <c r="F40" s="1"/>
      <c r="G40" s="1"/>
      <c r="H40" s="1"/>
      <c r="K40" s="1"/>
      <c r="L40" s="1"/>
      <c r="N40" s="1"/>
      <c r="R40" s="1"/>
      <c r="T40" s="1"/>
      <c r="V40" s="1"/>
      <c r="W40" s="1"/>
      <c r="AH40" s="1"/>
      <c r="AR40" s="1"/>
      <c r="BE40" s="1"/>
      <c r="BF40" s="1"/>
      <c r="BP40" s="1"/>
    </row>
    <row r="41" spans="3:81" x14ac:dyDescent="0.25">
      <c r="L41" s="1"/>
      <c r="N41" s="1"/>
      <c r="R41" s="1"/>
      <c r="T41" s="1"/>
      <c r="AH41" s="1"/>
      <c r="AR41" s="1"/>
      <c r="BE41" s="1"/>
      <c r="BP41" s="1"/>
    </row>
    <row r="42" spans="3:81" x14ac:dyDescent="0.25">
      <c r="C42" s="1"/>
      <c r="E42" s="1"/>
      <c r="G42" s="1"/>
      <c r="H42" s="1"/>
      <c r="I42" s="1"/>
      <c r="K42" s="1"/>
      <c r="L42" s="1"/>
      <c r="M42" s="1"/>
      <c r="N42" s="1"/>
      <c r="P42" s="1"/>
      <c r="Q42" s="1"/>
      <c r="R42" s="1"/>
      <c r="S42" s="1"/>
      <c r="T42" s="1"/>
      <c r="V42" s="1"/>
      <c r="W42" s="1"/>
      <c r="Y42" s="1"/>
      <c r="Z42" s="1"/>
      <c r="AA42" s="1"/>
      <c r="AD42" s="1"/>
      <c r="AE42" s="1"/>
      <c r="AF42" s="1"/>
      <c r="AG42" s="1"/>
      <c r="AH42" s="1"/>
      <c r="AJ42" s="1"/>
      <c r="AL42" s="1"/>
      <c r="AP42" s="1"/>
      <c r="AQ42" s="1"/>
      <c r="AR42" s="1"/>
      <c r="AS42" s="1"/>
      <c r="AT42" s="1"/>
      <c r="AV42" s="1"/>
      <c r="AX42" s="1"/>
      <c r="BA42" s="1"/>
      <c r="BB42" s="1"/>
      <c r="BC42" s="1"/>
      <c r="BD42" s="1"/>
      <c r="BE42" s="1"/>
      <c r="BF42" s="1"/>
      <c r="BG42" s="1"/>
      <c r="BI42" s="1"/>
      <c r="BN42" s="1"/>
      <c r="BO42" s="1"/>
      <c r="BP42" s="1"/>
      <c r="BR42" s="1"/>
      <c r="BZ42" s="1"/>
      <c r="CA42" s="1"/>
    </row>
    <row r="43" spans="3:81" x14ac:dyDescent="0.25"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</row>
    <row r="44" spans="3:81" x14ac:dyDescent="0.25">
      <c r="E44" s="1"/>
      <c r="G44" s="1"/>
      <c r="H44" s="1"/>
    </row>
    <row r="45" spans="3:81" x14ac:dyDescent="0.25">
      <c r="E45" s="1"/>
      <c r="G45" s="1"/>
      <c r="H45" s="1"/>
    </row>
    <row r="46" spans="3:81" x14ac:dyDescent="0.25">
      <c r="E46" s="1"/>
      <c r="G46" s="1"/>
      <c r="H46" s="1"/>
    </row>
    <row r="47" spans="3:81" x14ac:dyDescent="0.25">
      <c r="C47" s="1"/>
      <c r="D47" s="1"/>
      <c r="E47" s="1"/>
      <c r="F47" s="1"/>
      <c r="G47" s="1"/>
      <c r="H47" s="1"/>
    </row>
    <row r="48" spans="3:81" x14ac:dyDescent="0.25">
      <c r="E48" s="1"/>
    </row>
    <row r="49" spans="3:81" x14ac:dyDescent="0.25">
      <c r="E49" s="1"/>
      <c r="G49" s="1"/>
      <c r="N49" s="1"/>
    </row>
    <row r="50" spans="3:81" x14ac:dyDescent="0.25">
      <c r="C50" s="1"/>
      <c r="D50" s="1"/>
      <c r="E50" s="1"/>
      <c r="F50" s="1"/>
      <c r="G50" s="1"/>
      <c r="I50" s="1"/>
      <c r="J50" s="1"/>
      <c r="K50" s="1"/>
      <c r="L50" s="1"/>
      <c r="N50" s="1"/>
      <c r="O50" s="1"/>
      <c r="P50" s="1"/>
      <c r="T50" s="1"/>
      <c r="U50" s="1"/>
      <c r="V50" s="1"/>
      <c r="X50" s="1"/>
      <c r="Y50" s="1"/>
      <c r="Z50" s="1"/>
      <c r="AI50" s="1"/>
      <c r="AK50" s="1"/>
      <c r="AL50" s="1"/>
      <c r="AM50" s="1"/>
      <c r="AO50" s="1"/>
      <c r="AP50" s="1"/>
      <c r="AQ50" s="1"/>
      <c r="AR50" s="1"/>
      <c r="AS50" s="1"/>
      <c r="AX50" s="1"/>
      <c r="AY50" s="1"/>
      <c r="BB50" s="1"/>
      <c r="BC50" s="1"/>
      <c r="BD50" s="1"/>
      <c r="BE50" s="1"/>
      <c r="BG50" s="1"/>
      <c r="BH50" s="1"/>
      <c r="BI50" s="1"/>
      <c r="BL50" s="1"/>
      <c r="BM50" s="1"/>
      <c r="BO50" s="1"/>
      <c r="BR50" s="1"/>
      <c r="BS50" s="1"/>
      <c r="BU50" s="1"/>
      <c r="BV50" s="1"/>
      <c r="BW50" s="1"/>
      <c r="BX50" s="1"/>
      <c r="BY50" s="1"/>
      <c r="BZ50" s="1"/>
      <c r="CB50" s="1"/>
      <c r="CC50" s="1"/>
    </row>
    <row r="52" spans="3:81" x14ac:dyDescent="0.25">
      <c r="V52" s="1"/>
    </row>
    <row r="53" spans="3:81" x14ac:dyDescent="0.25">
      <c r="E53" s="1"/>
      <c r="G53" s="1"/>
    </row>
    <row r="54" spans="3:81" x14ac:dyDescent="0.25">
      <c r="E54" s="1"/>
      <c r="F54" s="1"/>
      <c r="G54" s="1"/>
      <c r="H54" s="1"/>
    </row>
    <row r="56" spans="3:81" x14ac:dyDescent="0.25">
      <c r="E56" s="1"/>
    </row>
    <row r="57" spans="3:81" x14ac:dyDescent="0.25">
      <c r="E57" s="1"/>
    </row>
  </sheetData>
  <conditionalFormatting sqref="C19:CS20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20:CS20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19:CS19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19:CC19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20:CC20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273B8-4F31-4FBE-B453-93D552D753EB}">
  <dimension ref="A1:CC61"/>
  <sheetViews>
    <sheetView zoomScaleNormal="100" workbookViewId="0">
      <selection activeCell="D16" sqref="D16"/>
    </sheetView>
  </sheetViews>
  <sheetFormatPr defaultRowHeight="15" x14ac:dyDescent="0.25"/>
  <cols>
    <col min="1" max="1" width="89" customWidth="1"/>
    <col min="2" max="2" width="25.85546875" customWidth="1"/>
    <col min="3" max="3" width="23" customWidth="1"/>
    <col min="4" max="4" width="12.28515625" bestFit="1" customWidth="1"/>
    <col min="6" max="6" width="24.5703125" customWidth="1"/>
    <col min="7" max="7" width="14.7109375" customWidth="1"/>
  </cols>
  <sheetData>
    <row r="1" spans="1:7" x14ac:dyDescent="0.25">
      <c r="A1" s="9" t="s">
        <v>12</v>
      </c>
      <c r="B1" s="9" t="s">
        <v>13</v>
      </c>
      <c r="C1" s="9">
        <v>0.73691214000000005</v>
      </c>
      <c r="D1" s="9" t="s">
        <v>14</v>
      </c>
    </row>
    <row r="3" spans="1:7" x14ac:dyDescent="0.25">
      <c r="A3" s="5"/>
      <c r="B3" s="9" t="s">
        <v>112</v>
      </c>
      <c r="C3" s="9" t="s">
        <v>1</v>
      </c>
      <c r="D3" s="9" t="s">
        <v>113</v>
      </c>
      <c r="F3" s="11" t="s">
        <v>115</v>
      </c>
    </row>
    <row r="4" spans="1:7" x14ac:dyDescent="0.25">
      <c r="A4" s="9" t="s">
        <v>0</v>
      </c>
      <c r="B4" s="9">
        <v>0</v>
      </c>
      <c r="C4" s="9">
        <v>0</v>
      </c>
      <c r="D4" s="9">
        <f>B4*$C$1</f>
        <v>0</v>
      </c>
      <c r="F4" s="9">
        <v>0.54149999999999998</v>
      </c>
    </row>
    <row r="5" spans="1:7" x14ac:dyDescent="0.25">
      <c r="A5" s="9" t="s">
        <v>2</v>
      </c>
      <c r="B5" s="9">
        <v>63.372</v>
      </c>
      <c r="C5" s="9">
        <v>0.9871337</v>
      </c>
      <c r="D5" s="9">
        <f>B5*$C$1</f>
        <v>46.699596136080004</v>
      </c>
      <c r="F5" s="9" t="s">
        <v>116</v>
      </c>
      <c r="G5" s="9" t="s">
        <v>119</v>
      </c>
    </row>
    <row r="6" spans="1:7" x14ac:dyDescent="0.25">
      <c r="A6" s="9" t="s">
        <v>3</v>
      </c>
      <c r="B6" s="9">
        <v>0</v>
      </c>
      <c r="C6" s="9">
        <v>0</v>
      </c>
      <c r="D6" s="9">
        <f>B6*$C$1</f>
        <v>0</v>
      </c>
      <c r="F6" s="5" t="s">
        <v>117</v>
      </c>
      <c r="G6" s="9">
        <v>3.62</v>
      </c>
    </row>
    <row r="7" spans="1:7" x14ac:dyDescent="0.25">
      <c r="A7" s="9" t="s">
        <v>4</v>
      </c>
      <c r="B7" s="9">
        <v>63.372</v>
      </c>
      <c r="C7" s="9">
        <v>0.9871337</v>
      </c>
      <c r="D7" s="9">
        <f>B7*$C$1</f>
        <v>46.699596136080004</v>
      </c>
      <c r="F7" s="5" t="s">
        <v>118</v>
      </c>
      <c r="G7" s="9">
        <v>0.47399999999999998</v>
      </c>
    </row>
    <row r="9" spans="1:7" x14ac:dyDescent="0.25">
      <c r="A9" s="5"/>
      <c r="B9" s="9" t="s">
        <v>114</v>
      </c>
      <c r="C9" s="9" t="s">
        <v>112</v>
      </c>
      <c r="D9" s="9" t="s">
        <v>1</v>
      </c>
    </row>
    <row r="10" spans="1:7" x14ac:dyDescent="0.25">
      <c r="A10" s="9" t="s">
        <v>5</v>
      </c>
      <c r="B10" s="9">
        <v>0.84719999999999995</v>
      </c>
      <c r="C10" s="9">
        <f>B10*B4</f>
        <v>0</v>
      </c>
      <c r="D10" s="9">
        <f>C10*$C$1</f>
        <v>0</v>
      </c>
    </row>
    <row r="11" spans="1:7" x14ac:dyDescent="0.25">
      <c r="A11" s="9" t="s">
        <v>6</v>
      </c>
      <c r="B11" s="9">
        <v>0.1071</v>
      </c>
      <c r="C11" s="9">
        <f>B11*B5</f>
        <v>6.7871411999999998</v>
      </c>
      <c r="D11" s="9">
        <f>C11*$C$1</f>
        <v>5.0015267461741679</v>
      </c>
    </row>
    <row r="12" spans="1:7" x14ac:dyDescent="0.25">
      <c r="A12" s="9" t="s">
        <v>7</v>
      </c>
      <c r="B12" s="10">
        <f>$F$4*G6</f>
        <v>1.9602299999999999</v>
      </c>
      <c r="C12" s="9">
        <f>B12*B6</f>
        <v>0</v>
      </c>
      <c r="D12" s="9">
        <f>C12*$C$1</f>
        <v>0</v>
      </c>
    </row>
    <row r="13" spans="1:7" x14ac:dyDescent="0.25">
      <c r="A13" s="9" t="s">
        <v>8</v>
      </c>
      <c r="B13" s="10">
        <f>$F$4*G7</f>
        <v>0.25667099999999998</v>
      </c>
      <c r="C13" s="9">
        <f>B13*B7</f>
        <v>16.265754611999999</v>
      </c>
      <c r="D13" s="9">
        <f>C13*$C$1</f>
        <v>11.986432039843789</v>
      </c>
    </row>
    <row r="14" spans="1:7" x14ac:dyDescent="0.25">
      <c r="A14" s="12" t="s">
        <v>11</v>
      </c>
      <c r="B14" s="5"/>
      <c r="C14" s="13">
        <f>SUM(C10:C13)</f>
        <v>23.052895811999999</v>
      </c>
      <c r="D14" s="13">
        <f>SUM(D10:D13)</f>
        <v>16.987958786017956</v>
      </c>
    </row>
    <row r="15" spans="1:7" x14ac:dyDescent="0.25">
      <c r="A15" s="12" t="s">
        <v>120</v>
      </c>
      <c r="B15" s="5"/>
      <c r="C15" s="5"/>
      <c r="D15" s="13">
        <v>18.660093</v>
      </c>
    </row>
    <row r="16" spans="1:7" x14ac:dyDescent="0.25">
      <c r="A16" s="12" t="s">
        <v>122</v>
      </c>
      <c r="B16" s="5"/>
      <c r="C16" s="5"/>
      <c r="D16" s="13">
        <v>4.6039285999999997</v>
      </c>
    </row>
    <row r="17" spans="1:81" x14ac:dyDescent="0.25">
      <c r="A17" s="14"/>
      <c r="B17" s="4"/>
      <c r="C17" s="4"/>
      <c r="D17" s="14"/>
    </row>
    <row r="18" spans="1:81" x14ac:dyDescent="0.25">
      <c r="A18" s="3" t="s">
        <v>9</v>
      </c>
      <c r="B18" t="s">
        <v>10</v>
      </c>
      <c r="C18" t="s">
        <v>123</v>
      </c>
      <c r="D18" t="s">
        <v>124</v>
      </c>
      <c r="E18" t="s">
        <v>125</v>
      </c>
      <c r="F18" t="s">
        <v>126</v>
      </c>
      <c r="G18" t="s">
        <v>127</v>
      </c>
      <c r="H18" t="s">
        <v>128</v>
      </c>
      <c r="I18" t="s">
        <v>129</v>
      </c>
      <c r="J18" t="s">
        <v>130</v>
      </c>
      <c r="K18" t="s">
        <v>131</v>
      </c>
      <c r="L18" t="s">
        <v>132</v>
      </c>
      <c r="M18" t="s">
        <v>133</v>
      </c>
      <c r="N18" t="s">
        <v>134</v>
      </c>
      <c r="O18" t="s">
        <v>135</v>
      </c>
      <c r="P18" t="s">
        <v>136</v>
      </c>
      <c r="Q18" t="s">
        <v>137</v>
      </c>
      <c r="R18" t="s">
        <v>138</v>
      </c>
      <c r="S18" t="s">
        <v>139</v>
      </c>
      <c r="T18" t="s">
        <v>140</v>
      </c>
      <c r="U18" t="s">
        <v>141</v>
      </c>
      <c r="V18" t="s">
        <v>142</v>
      </c>
      <c r="W18" t="s">
        <v>143</v>
      </c>
      <c r="X18" t="s">
        <v>144</v>
      </c>
      <c r="Y18" t="s">
        <v>145</v>
      </c>
      <c r="Z18" t="s">
        <v>146</v>
      </c>
      <c r="AA18" t="s">
        <v>147</v>
      </c>
      <c r="AB18" t="s">
        <v>148</v>
      </c>
      <c r="AC18" t="s">
        <v>149</v>
      </c>
      <c r="AD18" t="s">
        <v>150</v>
      </c>
      <c r="AE18" t="s">
        <v>151</v>
      </c>
      <c r="AF18" t="s">
        <v>152</v>
      </c>
      <c r="AG18" t="s">
        <v>153</v>
      </c>
      <c r="AH18" t="s">
        <v>154</v>
      </c>
      <c r="AI18" t="s">
        <v>155</v>
      </c>
      <c r="AJ18" t="s">
        <v>156</v>
      </c>
      <c r="AK18" t="s">
        <v>157</v>
      </c>
      <c r="AL18" t="s">
        <v>158</v>
      </c>
      <c r="AM18" t="s">
        <v>159</v>
      </c>
      <c r="AN18" t="s">
        <v>160</v>
      </c>
      <c r="AO18" t="s">
        <v>161</v>
      </c>
      <c r="AP18" t="s">
        <v>162</v>
      </c>
      <c r="AQ18" t="s">
        <v>163</v>
      </c>
      <c r="AR18" t="s">
        <v>164</v>
      </c>
      <c r="AS18" t="s">
        <v>165</v>
      </c>
      <c r="AT18" t="s">
        <v>166</v>
      </c>
      <c r="AU18" t="s">
        <v>167</v>
      </c>
      <c r="AV18" t="s">
        <v>168</v>
      </c>
      <c r="AW18" t="s">
        <v>169</v>
      </c>
      <c r="AX18" t="s">
        <v>170</v>
      </c>
      <c r="AY18" t="s">
        <v>171</v>
      </c>
      <c r="AZ18" t="s">
        <v>172</v>
      </c>
      <c r="BA18" t="s">
        <v>173</v>
      </c>
      <c r="BB18" t="s">
        <v>174</v>
      </c>
      <c r="BC18" t="s">
        <v>175</v>
      </c>
      <c r="BD18" t="s">
        <v>176</v>
      </c>
      <c r="BE18" t="s">
        <v>177</v>
      </c>
      <c r="BF18" t="s">
        <v>178</v>
      </c>
      <c r="BG18" t="s">
        <v>179</v>
      </c>
      <c r="BH18" t="s">
        <v>180</v>
      </c>
      <c r="BI18" t="s">
        <v>181</v>
      </c>
      <c r="BJ18" t="s">
        <v>182</v>
      </c>
      <c r="BK18" t="s">
        <v>183</v>
      </c>
      <c r="BL18" t="s">
        <v>184</v>
      </c>
      <c r="BM18" t="s">
        <v>185</v>
      </c>
      <c r="BN18" t="s">
        <v>186</v>
      </c>
      <c r="BO18" t="s">
        <v>187</v>
      </c>
      <c r="BP18" t="s">
        <v>188</v>
      </c>
      <c r="BQ18" t="s">
        <v>189</v>
      </c>
      <c r="BR18" t="s">
        <v>190</v>
      </c>
      <c r="BS18" t="s">
        <v>191</v>
      </c>
      <c r="BT18" t="s">
        <v>192</v>
      </c>
      <c r="BU18" t="s">
        <v>193</v>
      </c>
      <c r="BV18" t="s">
        <v>194</v>
      </c>
      <c r="BW18" t="s">
        <v>195</v>
      </c>
      <c r="BX18" t="s">
        <v>196</v>
      </c>
      <c r="BY18" t="s">
        <v>197</v>
      </c>
      <c r="BZ18" t="s">
        <v>198</v>
      </c>
      <c r="CA18" t="s">
        <v>199</v>
      </c>
      <c r="CB18" t="s">
        <v>200</v>
      </c>
      <c r="CC18" t="s">
        <v>201</v>
      </c>
    </row>
    <row r="19" spans="1:81" x14ac:dyDescent="0.25">
      <c r="A19" s="3" t="s">
        <v>13</v>
      </c>
      <c r="B19" t="s">
        <v>14</v>
      </c>
      <c r="C19">
        <v>0.18595007</v>
      </c>
      <c r="D19">
        <v>8.7396856999999994E-2</v>
      </c>
      <c r="E19">
        <v>0.26569040999999999</v>
      </c>
      <c r="F19">
        <v>0.21919403000000001</v>
      </c>
      <c r="G19">
        <v>7.6212751999999995E-2</v>
      </c>
      <c r="H19">
        <v>0.17274142000000001</v>
      </c>
      <c r="I19">
        <v>7.0013786999999994E-2</v>
      </c>
      <c r="J19">
        <v>0.25058408999999998</v>
      </c>
      <c r="K19">
        <v>2.8220988999999998E-2</v>
      </c>
      <c r="L19">
        <v>1.9141293E-2</v>
      </c>
      <c r="M19">
        <v>0.12745725999999999</v>
      </c>
      <c r="N19">
        <v>2.5611306E-2</v>
      </c>
      <c r="O19">
        <v>0.2713333</v>
      </c>
      <c r="P19">
        <v>9.7509075000000001E-2</v>
      </c>
      <c r="Q19">
        <v>0.31790998999999998</v>
      </c>
      <c r="R19">
        <v>2.5589530999999999E-2</v>
      </c>
      <c r="S19">
        <v>8.0190365999999999E-2</v>
      </c>
      <c r="T19">
        <v>6.5599266999999996E-3</v>
      </c>
      <c r="U19">
        <v>0.20173605999999999</v>
      </c>
      <c r="V19">
        <v>1.8080193000000001E-2</v>
      </c>
      <c r="W19">
        <v>2.6364061000000001E-2</v>
      </c>
      <c r="X19">
        <v>0.16861303999999999</v>
      </c>
      <c r="Y19">
        <v>0.32792213999999997</v>
      </c>
      <c r="Z19">
        <v>0.19325971</v>
      </c>
      <c r="AA19">
        <v>0.28889490000000001</v>
      </c>
      <c r="AB19">
        <v>0.21430637999999999</v>
      </c>
      <c r="AC19">
        <v>0.18116797000000001</v>
      </c>
      <c r="AD19">
        <v>0.10156477</v>
      </c>
      <c r="AE19">
        <v>0.24293532000000001</v>
      </c>
      <c r="AF19">
        <v>9.4085062999999997E-2</v>
      </c>
      <c r="AG19">
        <v>6.7891392999999994E-2</v>
      </c>
      <c r="AH19">
        <v>1.4991996E-2</v>
      </c>
      <c r="AI19">
        <v>0.18123911000000001</v>
      </c>
      <c r="AJ19">
        <v>0.14706948</v>
      </c>
      <c r="AK19">
        <v>0.26585902</v>
      </c>
      <c r="AL19">
        <v>0.25109711000000001</v>
      </c>
      <c r="AM19">
        <v>0.10419501</v>
      </c>
      <c r="AN19">
        <v>0.12788567000000001</v>
      </c>
      <c r="AO19">
        <v>0.30499576</v>
      </c>
      <c r="AP19">
        <v>0.14514378999999999</v>
      </c>
      <c r="AQ19">
        <v>0.20451356000000001</v>
      </c>
      <c r="AR19">
        <v>1.7076451999999999E-2</v>
      </c>
      <c r="AS19">
        <v>0.12110290999999999</v>
      </c>
      <c r="AT19">
        <v>0.21354524999999999</v>
      </c>
      <c r="AU19">
        <v>0.18027762999999999</v>
      </c>
      <c r="AV19">
        <v>0.17399556999999999</v>
      </c>
      <c r="AW19">
        <v>0.15690385000000001</v>
      </c>
      <c r="AX19">
        <v>0.16803651999999999</v>
      </c>
      <c r="AY19">
        <v>0.26952820999999999</v>
      </c>
      <c r="AZ19">
        <v>0.20946625999999999</v>
      </c>
      <c r="BA19">
        <v>0.34664265999999999</v>
      </c>
      <c r="BB19">
        <v>0.15742871</v>
      </c>
      <c r="BC19">
        <v>0.2284485</v>
      </c>
      <c r="BD19">
        <v>0.17396597</v>
      </c>
      <c r="BE19">
        <v>7.1015169000000003E-3</v>
      </c>
      <c r="BF19">
        <v>8.3830387000000006E-2</v>
      </c>
      <c r="BG19">
        <v>0.1016904</v>
      </c>
      <c r="BH19">
        <v>0.28359036999999998</v>
      </c>
      <c r="BI19">
        <v>0.10053644</v>
      </c>
      <c r="BJ19">
        <v>0.20596512</v>
      </c>
      <c r="BK19">
        <v>0.12050690999999999</v>
      </c>
      <c r="BL19">
        <v>0.17916431999999999</v>
      </c>
      <c r="BM19">
        <v>0.23491296</v>
      </c>
      <c r="BN19">
        <v>0.20527764000000001</v>
      </c>
      <c r="BO19">
        <v>0.29438234000000002</v>
      </c>
      <c r="BP19">
        <v>1.1724612000000001E-2</v>
      </c>
      <c r="BQ19">
        <v>0.20524759000000001</v>
      </c>
      <c r="BR19">
        <v>0.29851097999999998</v>
      </c>
      <c r="BS19">
        <v>8.7526928000000004E-2</v>
      </c>
      <c r="BT19">
        <v>0.12445422</v>
      </c>
      <c r="BU19">
        <v>0.22005375999999999</v>
      </c>
      <c r="BV19">
        <v>0.18485772</v>
      </c>
      <c r="BW19">
        <v>0.17903411</v>
      </c>
      <c r="BX19">
        <v>0.20039086</v>
      </c>
      <c r="BY19">
        <v>0.20105471999999999</v>
      </c>
      <c r="BZ19">
        <v>0.15156869000000001</v>
      </c>
      <c r="CA19">
        <v>0.18055905</v>
      </c>
      <c r="CB19">
        <v>0.13894833000000001</v>
      </c>
      <c r="CC19">
        <v>0.28785815999999997</v>
      </c>
    </row>
    <row r="20" spans="1:81" x14ac:dyDescent="0.25">
      <c r="C20">
        <f>C19*3600/1000</f>
        <v>0.66942025199999999</v>
      </c>
      <c r="D20">
        <f t="shared" ref="D20:BO20" si="0">D19*3600/1000</f>
        <v>0.31462868519999998</v>
      </c>
      <c r="E20">
        <f t="shared" si="0"/>
        <v>0.956485476</v>
      </c>
      <c r="F20">
        <f t="shared" si="0"/>
        <v>0.78909850800000003</v>
      </c>
      <c r="G20">
        <f t="shared" si="0"/>
        <v>0.27436590719999998</v>
      </c>
      <c r="H20">
        <f t="shared" si="0"/>
        <v>0.62186911199999995</v>
      </c>
      <c r="I20">
        <f t="shared" si="0"/>
        <v>0.25204963320000001</v>
      </c>
      <c r="J20">
        <f t="shared" si="0"/>
        <v>0.90210272399999991</v>
      </c>
      <c r="K20">
        <f t="shared" si="0"/>
        <v>0.10159556039999999</v>
      </c>
      <c r="L20">
        <f t="shared" si="0"/>
        <v>6.8908654799999997E-2</v>
      </c>
      <c r="M20">
        <f t="shared" si="0"/>
        <v>0.45884613599999996</v>
      </c>
      <c r="N20">
        <f t="shared" si="0"/>
        <v>9.2200701600000004E-2</v>
      </c>
      <c r="O20">
        <f t="shared" si="0"/>
        <v>0.97679988000000006</v>
      </c>
      <c r="P20">
        <f t="shared" si="0"/>
        <v>0.35103266999999999</v>
      </c>
      <c r="Q20">
        <f t="shared" si="0"/>
        <v>1.144475964</v>
      </c>
      <c r="R20">
        <f t="shared" si="0"/>
        <v>9.2122311599999993E-2</v>
      </c>
      <c r="S20">
        <f t="shared" si="0"/>
        <v>0.28868531760000005</v>
      </c>
      <c r="T20">
        <f t="shared" si="0"/>
        <v>2.3615736119999998E-2</v>
      </c>
      <c r="U20">
        <f t="shared" si="0"/>
        <v>0.72624981600000005</v>
      </c>
      <c r="V20">
        <f t="shared" si="0"/>
        <v>6.5088694799999999E-2</v>
      </c>
      <c r="W20">
        <f t="shared" si="0"/>
        <v>9.491061960000001E-2</v>
      </c>
      <c r="X20">
        <f t="shared" si="0"/>
        <v>0.60700694399999999</v>
      </c>
      <c r="Y20">
        <f t="shared" si="0"/>
        <v>1.1805197039999997</v>
      </c>
      <c r="Z20">
        <f t="shared" si="0"/>
        <v>0.69573495600000002</v>
      </c>
      <c r="AA20">
        <f t="shared" si="0"/>
        <v>1.04002164</v>
      </c>
      <c r="AB20">
        <f t="shared" si="0"/>
        <v>0.77150296799999996</v>
      </c>
      <c r="AC20">
        <f t="shared" si="0"/>
        <v>0.65220469199999997</v>
      </c>
      <c r="AD20">
        <f t="shared" si="0"/>
        <v>0.36563317200000001</v>
      </c>
      <c r="AE20">
        <f t="shared" si="0"/>
        <v>0.87456715200000013</v>
      </c>
      <c r="AF20">
        <f t="shared" si="0"/>
        <v>0.33870622679999995</v>
      </c>
      <c r="AG20">
        <f t="shared" si="0"/>
        <v>0.24440901479999996</v>
      </c>
      <c r="AH20">
        <f t="shared" si="0"/>
        <v>5.3971185599999999E-2</v>
      </c>
      <c r="AI20">
        <f t="shared" si="0"/>
        <v>0.65246079600000007</v>
      </c>
      <c r="AJ20">
        <f t="shared" si="0"/>
        <v>0.52945012800000002</v>
      </c>
      <c r="AK20">
        <f t="shared" si="0"/>
        <v>0.95709247200000003</v>
      </c>
      <c r="AL20">
        <f t="shared" si="0"/>
        <v>0.90394959600000002</v>
      </c>
      <c r="AM20">
        <f t="shared" si="0"/>
        <v>0.37510203599999997</v>
      </c>
      <c r="AN20">
        <f t="shared" si="0"/>
        <v>0.46038841200000002</v>
      </c>
      <c r="AO20">
        <f t="shared" si="0"/>
        <v>1.0979847360000001</v>
      </c>
      <c r="AP20">
        <f t="shared" si="0"/>
        <v>0.522517644</v>
      </c>
      <c r="AQ20">
        <f t="shared" si="0"/>
        <v>0.73624881600000003</v>
      </c>
      <c r="AR20">
        <f t="shared" si="0"/>
        <v>6.1475227199999996E-2</v>
      </c>
      <c r="AS20">
        <f t="shared" si="0"/>
        <v>0.43597047599999994</v>
      </c>
      <c r="AT20">
        <f t="shared" si="0"/>
        <v>0.76876289999999992</v>
      </c>
      <c r="AU20">
        <f t="shared" si="0"/>
        <v>0.64899946799999997</v>
      </c>
      <c r="AV20">
        <f t="shared" si="0"/>
        <v>0.62638405200000002</v>
      </c>
      <c r="AW20">
        <f t="shared" si="0"/>
        <v>0.56485386000000004</v>
      </c>
      <c r="AX20">
        <f t="shared" si="0"/>
        <v>0.60493147199999997</v>
      </c>
      <c r="AY20">
        <f t="shared" si="0"/>
        <v>0.97030155600000001</v>
      </c>
      <c r="AZ20">
        <f t="shared" si="0"/>
        <v>0.75407853599999997</v>
      </c>
      <c r="BA20">
        <f t="shared" si="0"/>
        <v>1.247913576</v>
      </c>
      <c r="BB20">
        <f t="shared" si="0"/>
        <v>0.56674335599999992</v>
      </c>
      <c r="BC20">
        <f t="shared" si="0"/>
        <v>0.8224146</v>
      </c>
      <c r="BD20">
        <f t="shared" si="0"/>
        <v>0.62627749199999994</v>
      </c>
      <c r="BE20">
        <f t="shared" si="0"/>
        <v>2.5565460840000002E-2</v>
      </c>
      <c r="BF20">
        <f t="shared" si="0"/>
        <v>0.30178939320000003</v>
      </c>
      <c r="BG20">
        <f t="shared" si="0"/>
        <v>0.36608543999999998</v>
      </c>
      <c r="BH20">
        <f t="shared" si="0"/>
        <v>1.020925332</v>
      </c>
      <c r="BI20">
        <f t="shared" si="0"/>
        <v>0.36193118400000002</v>
      </c>
      <c r="BJ20">
        <f t="shared" si="0"/>
        <v>0.74147443199999996</v>
      </c>
      <c r="BK20">
        <f t="shared" si="0"/>
        <v>0.43382487599999997</v>
      </c>
      <c r="BL20">
        <f t="shared" si="0"/>
        <v>0.64499155199999991</v>
      </c>
      <c r="BM20">
        <f t="shared" si="0"/>
        <v>0.84568665599999993</v>
      </c>
      <c r="BN20">
        <f t="shared" si="0"/>
        <v>0.73899950400000003</v>
      </c>
      <c r="BO20">
        <f t="shared" si="0"/>
        <v>1.0597764240000001</v>
      </c>
      <c r="BP20">
        <f t="shared" ref="BP20:CC20" si="1">BP19*3600/1000</f>
        <v>4.22086032E-2</v>
      </c>
      <c r="BQ20">
        <f t="shared" si="1"/>
        <v>0.73889132400000002</v>
      </c>
      <c r="BR20">
        <f t="shared" si="1"/>
        <v>1.0746395279999998</v>
      </c>
      <c r="BS20">
        <f t="shared" si="1"/>
        <v>0.3150969408</v>
      </c>
      <c r="BT20">
        <f t="shared" si="1"/>
        <v>0.44803519199999997</v>
      </c>
      <c r="BU20">
        <f t="shared" si="1"/>
        <v>0.79219353599999998</v>
      </c>
      <c r="BV20">
        <f t="shared" si="1"/>
        <v>0.66548779199999997</v>
      </c>
      <c r="BW20">
        <f t="shared" si="1"/>
        <v>0.64452279599999995</v>
      </c>
      <c r="BX20">
        <f t="shared" si="1"/>
        <v>0.72140709599999997</v>
      </c>
      <c r="BY20">
        <f t="shared" si="1"/>
        <v>0.72379699199999992</v>
      </c>
      <c r="BZ20">
        <f t="shared" si="1"/>
        <v>0.54564728400000007</v>
      </c>
      <c r="CA20">
        <f t="shared" si="1"/>
        <v>0.65001257999999995</v>
      </c>
      <c r="CB20">
        <f t="shared" si="1"/>
        <v>0.50021398800000005</v>
      </c>
      <c r="CC20">
        <f t="shared" si="1"/>
        <v>1.036289376</v>
      </c>
    </row>
    <row r="21" spans="1:81" x14ac:dyDescent="0.25">
      <c r="B21" s="5" t="s">
        <v>109</v>
      </c>
      <c r="C21" s="6">
        <f>MIN(C20:CS20)</f>
        <v>2.3615736119999998E-2</v>
      </c>
      <c r="D21" t="s">
        <v>140</v>
      </c>
    </row>
    <row r="22" spans="1:81" x14ac:dyDescent="0.25">
      <c r="B22" s="5" t="s">
        <v>110</v>
      </c>
      <c r="C22" s="7">
        <f>MAX(C20:CS20)</f>
        <v>1.247913576</v>
      </c>
      <c r="D22" t="s">
        <v>173</v>
      </c>
    </row>
    <row r="23" spans="1:81" x14ac:dyDescent="0.25">
      <c r="B23" s="5" t="s">
        <v>111</v>
      </c>
      <c r="C23" s="8">
        <v>0.73691214000000005</v>
      </c>
      <c r="D23" s="11" t="s">
        <v>121</v>
      </c>
    </row>
    <row r="40" spans="3:9" x14ac:dyDescent="0.25">
      <c r="C40" s="1"/>
      <c r="E40" s="1"/>
      <c r="F40" s="1"/>
      <c r="G40" s="1"/>
      <c r="H40" s="1"/>
      <c r="I40" s="1"/>
    </row>
    <row r="41" spans="3:9" x14ac:dyDescent="0.25">
      <c r="C41" s="1"/>
      <c r="D41" s="1"/>
    </row>
    <row r="42" spans="3:9" x14ac:dyDescent="0.25">
      <c r="C42" s="1"/>
      <c r="E42" s="1"/>
      <c r="F42" s="1"/>
      <c r="G42" s="1"/>
      <c r="H42" s="1"/>
      <c r="I42" s="1"/>
    </row>
    <row r="43" spans="3:9" x14ac:dyDescent="0.25">
      <c r="C43" s="1"/>
      <c r="D43" s="1"/>
      <c r="E43" s="1"/>
      <c r="F43" s="1"/>
    </row>
    <row r="44" spans="3:9" x14ac:dyDescent="0.25">
      <c r="C44" s="1"/>
      <c r="D44" s="1"/>
    </row>
    <row r="45" spans="3:9" x14ac:dyDescent="0.25">
      <c r="C45" s="1"/>
      <c r="D45" s="1"/>
      <c r="E45" s="1"/>
      <c r="F45" s="1"/>
      <c r="G45" s="1"/>
      <c r="H45" s="1"/>
    </row>
    <row r="46" spans="3:9" x14ac:dyDescent="0.25">
      <c r="C46" s="1"/>
      <c r="D46" s="1"/>
      <c r="E46" s="1"/>
      <c r="F46" s="1"/>
      <c r="H46" s="1"/>
      <c r="I46" s="1"/>
    </row>
    <row r="47" spans="3:9" x14ac:dyDescent="0.25">
      <c r="C47" s="1"/>
      <c r="D47" s="1"/>
      <c r="E47" s="1"/>
      <c r="F47" s="1"/>
      <c r="G47" s="1"/>
      <c r="H47" s="1"/>
      <c r="I47" s="1"/>
    </row>
    <row r="48" spans="3:9" x14ac:dyDescent="0.25">
      <c r="C48" s="1"/>
      <c r="D48" s="1"/>
      <c r="E48" s="1"/>
      <c r="F48" s="1"/>
      <c r="G48" s="1"/>
      <c r="H48" s="1"/>
      <c r="I48" s="1"/>
    </row>
    <row r="49" spans="3:9" x14ac:dyDescent="0.25">
      <c r="C49" s="1"/>
      <c r="E49" s="1"/>
      <c r="F49" s="1"/>
      <c r="G49" s="1"/>
      <c r="H49" s="1"/>
      <c r="I49" s="1"/>
    </row>
    <row r="50" spans="3:9" x14ac:dyDescent="0.25">
      <c r="C50" s="1"/>
      <c r="E50" s="1"/>
      <c r="F50" s="1"/>
      <c r="G50" s="1"/>
      <c r="H50" s="1"/>
    </row>
    <row r="51" spans="3:9" x14ac:dyDescent="0.25">
      <c r="C51" s="1"/>
      <c r="E51" s="1"/>
      <c r="F51" s="1"/>
      <c r="G51" s="1"/>
      <c r="H51" s="1"/>
    </row>
    <row r="52" spans="3:9" x14ac:dyDescent="0.25">
      <c r="C52" s="1"/>
      <c r="E52" s="1"/>
      <c r="F52" s="1"/>
      <c r="G52" s="1"/>
      <c r="H52" s="1"/>
    </row>
    <row r="54" spans="3:9" x14ac:dyDescent="0.25">
      <c r="G54" s="1"/>
      <c r="H54" s="1"/>
    </row>
    <row r="55" spans="3:9" x14ac:dyDescent="0.25">
      <c r="G55" s="1"/>
    </row>
    <row r="56" spans="3:9" x14ac:dyDescent="0.25">
      <c r="E56" s="1"/>
      <c r="H56" s="1"/>
    </row>
    <row r="57" spans="3:9" x14ac:dyDescent="0.25">
      <c r="E57" s="1"/>
    </row>
    <row r="58" spans="3:9" x14ac:dyDescent="0.25">
      <c r="E58" s="1"/>
      <c r="G58" s="1"/>
    </row>
    <row r="59" spans="3:9" x14ac:dyDescent="0.25">
      <c r="E59" s="1"/>
      <c r="G59" s="1"/>
      <c r="H59" s="1"/>
    </row>
    <row r="61" spans="3:9" x14ac:dyDescent="0.25">
      <c r="E61" s="1"/>
      <c r="F61" s="1"/>
    </row>
  </sheetData>
  <conditionalFormatting sqref="C19:CS20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20:CS20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19:CS19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19:CC19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20:CC20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22550B-398E-40A8-A8BC-03BAEE4D9EC2}">
  <dimension ref="A1:CC61"/>
  <sheetViews>
    <sheetView zoomScaleNormal="100" workbookViewId="0">
      <selection activeCell="F9" sqref="F9"/>
    </sheetView>
  </sheetViews>
  <sheetFormatPr defaultRowHeight="15" x14ac:dyDescent="0.25"/>
  <cols>
    <col min="1" max="1" width="89" customWidth="1"/>
    <col min="2" max="2" width="25.85546875" customWidth="1"/>
    <col min="3" max="3" width="23" customWidth="1"/>
    <col min="4" max="4" width="12.28515625" bestFit="1" customWidth="1"/>
    <col min="6" max="6" width="24.5703125" customWidth="1"/>
    <col min="7" max="7" width="14.7109375" customWidth="1"/>
  </cols>
  <sheetData>
    <row r="1" spans="1:7" x14ac:dyDescent="0.25">
      <c r="A1" s="9" t="s">
        <v>12</v>
      </c>
      <c r="B1" s="9" t="s">
        <v>13</v>
      </c>
      <c r="C1" s="9">
        <v>0.73691214000000005</v>
      </c>
      <c r="D1" s="9" t="s">
        <v>14</v>
      </c>
    </row>
    <row r="3" spans="1:7" x14ac:dyDescent="0.25">
      <c r="A3" s="5"/>
      <c r="B3" s="9" t="s">
        <v>112</v>
      </c>
      <c r="C3" s="9" t="s">
        <v>1</v>
      </c>
      <c r="D3" s="9" t="s">
        <v>113</v>
      </c>
      <c r="F3" s="11" t="s">
        <v>115</v>
      </c>
    </row>
    <row r="4" spans="1:7" x14ac:dyDescent="0.25">
      <c r="A4" s="9" t="s">
        <v>0</v>
      </c>
      <c r="B4" s="9">
        <v>0</v>
      </c>
      <c r="C4" s="9">
        <v>0</v>
      </c>
      <c r="D4" s="9">
        <f>B4*$C$1</f>
        <v>0</v>
      </c>
      <c r="F4" s="9">
        <v>0.54149999999999998</v>
      </c>
    </row>
    <row r="5" spans="1:7" x14ac:dyDescent="0.25">
      <c r="A5" s="9" t="s">
        <v>2</v>
      </c>
      <c r="B5" s="9">
        <v>63.372</v>
      </c>
      <c r="C5" s="9">
        <v>0.9871337</v>
      </c>
      <c r="D5" s="9">
        <f>B5*$C$1</f>
        <v>46.699596136080004</v>
      </c>
      <c r="F5" s="9" t="s">
        <v>116</v>
      </c>
      <c r="G5" s="9" t="s">
        <v>119</v>
      </c>
    </row>
    <row r="6" spans="1:7" x14ac:dyDescent="0.25">
      <c r="A6" s="9" t="s">
        <v>3</v>
      </c>
      <c r="B6" s="9">
        <v>0</v>
      </c>
      <c r="C6" s="9">
        <v>0</v>
      </c>
      <c r="D6" s="9">
        <f>B6*$C$1</f>
        <v>0</v>
      </c>
      <c r="F6" s="5" t="s">
        <v>117</v>
      </c>
      <c r="G6" s="9">
        <v>3.62</v>
      </c>
    </row>
    <row r="7" spans="1:7" x14ac:dyDescent="0.25">
      <c r="A7" s="9" t="s">
        <v>4</v>
      </c>
      <c r="B7" s="9">
        <v>0</v>
      </c>
      <c r="C7" s="9">
        <v>0</v>
      </c>
      <c r="D7" s="9">
        <f>B7*$C$1</f>
        <v>0</v>
      </c>
      <c r="F7" s="5" t="s">
        <v>118</v>
      </c>
      <c r="G7" s="9">
        <v>0.47399999999999998</v>
      </c>
    </row>
    <row r="9" spans="1:7" x14ac:dyDescent="0.25">
      <c r="A9" s="5"/>
      <c r="B9" s="9" t="s">
        <v>114</v>
      </c>
      <c r="C9" s="9" t="s">
        <v>112</v>
      </c>
      <c r="D9" s="9" t="s">
        <v>1</v>
      </c>
    </row>
    <row r="10" spans="1:7" x14ac:dyDescent="0.25">
      <c r="A10" s="9" t="s">
        <v>5</v>
      </c>
      <c r="B10" s="9">
        <v>0.84719999999999995</v>
      </c>
      <c r="C10" s="9">
        <f>B10*B4</f>
        <v>0</v>
      </c>
      <c r="D10" s="9">
        <f>C10*$C$1</f>
        <v>0</v>
      </c>
    </row>
    <row r="11" spans="1:7" x14ac:dyDescent="0.25">
      <c r="A11" s="9" t="s">
        <v>6</v>
      </c>
      <c r="B11" s="9">
        <v>0.1071</v>
      </c>
      <c r="C11" s="9">
        <f>B11*B5</f>
        <v>6.7871411999999998</v>
      </c>
      <c r="D11" s="9">
        <f>C11*$C$1</f>
        <v>5.0015267461741679</v>
      </c>
    </row>
    <row r="12" spans="1:7" x14ac:dyDescent="0.25">
      <c r="A12" s="9" t="s">
        <v>7</v>
      </c>
      <c r="B12" s="10">
        <v>0</v>
      </c>
      <c r="C12" s="9">
        <f>B12*B6</f>
        <v>0</v>
      </c>
      <c r="D12" s="9">
        <f>C12*$C$1</f>
        <v>0</v>
      </c>
    </row>
    <row r="13" spans="1:7" x14ac:dyDescent="0.25">
      <c r="A13" s="9" t="s">
        <v>8</v>
      </c>
      <c r="B13" s="10">
        <v>0</v>
      </c>
      <c r="C13" s="9">
        <f>B13*B7</f>
        <v>0</v>
      </c>
      <c r="D13" s="9">
        <f>C13*$C$1</f>
        <v>0</v>
      </c>
    </row>
    <row r="14" spans="1:7" x14ac:dyDescent="0.25">
      <c r="A14" s="12" t="s">
        <v>11</v>
      </c>
      <c r="B14" s="5"/>
      <c r="C14" s="13">
        <f>SUM(C10:C13)</f>
        <v>6.7871411999999998</v>
      </c>
      <c r="D14" s="13">
        <f>SUM(D10:D13)</f>
        <v>5.0015267461741679</v>
      </c>
    </row>
    <row r="15" spans="1:7" x14ac:dyDescent="0.25">
      <c r="A15" s="12" t="s">
        <v>120</v>
      </c>
      <c r="B15" s="5"/>
      <c r="C15" s="5"/>
      <c r="D15" s="13">
        <v>6.5598074000000004</v>
      </c>
    </row>
    <row r="16" spans="1:7" x14ac:dyDescent="0.25">
      <c r="A16" s="12" t="s">
        <v>122</v>
      </c>
      <c r="B16" s="5"/>
      <c r="C16" s="5"/>
      <c r="D16" s="13">
        <v>4.6039285999999997</v>
      </c>
    </row>
    <row r="17" spans="1:81" x14ac:dyDescent="0.25">
      <c r="A17" s="14"/>
      <c r="B17" s="4"/>
      <c r="C17" s="4"/>
      <c r="D17" s="14"/>
    </row>
    <row r="18" spans="1:81" x14ac:dyDescent="0.25">
      <c r="A18" s="3" t="s">
        <v>9</v>
      </c>
      <c r="B18" t="s">
        <v>10</v>
      </c>
      <c r="C18" t="s">
        <v>123</v>
      </c>
      <c r="D18" t="s">
        <v>124</v>
      </c>
      <c r="E18" t="s">
        <v>125</v>
      </c>
      <c r="F18" t="s">
        <v>126</v>
      </c>
      <c r="G18" t="s">
        <v>127</v>
      </c>
      <c r="H18" t="s">
        <v>128</v>
      </c>
      <c r="I18" t="s">
        <v>129</v>
      </c>
      <c r="J18" t="s">
        <v>130</v>
      </c>
      <c r="K18" t="s">
        <v>131</v>
      </c>
      <c r="L18" t="s">
        <v>132</v>
      </c>
      <c r="M18" t="s">
        <v>133</v>
      </c>
      <c r="N18" t="s">
        <v>134</v>
      </c>
      <c r="O18" t="s">
        <v>135</v>
      </c>
      <c r="P18" t="s">
        <v>136</v>
      </c>
      <c r="Q18" t="s">
        <v>137</v>
      </c>
      <c r="R18" t="s">
        <v>138</v>
      </c>
      <c r="S18" t="s">
        <v>139</v>
      </c>
      <c r="T18" t="s">
        <v>140</v>
      </c>
      <c r="U18" t="s">
        <v>141</v>
      </c>
      <c r="V18" t="s">
        <v>142</v>
      </c>
      <c r="W18" t="s">
        <v>143</v>
      </c>
      <c r="X18" t="s">
        <v>144</v>
      </c>
      <c r="Y18" t="s">
        <v>145</v>
      </c>
      <c r="Z18" t="s">
        <v>146</v>
      </c>
      <c r="AA18" t="s">
        <v>147</v>
      </c>
      <c r="AB18" t="s">
        <v>148</v>
      </c>
      <c r="AC18" t="s">
        <v>149</v>
      </c>
      <c r="AD18" t="s">
        <v>150</v>
      </c>
      <c r="AE18" t="s">
        <v>151</v>
      </c>
      <c r="AF18" t="s">
        <v>152</v>
      </c>
      <c r="AG18" t="s">
        <v>153</v>
      </c>
      <c r="AH18" t="s">
        <v>154</v>
      </c>
      <c r="AI18" t="s">
        <v>155</v>
      </c>
      <c r="AJ18" t="s">
        <v>156</v>
      </c>
      <c r="AK18" t="s">
        <v>157</v>
      </c>
      <c r="AL18" t="s">
        <v>158</v>
      </c>
      <c r="AM18" t="s">
        <v>159</v>
      </c>
      <c r="AN18" t="s">
        <v>160</v>
      </c>
      <c r="AO18" t="s">
        <v>161</v>
      </c>
      <c r="AP18" t="s">
        <v>162</v>
      </c>
      <c r="AQ18" t="s">
        <v>163</v>
      </c>
      <c r="AR18" t="s">
        <v>164</v>
      </c>
      <c r="AS18" t="s">
        <v>165</v>
      </c>
      <c r="AT18" t="s">
        <v>166</v>
      </c>
      <c r="AU18" t="s">
        <v>167</v>
      </c>
      <c r="AV18" t="s">
        <v>168</v>
      </c>
      <c r="AW18" t="s">
        <v>169</v>
      </c>
      <c r="AX18" t="s">
        <v>170</v>
      </c>
      <c r="AY18" t="s">
        <v>171</v>
      </c>
      <c r="AZ18" t="s">
        <v>172</v>
      </c>
      <c r="BA18" t="s">
        <v>173</v>
      </c>
      <c r="BB18" t="s">
        <v>174</v>
      </c>
      <c r="BC18" t="s">
        <v>175</v>
      </c>
      <c r="BD18" t="s">
        <v>176</v>
      </c>
      <c r="BE18" t="s">
        <v>177</v>
      </c>
      <c r="BF18" t="s">
        <v>178</v>
      </c>
      <c r="BG18" t="s">
        <v>179</v>
      </c>
      <c r="BH18" t="s">
        <v>180</v>
      </c>
      <c r="BI18" t="s">
        <v>181</v>
      </c>
      <c r="BJ18" t="s">
        <v>182</v>
      </c>
      <c r="BK18" t="s">
        <v>183</v>
      </c>
      <c r="BL18" t="s">
        <v>184</v>
      </c>
      <c r="BM18" t="s">
        <v>185</v>
      </c>
      <c r="BN18" t="s">
        <v>186</v>
      </c>
      <c r="BO18" t="s">
        <v>187</v>
      </c>
      <c r="BP18" t="s">
        <v>188</v>
      </c>
      <c r="BQ18" t="s">
        <v>189</v>
      </c>
      <c r="BR18" t="s">
        <v>190</v>
      </c>
      <c r="BS18" t="s">
        <v>191</v>
      </c>
      <c r="BT18" t="s">
        <v>192</v>
      </c>
      <c r="BU18" t="s">
        <v>193</v>
      </c>
      <c r="BV18" t="s">
        <v>194</v>
      </c>
      <c r="BW18" t="s">
        <v>195</v>
      </c>
      <c r="BX18" t="s">
        <v>196</v>
      </c>
      <c r="BY18" t="s">
        <v>197</v>
      </c>
      <c r="BZ18" t="s">
        <v>198</v>
      </c>
      <c r="CA18" t="s">
        <v>199</v>
      </c>
      <c r="CB18" t="s">
        <v>200</v>
      </c>
      <c r="CC18" t="s">
        <v>201</v>
      </c>
    </row>
    <row r="19" spans="1:81" x14ac:dyDescent="0.25">
      <c r="A19" s="3" t="s">
        <v>13</v>
      </c>
      <c r="B19" t="s">
        <v>14</v>
      </c>
      <c r="C19">
        <v>0.18595007</v>
      </c>
      <c r="D19">
        <v>8.7396856999999994E-2</v>
      </c>
      <c r="E19">
        <v>0.26569040999999999</v>
      </c>
      <c r="F19">
        <v>0.21919403000000001</v>
      </c>
      <c r="G19">
        <v>7.6212751999999995E-2</v>
      </c>
      <c r="H19">
        <v>0.17274142000000001</v>
      </c>
      <c r="I19">
        <v>7.0013786999999994E-2</v>
      </c>
      <c r="J19">
        <v>0.25058408999999998</v>
      </c>
      <c r="K19">
        <v>2.8220988999999998E-2</v>
      </c>
      <c r="L19">
        <v>1.9141293E-2</v>
      </c>
      <c r="M19">
        <v>0.12745725999999999</v>
      </c>
      <c r="N19">
        <v>2.5611306E-2</v>
      </c>
      <c r="O19">
        <v>0.2713333</v>
      </c>
      <c r="P19">
        <v>9.7509075000000001E-2</v>
      </c>
      <c r="Q19">
        <v>0.31790998999999998</v>
      </c>
      <c r="R19">
        <v>2.5589530999999999E-2</v>
      </c>
      <c r="S19">
        <v>8.0190365999999999E-2</v>
      </c>
      <c r="T19">
        <v>6.5599266999999996E-3</v>
      </c>
      <c r="U19">
        <v>0.20173605999999999</v>
      </c>
      <c r="V19">
        <v>1.8080193000000001E-2</v>
      </c>
      <c r="W19">
        <v>2.6364061000000001E-2</v>
      </c>
      <c r="X19">
        <v>0.16861303999999999</v>
      </c>
      <c r="Y19">
        <v>0.32792213999999997</v>
      </c>
      <c r="Z19">
        <v>0.19325971</v>
      </c>
      <c r="AA19">
        <v>0.28889490000000001</v>
      </c>
      <c r="AB19">
        <v>0.21430637999999999</v>
      </c>
      <c r="AC19">
        <v>0.18116797000000001</v>
      </c>
      <c r="AD19">
        <v>0.10156477</v>
      </c>
      <c r="AE19">
        <v>0.24293532000000001</v>
      </c>
      <c r="AF19">
        <v>9.4085062999999997E-2</v>
      </c>
      <c r="AG19">
        <v>6.7891392999999994E-2</v>
      </c>
      <c r="AH19">
        <v>1.4991996E-2</v>
      </c>
      <c r="AI19">
        <v>0.18123911000000001</v>
      </c>
      <c r="AJ19">
        <v>0.14706948</v>
      </c>
      <c r="AK19">
        <v>0.26585902</v>
      </c>
      <c r="AL19">
        <v>0.25109711000000001</v>
      </c>
      <c r="AM19">
        <v>0.10419501</v>
      </c>
      <c r="AN19">
        <v>0.12788567000000001</v>
      </c>
      <c r="AO19">
        <v>0.30499576</v>
      </c>
      <c r="AP19">
        <v>0.14514378999999999</v>
      </c>
      <c r="AQ19">
        <v>0.20451356000000001</v>
      </c>
      <c r="AR19">
        <v>1.7076451999999999E-2</v>
      </c>
      <c r="AS19">
        <v>0.12110290999999999</v>
      </c>
      <c r="AT19">
        <v>0.21354524999999999</v>
      </c>
      <c r="AU19">
        <v>0.18027762999999999</v>
      </c>
      <c r="AV19">
        <v>0.17399556999999999</v>
      </c>
      <c r="AW19">
        <v>0.15690385000000001</v>
      </c>
      <c r="AX19">
        <v>0.16803651999999999</v>
      </c>
      <c r="AY19">
        <v>0.26952820999999999</v>
      </c>
      <c r="AZ19">
        <v>0.20946625999999999</v>
      </c>
      <c r="BA19">
        <v>0.34664265999999999</v>
      </c>
      <c r="BB19">
        <v>0.15742871</v>
      </c>
      <c r="BC19">
        <v>0.2284485</v>
      </c>
      <c r="BD19">
        <v>0.17396597</v>
      </c>
      <c r="BE19">
        <v>7.1015169000000003E-3</v>
      </c>
      <c r="BF19">
        <v>8.3830387000000006E-2</v>
      </c>
      <c r="BG19">
        <v>0.1016904</v>
      </c>
      <c r="BH19">
        <v>0.28359036999999998</v>
      </c>
      <c r="BI19">
        <v>0.10053644</v>
      </c>
      <c r="BJ19">
        <v>0.20596512</v>
      </c>
      <c r="BK19">
        <v>0.12050690999999999</v>
      </c>
      <c r="BL19">
        <v>0.17916431999999999</v>
      </c>
      <c r="BM19">
        <v>0.23491296</v>
      </c>
      <c r="BN19">
        <v>0.20527764000000001</v>
      </c>
      <c r="BO19">
        <v>0.29438234000000002</v>
      </c>
      <c r="BP19">
        <v>1.1724612000000001E-2</v>
      </c>
      <c r="BQ19">
        <v>0.20524759000000001</v>
      </c>
      <c r="BR19">
        <v>0.29851097999999998</v>
      </c>
      <c r="BS19">
        <v>8.7526928000000004E-2</v>
      </c>
      <c r="BT19">
        <v>0.12445422</v>
      </c>
      <c r="BU19">
        <v>0.22005375999999999</v>
      </c>
      <c r="BV19">
        <v>0.18485772</v>
      </c>
      <c r="BW19">
        <v>0.17903411</v>
      </c>
      <c r="BX19">
        <v>0.20039086</v>
      </c>
      <c r="BY19">
        <v>0.20105471999999999</v>
      </c>
      <c r="BZ19">
        <v>0.15156869000000001</v>
      </c>
      <c r="CA19">
        <v>0.18055905</v>
      </c>
      <c r="CB19">
        <v>0.13894833000000001</v>
      </c>
      <c r="CC19">
        <v>0.28785815999999997</v>
      </c>
    </row>
    <row r="20" spans="1:81" x14ac:dyDescent="0.25">
      <c r="C20">
        <f>C19*3600/1000</f>
        <v>0.66942025199999999</v>
      </c>
      <c r="D20">
        <f t="shared" ref="D20:BO20" si="0">D19*3600/1000</f>
        <v>0.31462868519999998</v>
      </c>
      <c r="E20">
        <f t="shared" si="0"/>
        <v>0.956485476</v>
      </c>
      <c r="F20">
        <f t="shared" si="0"/>
        <v>0.78909850800000003</v>
      </c>
      <c r="G20">
        <f t="shared" si="0"/>
        <v>0.27436590719999998</v>
      </c>
      <c r="H20">
        <f t="shared" si="0"/>
        <v>0.62186911199999995</v>
      </c>
      <c r="I20">
        <f t="shared" si="0"/>
        <v>0.25204963320000001</v>
      </c>
      <c r="J20">
        <f t="shared" si="0"/>
        <v>0.90210272399999991</v>
      </c>
      <c r="K20">
        <f t="shared" si="0"/>
        <v>0.10159556039999999</v>
      </c>
      <c r="L20">
        <f t="shared" si="0"/>
        <v>6.8908654799999997E-2</v>
      </c>
      <c r="M20">
        <f t="shared" si="0"/>
        <v>0.45884613599999996</v>
      </c>
      <c r="N20">
        <f t="shared" si="0"/>
        <v>9.2200701600000004E-2</v>
      </c>
      <c r="O20">
        <f t="shared" si="0"/>
        <v>0.97679988000000006</v>
      </c>
      <c r="P20">
        <f t="shared" si="0"/>
        <v>0.35103266999999999</v>
      </c>
      <c r="Q20">
        <f t="shared" si="0"/>
        <v>1.144475964</v>
      </c>
      <c r="R20">
        <f t="shared" si="0"/>
        <v>9.2122311599999993E-2</v>
      </c>
      <c r="S20">
        <f t="shared" si="0"/>
        <v>0.28868531760000005</v>
      </c>
      <c r="T20">
        <f t="shared" si="0"/>
        <v>2.3615736119999998E-2</v>
      </c>
      <c r="U20">
        <f t="shared" si="0"/>
        <v>0.72624981600000005</v>
      </c>
      <c r="V20">
        <f t="shared" si="0"/>
        <v>6.5088694799999999E-2</v>
      </c>
      <c r="W20">
        <f t="shared" si="0"/>
        <v>9.491061960000001E-2</v>
      </c>
      <c r="X20">
        <f t="shared" si="0"/>
        <v>0.60700694399999999</v>
      </c>
      <c r="Y20">
        <f t="shared" si="0"/>
        <v>1.1805197039999997</v>
      </c>
      <c r="Z20">
        <f t="shared" si="0"/>
        <v>0.69573495600000002</v>
      </c>
      <c r="AA20">
        <f t="shared" si="0"/>
        <v>1.04002164</v>
      </c>
      <c r="AB20">
        <f t="shared" si="0"/>
        <v>0.77150296799999996</v>
      </c>
      <c r="AC20">
        <f t="shared" si="0"/>
        <v>0.65220469199999997</v>
      </c>
      <c r="AD20">
        <f t="shared" si="0"/>
        <v>0.36563317200000001</v>
      </c>
      <c r="AE20">
        <f t="shared" si="0"/>
        <v>0.87456715200000013</v>
      </c>
      <c r="AF20">
        <f t="shared" si="0"/>
        <v>0.33870622679999995</v>
      </c>
      <c r="AG20">
        <f t="shared" si="0"/>
        <v>0.24440901479999996</v>
      </c>
      <c r="AH20">
        <f t="shared" si="0"/>
        <v>5.3971185599999999E-2</v>
      </c>
      <c r="AI20">
        <f t="shared" si="0"/>
        <v>0.65246079600000007</v>
      </c>
      <c r="AJ20">
        <f t="shared" si="0"/>
        <v>0.52945012800000002</v>
      </c>
      <c r="AK20">
        <f t="shared" si="0"/>
        <v>0.95709247200000003</v>
      </c>
      <c r="AL20">
        <f t="shared" si="0"/>
        <v>0.90394959600000002</v>
      </c>
      <c r="AM20">
        <f t="shared" si="0"/>
        <v>0.37510203599999997</v>
      </c>
      <c r="AN20">
        <f t="shared" si="0"/>
        <v>0.46038841200000002</v>
      </c>
      <c r="AO20">
        <f t="shared" si="0"/>
        <v>1.0979847360000001</v>
      </c>
      <c r="AP20">
        <f t="shared" si="0"/>
        <v>0.522517644</v>
      </c>
      <c r="AQ20">
        <f t="shared" si="0"/>
        <v>0.73624881600000003</v>
      </c>
      <c r="AR20">
        <f t="shared" si="0"/>
        <v>6.1475227199999996E-2</v>
      </c>
      <c r="AS20">
        <f t="shared" si="0"/>
        <v>0.43597047599999994</v>
      </c>
      <c r="AT20">
        <f t="shared" si="0"/>
        <v>0.76876289999999992</v>
      </c>
      <c r="AU20">
        <f t="shared" si="0"/>
        <v>0.64899946799999997</v>
      </c>
      <c r="AV20">
        <f t="shared" si="0"/>
        <v>0.62638405200000002</v>
      </c>
      <c r="AW20">
        <f t="shared" si="0"/>
        <v>0.56485386000000004</v>
      </c>
      <c r="AX20">
        <f t="shared" si="0"/>
        <v>0.60493147199999997</v>
      </c>
      <c r="AY20">
        <f t="shared" si="0"/>
        <v>0.97030155600000001</v>
      </c>
      <c r="AZ20">
        <f t="shared" si="0"/>
        <v>0.75407853599999997</v>
      </c>
      <c r="BA20">
        <f t="shared" si="0"/>
        <v>1.247913576</v>
      </c>
      <c r="BB20">
        <f t="shared" si="0"/>
        <v>0.56674335599999992</v>
      </c>
      <c r="BC20">
        <f t="shared" si="0"/>
        <v>0.8224146</v>
      </c>
      <c r="BD20">
        <f t="shared" si="0"/>
        <v>0.62627749199999994</v>
      </c>
      <c r="BE20">
        <f t="shared" si="0"/>
        <v>2.5565460840000002E-2</v>
      </c>
      <c r="BF20">
        <f t="shared" si="0"/>
        <v>0.30178939320000003</v>
      </c>
      <c r="BG20">
        <f t="shared" si="0"/>
        <v>0.36608543999999998</v>
      </c>
      <c r="BH20">
        <f t="shared" si="0"/>
        <v>1.020925332</v>
      </c>
      <c r="BI20">
        <f t="shared" si="0"/>
        <v>0.36193118400000002</v>
      </c>
      <c r="BJ20">
        <f t="shared" si="0"/>
        <v>0.74147443199999996</v>
      </c>
      <c r="BK20">
        <f t="shared" si="0"/>
        <v>0.43382487599999997</v>
      </c>
      <c r="BL20">
        <f t="shared" si="0"/>
        <v>0.64499155199999991</v>
      </c>
      <c r="BM20">
        <f t="shared" si="0"/>
        <v>0.84568665599999993</v>
      </c>
      <c r="BN20">
        <f t="shared" si="0"/>
        <v>0.73899950400000003</v>
      </c>
      <c r="BO20">
        <f t="shared" si="0"/>
        <v>1.0597764240000001</v>
      </c>
      <c r="BP20">
        <f t="shared" ref="BP20:CC20" si="1">BP19*3600/1000</f>
        <v>4.22086032E-2</v>
      </c>
      <c r="BQ20">
        <f t="shared" si="1"/>
        <v>0.73889132400000002</v>
      </c>
      <c r="BR20">
        <f t="shared" si="1"/>
        <v>1.0746395279999998</v>
      </c>
      <c r="BS20">
        <f t="shared" si="1"/>
        <v>0.3150969408</v>
      </c>
      <c r="BT20">
        <f t="shared" si="1"/>
        <v>0.44803519199999997</v>
      </c>
      <c r="BU20">
        <f t="shared" si="1"/>
        <v>0.79219353599999998</v>
      </c>
      <c r="BV20">
        <f t="shared" si="1"/>
        <v>0.66548779199999997</v>
      </c>
      <c r="BW20">
        <f t="shared" si="1"/>
        <v>0.64452279599999995</v>
      </c>
      <c r="BX20">
        <f t="shared" si="1"/>
        <v>0.72140709599999997</v>
      </c>
      <c r="BY20">
        <f t="shared" si="1"/>
        <v>0.72379699199999992</v>
      </c>
      <c r="BZ20">
        <f t="shared" si="1"/>
        <v>0.54564728400000007</v>
      </c>
      <c r="CA20">
        <f t="shared" si="1"/>
        <v>0.65001257999999995</v>
      </c>
      <c r="CB20">
        <f t="shared" si="1"/>
        <v>0.50021398800000005</v>
      </c>
      <c r="CC20">
        <f t="shared" si="1"/>
        <v>1.036289376</v>
      </c>
    </row>
    <row r="21" spans="1:81" x14ac:dyDescent="0.25">
      <c r="B21" s="5" t="s">
        <v>109</v>
      </c>
      <c r="C21" s="6">
        <f>MIN(C20:CS20)</f>
        <v>2.3615736119999998E-2</v>
      </c>
      <c r="D21" t="s">
        <v>140</v>
      </c>
    </row>
    <row r="22" spans="1:81" x14ac:dyDescent="0.25">
      <c r="B22" s="5" t="s">
        <v>110</v>
      </c>
      <c r="C22" s="7">
        <f>MAX(C20:CS20)</f>
        <v>1.247913576</v>
      </c>
      <c r="D22" t="s">
        <v>173</v>
      </c>
    </row>
    <row r="23" spans="1:81" x14ac:dyDescent="0.25">
      <c r="B23" s="5" t="s">
        <v>111</v>
      </c>
      <c r="C23" s="8">
        <v>0.73691214000000005</v>
      </c>
      <c r="D23" s="11" t="s">
        <v>121</v>
      </c>
    </row>
    <row r="40" spans="3:9" x14ac:dyDescent="0.25">
      <c r="C40" s="1"/>
      <c r="E40" s="1"/>
      <c r="F40" s="1"/>
      <c r="G40" s="1"/>
      <c r="H40" s="1"/>
      <c r="I40" s="1"/>
    </row>
    <row r="41" spans="3:9" x14ac:dyDescent="0.25">
      <c r="C41" s="1"/>
      <c r="D41" s="1"/>
    </row>
    <row r="42" spans="3:9" x14ac:dyDescent="0.25">
      <c r="C42" s="1"/>
      <c r="E42" s="1"/>
      <c r="F42" s="1"/>
      <c r="G42" s="1"/>
      <c r="H42" s="1"/>
      <c r="I42" s="1"/>
    </row>
    <row r="43" spans="3:9" x14ac:dyDescent="0.25">
      <c r="C43" s="1"/>
      <c r="D43" s="1"/>
      <c r="E43" s="1"/>
      <c r="F43" s="1"/>
    </row>
    <row r="44" spans="3:9" x14ac:dyDescent="0.25">
      <c r="C44" s="1"/>
      <c r="D44" s="1"/>
    </row>
    <row r="45" spans="3:9" x14ac:dyDescent="0.25">
      <c r="C45" s="1"/>
      <c r="D45" s="1"/>
      <c r="E45" s="1"/>
      <c r="F45" s="1"/>
      <c r="G45" s="1"/>
      <c r="H45" s="1"/>
    </row>
    <row r="46" spans="3:9" x14ac:dyDescent="0.25">
      <c r="C46" s="1"/>
      <c r="D46" s="1"/>
      <c r="E46" s="1"/>
      <c r="F46" s="1"/>
      <c r="H46" s="1"/>
      <c r="I46" s="1"/>
    </row>
    <row r="47" spans="3:9" x14ac:dyDescent="0.25">
      <c r="C47" s="1"/>
      <c r="D47" s="1"/>
      <c r="E47" s="1"/>
      <c r="F47" s="1"/>
      <c r="G47" s="1"/>
      <c r="H47" s="1"/>
      <c r="I47" s="1"/>
    </row>
    <row r="48" spans="3:9" x14ac:dyDescent="0.25">
      <c r="C48" s="1"/>
      <c r="D48" s="1"/>
      <c r="E48" s="1"/>
      <c r="F48" s="1"/>
      <c r="G48" s="1"/>
      <c r="H48" s="1"/>
      <c r="I48" s="1"/>
    </row>
    <row r="49" spans="3:9" x14ac:dyDescent="0.25">
      <c r="C49" s="1"/>
      <c r="E49" s="1"/>
      <c r="F49" s="1"/>
      <c r="G49" s="1"/>
      <c r="H49" s="1"/>
      <c r="I49" s="1"/>
    </row>
    <row r="50" spans="3:9" x14ac:dyDescent="0.25">
      <c r="C50" s="1"/>
      <c r="E50" s="1"/>
      <c r="F50" s="1"/>
      <c r="G50" s="1"/>
      <c r="H50" s="1"/>
    </row>
    <row r="51" spans="3:9" x14ac:dyDescent="0.25">
      <c r="C51" s="1"/>
      <c r="E51" s="1"/>
      <c r="F51" s="1"/>
      <c r="G51" s="1"/>
      <c r="H51" s="1"/>
    </row>
    <row r="52" spans="3:9" x14ac:dyDescent="0.25">
      <c r="C52" s="1"/>
      <c r="E52" s="1"/>
      <c r="F52" s="1"/>
      <c r="G52" s="1"/>
      <c r="H52" s="1"/>
    </row>
    <row r="54" spans="3:9" x14ac:dyDescent="0.25">
      <c r="G54" s="1"/>
      <c r="H54" s="1"/>
    </row>
    <row r="55" spans="3:9" x14ac:dyDescent="0.25">
      <c r="G55" s="1"/>
    </row>
    <row r="56" spans="3:9" x14ac:dyDescent="0.25">
      <c r="E56" s="1"/>
      <c r="H56" s="1"/>
    </row>
    <row r="57" spans="3:9" x14ac:dyDescent="0.25">
      <c r="E57" s="1"/>
    </row>
    <row r="58" spans="3:9" x14ac:dyDescent="0.25">
      <c r="E58" s="1"/>
      <c r="G58" s="1"/>
    </row>
    <row r="59" spans="3:9" x14ac:dyDescent="0.25">
      <c r="E59" s="1"/>
      <c r="G59" s="1"/>
      <c r="H59" s="1"/>
    </row>
    <row r="61" spans="3:9" x14ac:dyDescent="0.25">
      <c r="E61" s="1"/>
      <c r="F61" s="1"/>
    </row>
  </sheetData>
  <conditionalFormatting sqref="C19:CS20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20:CS20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19:CS19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19:CC19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20:CC20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DAC + wind + gE</vt:lpstr>
      <vt:lpstr>DAC + wind</vt:lpstr>
      <vt:lpstr>NG + wind + gE</vt:lpstr>
      <vt:lpstr>NG + wind</vt:lpstr>
      <vt:lpstr>DAC + grid + gE</vt:lpstr>
      <vt:lpstr>DAC + grid</vt:lpstr>
      <vt:lpstr>NG + grid + gE</vt:lpstr>
      <vt:lpstr>NG + grid</vt:lpstr>
    </vt:vector>
  </TitlesOfParts>
  <Company>ETH Zuerich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Nabera  Abhinandan</dc:creator>
  <cp:lastModifiedBy>Nabera  Abhinandan</cp:lastModifiedBy>
  <dcterms:created xsi:type="dcterms:W3CDTF">2022-06-17T14:55:27Z</dcterms:created>
  <dcterms:modified xsi:type="dcterms:W3CDTF">2022-06-21T10:22:43Z</dcterms:modified>
</cp:coreProperties>
</file>