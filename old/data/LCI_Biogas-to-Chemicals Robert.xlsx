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filterPrivacy="1"/>
  <xr:revisionPtr revIDLastSave="0" documentId="13_ncr:1_{1AD7D68C-5AA5-4BCF-B602-00D202FB39C0}" xr6:coauthVersionLast="47" xr6:coauthVersionMax="47" xr10:uidLastSave="{00000000-0000-0000-0000-000000000000}"/>
  <bookViews>
    <workbookView xWindow="-108" yWindow="-108" windowWidth="30936" windowHeight="16896" xr2:uid="{00000000-000D-0000-FFFF-FFFF00000000}"/>
  </bookViews>
  <sheets>
    <sheet name="LCI_Biogas" sheetId="14" r:id="rId1"/>
    <sheet name="LCI_Biomethane_2" sheetId="15" r:id="rId2"/>
    <sheet name="LCI_Biomethane" sheetId="1" r:id="rId3"/>
    <sheet name="LCI_e-MeOH" sheetId="10" r:id="rId4"/>
    <sheet name="LCI_Heat-NG-CCS" sheetId="11" r:id="rId5"/>
    <sheet name="LCI_Heat-Biomethane" sheetId="8" r:id="rId6"/>
    <sheet name="LCI_MeOH" sheetId="9" r:id="rId7"/>
    <sheet name="LCI_MTO_MTA" sheetId="4" r:id="rId8"/>
    <sheet name="Carbon balance" sheetId="2" r:id="rId9"/>
    <sheet name="LCI_Prospective_Foreground" sheetId="1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85" i="14" l="1"/>
  <c r="C82" i="14"/>
  <c r="C83" i="14"/>
  <c r="B9" i="2" l="1"/>
  <c r="B10" i="2" s="1"/>
  <c r="C41" i="14" s="1"/>
  <c r="C9" i="2"/>
  <c r="C10" i="2" s="1"/>
  <c r="C13" i="14" s="1"/>
  <c r="E9" i="2"/>
  <c r="E10" i="2" s="1"/>
  <c r="C25" i="14" s="1"/>
  <c r="F9" i="2"/>
  <c r="F10" i="2" s="1"/>
  <c r="D9" i="2"/>
  <c r="B29" i="2" l="1"/>
  <c r="B40" i="2" l="1"/>
  <c r="C15" i="11" s="1"/>
  <c r="B39" i="2"/>
  <c r="C14" i="11" s="1"/>
  <c r="B31" i="2"/>
  <c r="C15" i="10" l="1"/>
  <c r="K24" i="9"/>
  <c r="J24" i="9"/>
  <c r="L24" i="9"/>
  <c r="I24" i="9"/>
  <c r="K20" i="9"/>
  <c r="J20" i="9"/>
  <c r="L20" i="9"/>
  <c r="I20" i="9"/>
  <c r="D10" i="2" l="1"/>
  <c r="C58" i="14" s="1"/>
  <c r="B25" i="2" l="1"/>
  <c r="B26" i="2"/>
  <c r="B27" i="2" l="1"/>
  <c r="B32" i="2" l="1"/>
  <c r="I4" i="2"/>
  <c r="H4" i="2"/>
  <c r="J4" i="2" l="1"/>
  <c r="B43" i="2"/>
  <c r="B42" i="2"/>
  <c r="J4" i="8"/>
  <c r="I5" i="8"/>
  <c r="K5" i="8"/>
  <c r="H4" i="8"/>
  <c r="B20" i="2"/>
  <c r="G4" i="2"/>
  <c r="G6" i="2"/>
  <c r="G5" i="2"/>
  <c r="B44" i="2" l="1"/>
  <c r="B45" i="2"/>
  <c r="I9" i="8"/>
  <c r="J10" i="8"/>
  <c r="I10" i="8"/>
  <c r="K10" i="8"/>
  <c r="C25" i="1"/>
  <c r="C26" i="1" s="1"/>
  <c r="C47" i="1"/>
  <c r="C49" i="1" s="1"/>
  <c r="H10" i="8"/>
  <c r="H9" i="8"/>
  <c r="C13" i="1"/>
  <c r="B22" i="2"/>
  <c r="C30" i="1" s="1"/>
  <c r="B21" i="2"/>
  <c r="K8" i="8" l="1"/>
  <c r="J8" i="8"/>
  <c r="K9" i="8"/>
  <c r="J9" i="8"/>
  <c r="C54" i="1"/>
  <c r="C31" i="1"/>
  <c r="B23" i="2"/>
  <c r="C53" i="1" s="1"/>
  <c r="B24" i="2"/>
  <c r="C48" i="1" l="1"/>
</calcChain>
</file>

<file path=xl/sharedStrings.xml><?xml version="1.0" encoding="utf-8"?>
<sst xmlns="http://schemas.openxmlformats.org/spreadsheetml/2006/main" count="1849" uniqueCount="366">
  <si>
    <t>Database</t>
  </si>
  <si>
    <t>Activity</t>
  </si>
  <si>
    <t>comment</t>
  </si>
  <si>
    <t>location</t>
  </si>
  <si>
    <t>production amount</t>
  </si>
  <si>
    <t>type</t>
  </si>
  <si>
    <t>unit</t>
  </si>
  <si>
    <t>kilogram</t>
  </si>
  <si>
    <t>Exchanges</t>
  </si>
  <si>
    <t>name</t>
  </si>
  <si>
    <t>reference product</t>
  </si>
  <si>
    <t>amount</t>
  </si>
  <si>
    <t>database</t>
  </si>
  <si>
    <t>categories</t>
  </si>
  <si>
    <t>production</t>
  </si>
  <si>
    <t>GLO</t>
  </si>
  <si>
    <t>biosphere3</t>
  </si>
  <si>
    <t>biosphere</t>
  </si>
  <si>
    <t>Carbon dioxide, to soil or biomass stock</t>
  </si>
  <si>
    <t>soil</t>
  </si>
  <si>
    <t>biogas to chemicals</t>
  </si>
  <si>
    <t>source</t>
  </si>
  <si>
    <t>methanol</t>
  </si>
  <si>
    <t>ecoinvent</t>
  </si>
  <si>
    <t>technosphere</t>
  </si>
  <si>
    <t>Carbon dioxide, non-fossil</t>
  </si>
  <si>
    <t>air::non-urban air or from high stacks</t>
  </si>
  <si>
    <t>CH</t>
  </si>
  <si>
    <t>cubic meter</t>
  </si>
  <si>
    <t>biogas</t>
  </si>
  <si>
    <t>air</t>
  </si>
  <si>
    <t>biomethane, high pressure</t>
  </si>
  <si>
    <t>biogas upgrading to biomethane, pressure swing adsorption</t>
  </si>
  <si>
    <t>This dataset represents the upgrading of biogas to biomethane using the pressure swing adsorption (PSA) technology</t>
  </si>
  <si>
    <t>treatment of biowaste by anaerobic digestion, cut-off with biogenic carbon uptake</t>
  </si>
  <si>
    <r>
      <t>CH</t>
    </r>
    <r>
      <rPr>
        <vertAlign val="subscript"/>
        <sz val="11"/>
        <color theme="1"/>
        <rFont val="Calibri"/>
        <family val="2"/>
        <scheme val="minor"/>
      </rPr>
      <t>4</t>
    </r>
  </si>
  <si>
    <r>
      <t>CO</t>
    </r>
    <r>
      <rPr>
        <vertAlign val="subscript"/>
        <sz val="11"/>
        <color theme="1"/>
        <rFont val="Calibri"/>
        <family val="2"/>
        <scheme val="minor"/>
      </rPr>
      <t>2</t>
    </r>
  </si>
  <si>
    <t>Amount</t>
  </si>
  <si>
    <t>Units</t>
  </si>
  <si>
    <t>Biogas</t>
  </si>
  <si>
    <r>
      <t>CO</t>
    </r>
    <r>
      <rPr>
        <vertAlign val="subscript"/>
        <sz val="11"/>
        <color theme="1"/>
        <rFont val="Calibri"/>
        <family val="2"/>
        <scheme val="minor"/>
      </rPr>
      <t>2</t>
    </r>
    <r>
      <rPr>
        <sz val="11"/>
        <color theme="1"/>
        <rFont val="Calibri"/>
        <family val="2"/>
        <scheme val="minor"/>
      </rPr>
      <t xml:space="preserve"> uptake</t>
    </r>
  </si>
  <si>
    <r>
      <t>Density gas (kg/Nm</t>
    </r>
    <r>
      <rPr>
        <b/>
        <vertAlign val="superscript"/>
        <sz val="11"/>
        <color theme="1"/>
        <rFont val="Calibri"/>
        <family val="2"/>
        <scheme val="minor"/>
      </rPr>
      <t>3</t>
    </r>
    <r>
      <rPr>
        <b/>
        <sz val="11"/>
        <color theme="1"/>
        <rFont val="Calibri"/>
        <family val="2"/>
        <scheme val="minor"/>
      </rPr>
      <t>)</t>
    </r>
  </si>
  <si>
    <t xml:space="preserve">https://www.engineeringtoolbox.com/gas-density-d_158.html  </t>
  </si>
  <si>
    <t>-</t>
  </si>
  <si>
    <t>Mass (kg)</t>
  </si>
  <si>
    <t>Biomethane purity</t>
  </si>
  <si>
    <r>
      <t>Nm</t>
    </r>
    <r>
      <rPr>
        <vertAlign val="superscript"/>
        <sz val="11"/>
        <color theme="1"/>
        <rFont val="Calibri"/>
        <family val="2"/>
        <scheme val="minor"/>
      </rPr>
      <t>3</t>
    </r>
    <r>
      <rPr>
        <sz val="11"/>
        <color theme="1"/>
        <rFont val="Calibri"/>
        <family val="2"/>
        <scheme val="minor"/>
      </rPr>
      <t>/Nm</t>
    </r>
    <r>
      <rPr>
        <vertAlign val="superscript"/>
        <sz val="11"/>
        <color theme="1"/>
        <rFont val="Calibri"/>
        <family val="2"/>
        <scheme val="minor"/>
      </rPr>
      <t>3</t>
    </r>
    <r>
      <rPr>
        <sz val="11"/>
        <color theme="1"/>
        <rFont val="Calibri"/>
        <family val="2"/>
        <scheme val="minor"/>
      </rPr>
      <t xml:space="preserve"> biomethane</t>
    </r>
  </si>
  <si>
    <t>Upgrading leakage</t>
  </si>
  <si>
    <r>
      <t>% CH</t>
    </r>
    <r>
      <rPr>
        <vertAlign val="subscript"/>
        <sz val="11"/>
        <color theme="1"/>
        <rFont val="Calibri"/>
        <family val="2"/>
        <scheme val="minor"/>
      </rPr>
      <t>4</t>
    </r>
  </si>
  <si>
    <t>Biomethane upgrading balance</t>
  </si>
  <si>
    <r>
      <t>% CH</t>
    </r>
    <r>
      <rPr>
        <vertAlign val="subscript"/>
        <sz val="11"/>
        <color theme="1"/>
        <rFont val="Calibri"/>
        <family val="2"/>
        <scheme val="minor"/>
      </rPr>
      <t>4</t>
    </r>
    <r>
      <rPr>
        <sz val="11"/>
        <color theme="1"/>
        <rFont val="Calibri"/>
        <family val="2"/>
        <scheme val="minor"/>
      </rPr>
      <t xml:space="preserve"> (v/v)</t>
    </r>
  </si>
  <si>
    <t>Biogas input</t>
  </si>
  <si>
    <r>
      <t>Leakage of CH</t>
    </r>
    <r>
      <rPr>
        <vertAlign val="subscript"/>
        <sz val="11"/>
        <color theme="1"/>
        <rFont val="Calibri"/>
        <family val="2"/>
        <scheme val="minor"/>
      </rPr>
      <t>4</t>
    </r>
  </si>
  <si>
    <r>
      <t>kg CH</t>
    </r>
    <r>
      <rPr>
        <vertAlign val="subscript"/>
        <sz val="11"/>
        <color theme="1"/>
        <rFont val="Calibri"/>
        <family val="2"/>
        <scheme val="minor"/>
      </rPr>
      <t>4</t>
    </r>
    <r>
      <rPr>
        <sz val="11"/>
        <color theme="1"/>
        <rFont val="Calibri"/>
        <family val="2"/>
        <scheme val="minor"/>
      </rPr>
      <t>/m3 biomethane</t>
    </r>
  </si>
  <si>
    <t>Methane, non-fossil</t>
  </si>
  <si>
    <t>RER</t>
  </si>
  <si>
    <r>
      <t>Emissions of CO</t>
    </r>
    <r>
      <rPr>
        <vertAlign val="subscript"/>
        <sz val="11"/>
        <color theme="1"/>
        <rFont val="Calibri"/>
        <family val="2"/>
        <scheme val="minor"/>
      </rPr>
      <t>2</t>
    </r>
  </si>
  <si>
    <r>
      <t xml:space="preserve">assume 2% methane leakage; see </t>
    </r>
    <r>
      <rPr>
        <i/>
        <sz val="11"/>
        <rFont val="Calibri"/>
        <family val="2"/>
        <scheme val="minor"/>
      </rPr>
      <t>Carbon balance</t>
    </r>
  </si>
  <si>
    <t>assume biogas composition 60% CH4 and 40% CO2</t>
  </si>
  <si>
    <r>
      <t xml:space="preserve">assume 2% of CO2 in biogas remains in biomethane and the rest is removed and released to the atmosphere (no CCS); see </t>
    </r>
    <r>
      <rPr>
        <i/>
        <sz val="11"/>
        <rFont val="Calibri"/>
        <family val="2"/>
        <scheme val="minor"/>
      </rPr>
      <t>Carbon balance</t>
    </r>
  </si>
  <si>
    <r>
      <t>kg CO</t>
    </r>
    <r>
      <rPr>
        <vertAlign val="subscript"/>
        <sz val="11"/>
        <color theme="1"/>
        <rFont val="Calibri"/>
        <family val="2"/>
        <scheme val="minor"/>
      </rPr>
      <t>2</t>
    </r>
    <r>
      <rPr>
        <sz val="11"/>
        <color theme="1"/>
        <rFont val="Calibri"/>
        <family val="2"/>
        <scheme val="minor"/>
      </rPr>
      <t>/m3 biomethane</t>
    </r>
  </si>
  <si>
    <t>electricity, medium voltage</t>
  </si>
  <si>
    <t>kilowatt hour</t>
  </si>
  <si>
    <t>market group for electricity, medium voltage</t>
  </si>
  <si>
    <t>overall electricity consumption required for upgrading (including compression up to natural gas network requirements); average value (0.15-0.30 kWh/m3 biogas) based on Bauer 2013</t>
  </si>
  <si>
    <t>chemical factory construction, organics</t>
  </si>
  <si>
    <t>chemical factory, organics</t>
  </si>
  <si>
    <t>ecoinvent default data</t>
  </si>
  <si>
    <t>lubricating oil</t>
  </si>
  <si>
    <t>market for lubricating oil</t>
  </si>
  <si>
    <t>potassium hydroxide</t>
  </si>
  <si>
    <t>market for potassium hydroxide</t>
  </si>
  <si>
    <t>Nitrogen</t>
  </si>
  <si>
    <t>megajoule</t>
  </si>
  <si>
    <t>Heat, waste</t>
  </si>
  <si>
    <t>Sulfur dioxide</t>
  </si>
  <si>
    <t>Hydrogen sulfide</t>
  </si>
  <si>
    <t>CO2 storage/at wood burning power plant 20 MW, truck 25km, post, pipeline 200km, storage 1000m</t>
  </si>
  <si>
    <t>WEU</t>
  </si>
  <si>
    <r>
      <t>CCS of CO</t>
    </r>
    <r>
      <rPr>
        <vertAlign val="subscript"/>
        <sz val="11"/>
        <color theme="1"/>
        <rFont val="Calibri"/>
        <family val="2"/>
        <scheme val="minor"/>
      </rPr>
      <t>2</t>
    </r>
  </si>
  <si>
    <r>
      <t>Emissions of CO</t>
    </r>
    <r>
      <rPr>
        <vertAlign val="subscript"/>
        <sz val="11"/>
        <color theme="1"/>
        <rFont val="Calibri"/>
        <family val="2"/>
        <scheme val="minor"/>
      </rPr>
      <t>2</t>
    </r>
    <r>
      <rPr>
        <sz val="11"/>
        <color theme="1"/>
        <rFont val="Calibri"/>
        <family val="2"/>
        <scheme val="minor"/>
      </rPr>
      <t xml:space="preserve"> post CCS</t>
    </r>
  </si>
  <si>
    <r>
      <t xml:space="preserve">assume 2% of CO2 in biogas remains in biomethane and 2% is emitted to the atmosphere as leakage; the remaining is captured and stored; see </t>
    </r>
    <r>
      <rPr>
        <i/>
        <sz val="11"/>
        <rFont val="Calibri"/>
        <family val="2"/>
        <scheme val="minor"/>
      </rPr>
      <t>Carbon balance</t>
    </r>
  </si>
  <si>
    <t>heat, central or small-scale, biomethane</t>
  </si>
  <si>
    <t>RoW</t>
  </si>
  <si>
    <t>gas boiler</t>
  </si>
  <si>
    <t>market for gas boiler</t>
  </si>
  <si>
    <t>electricity, low voltage</t>
  </si>
  <si>
    <t>market group for electricity, low voltage</t>
  </si>
  <si>
    <t>Heat production from biomethane combustion</t>
  </si>
  <si>
    <r>
      <t>LHV (MJ/m</t>
    </r>
    <r>
      <rPr>
        <b/>
        <vertAlign val="superscript"/>
        <sz val="11"/>
        <color theme="1"/>
        <rFont val="Calibri"/>
        <family val="2"/>
        <scheme val="minor"/>
      </rPr>
      <t>3</t>
    </r>
    <r>
      <rPr>
        <b/>
        <sz val="11"/>
        <color theme="1"/>
        <rFont val="Calibri"/>
        <family val="2"/>
        <scheme val="minor"/>
      </rPr>
      <t>)</t>
    </r>
  </si>
  <si>
    <t>density at 0ºC and 1 atm</t>
  </si>
  <si>
    <t>LHV (MJ/kg)</t>
  </si>
  <si>
    <t>Boiler efficiency</t>
  </si>
  <si>
    <r>
      <t>MJ</t>
    </r>
    <r>
      <rPr>
        <vertAlign val="subscript"/>
        <sz val="11"/>
        <color theme="1"/>
        <rFont val="Calibri"/>
        <family val="2"/>
        <scheme val="minor"/>
      </rPr>
      <t>heat</t>
    </r>
    <r>
      <rPr>
        <sz val="11"/>
        <color theme="1"/>
        <rFont val="Calibri"/>
        <family val="2"/>
        <scheme val="minor"/>
      </rPr>
      <t>/MJ</t>
    </r>
    <r>
      <rPr>
        <vertAlign val="subscript"/>
        <sz val="11"/>
        <color theme="1"/>
        <rFont val="Calibri"/>
        <family val="2"/>
        <scheme val="minor"/>
      </rPr>
      <t>fuel</t>
    </r>
  </si>
  <si>
    <t>Heat production</t>
  </si>
  <si>
    <r>
      <t>MJ</t>
    </r>
    <r>
      <rPr>
        <vertAlign val="subscript"/>
        <sz val="11"/>
        <color theme="1"/>
        <rFont val="Calibri"/>
        <family val="2"/>
        <scheme val="minor"/>
      </rPr>
      <t>heat</t>
    </r>
    <r>
      <rPr>
        <sz val="11"/>
        <color theme="1"/>
        <rFont val="Calibri"/>
        <family val="2"/>
        <scheme val="minor"/>
      </rPr>
      <t>/Nm</t>
    </r>
    <r>
      <rPr>
        <vertAlign val="superscript"/>
        <sz val="11"/>
        <color theme="1"/>
        <rFont val="Calibri"/>
        <family val="2"/>
        <scheme val="minor"/>
      </rPr>
      <t>3</t>
    </r>
    <r>
      <rPr>
        <sz val="11"/>
        <color theme="1"/>
        <rFont val="Calibri"/>
        <family val="2"/>
        <scheme val="minor"/>
      </rPr>
      <t xml:space="preserve"> biomethane</t>
    </r>
  </si>
  <si>
    <t>Nitrate</t>
  </si>
  <si>
    <t>Benzo(a)pyrene</t>
  </si>
  <si>
    <t>Nitrite</t>
  </si>
  <si>
    <t>Benzene</t>
  </si>
  <si>
    <t>Sulfate</t>
  </si>
  <si>
    <t>Propionic acid</t>
  </si>
  <si>
    <t>Toluene</t>
  </si>
  <si>
    <t>Carbon monoxide, non-fossil</t>
  </si>
  <si>
    <t>Particulates, &lt; 2.5 um</t>
  </si>
  <si>
    <t>Sulfite</t>
  </si>
  <si>
    <t>Dinitrogen monoxide</t>
  </si>
  <si>
    <t>Formaldehyde</t>
  </si>
  <si>
    <t>Mercury</t>
  </si>
  <si>
    <t>Nitrogen oxides</t>
  </si>
  <si>
    <t>Dioxins, measured as 2,3,7,8-tetrachlorodibenzo-p-dioxin</t>
  </si>
  <si>
    <t>Acetic acid</t>
  </si>
  <si>
    <t>Pentane</t>
  </si>
  <si>
    <t>PAH, polycyclic aromatic hydrocarbons</t>
  </si>
  <si>
    <t>Acetaldehyde</t>
  </si>
  <si>
    <t>Propane</t>
  </si>
  <si>
    <t>Butane</t>
  </si>
  <si>
    <t>water::surface water</t>
  </si>
  <si>
    <t>Biomethane requirement</t>
  </si>
  <si>
    <r>
      <t>Nm</t>
    </r>
    <r>
      <rPr>
        <vertAlign val="superscript"/>
        <sz val="11"/>
        <color theme="1"/>
        <rFont val="Calibri"/>
        <family val="2"/>
        <scheme val="minor"/>
      </rPr>
      <t>3</t>
    </r>
    <r>
      <rPr>
        <sz val="11"/>
        <color theme="1"/>
        <rFont val="Calibri"/>
        <family val="2"/>
        <scheme val="minor"/>
      </rPr>
      <t xml:space="preserve"> biomethane/MJ</t>
    </r>
    <r>
      <rPr>
        <vertAlign val="subscript"/>
        <sz val="11"/>
        <color theme="1"/>
        <rFont val="Calibri"/>
        <family val="2"/>
        <scheme val="minor"/>
      </rPr>
      <t>heat</t>
    </r>
  </si>
  <si>
    <r>
      <t>kg CH</t>
    </r>
    <r>
      <rPr>
        <vertAlign val="subscript"/>
        <sz val="11"/>
        <color theme="1"/>
        <rFont val="Calibri"/>
        <family val="2"/>
        <scheme val="minor"/>
      </rPr>
      <t>4</t>
    </r>
    <r>
      <rPr>
        <sz val="11"/>
        <color theme="1"/>
        <rFont val="Calibri"/>
        <family val="2"/>
        <scheme val="minor"/>
      </rPr>
      <t>/MJ</t>
    </r>
    <r>
      <rPr>
        <vertAlign val="subscript"/>
        <sz val="11"/>
        <color theme="1"/>
        <rFont val="Calibri"/>
        <family val="2"/>
        <scheme val="minor"/>
      </rPr>
      <t>heat</t>
    </r>
  </si>
  <si>
    <r>
      <t>kg CO</t>
    </r>
    <r>
      <rPr>
        <vertAlign val="subscript"/>
        <sz val="11"/>
        <color theme="1"/>
        <rFont val="Calibri"/>
        <family val="2"/>
        <scheme val="minor"/>
      </rPr>
      <t>2</t>
    </r>
    <r>
      <rPr>
        <sz val="11"/>
        <color theme="1"/>
        <rFont val="Calibri"/>
        <family val="2"/>
        <scheme val="minor"/>
      </rPr>
      <t>/MJ</t>
    </r>
    <r>
      <rPr>
        <vertAlign val="subscript"/>
        <sz val="11"/>
        <color theme="1"/>
        <rFont val="Calibri"/>
        <family val="2"/>
        <scheme val="minor"/>
      </rPr>
      <t>heat</t>
    </r>
  </si>
  <si>
    <t>calculated based on the CO2 content of the biomethane plus the CH4 content that is oxidized to CO2</t>
  </si>
  <si>
    <t>sum of CO2 content of the biomethane plus the CH4 content oxidized to CO2</t>
  </si>
  <si>
    <t>Europe without Switzerland</t>
  </si>
  <si>
    <t>zinc</t>
  </si>
  <si>
    <t>market for zinc</t>
  </si>
  <si>
    <t>molybdenum</t>
  </si>
  <si>
    <t>market for molybdenum</t>
  </si>
  <si>
    <t>copper oxide</t>
  </si>
  <si>
    <t>market for copper oxide</t>
  </si>
  <si>
    <t>methanol factory</t>
  </si>
  <si>
    <t>market for methanol factory</t>
  </si>
  <si>
    <t>nickel, class 1</t>
  </si>
  <si>
    <t>market for nickel, class 1</t>
  </si>
  <si>
    <t>water, deionised</t>
  </si>
  <si>
    <t>market for water, deionised</t>
  </si>
  <si>
    <t>aluminium oxide, non-metallurgical</t>
  </si>
  <si>
    <t>market for aluminium oxide, non-metallurgical</t>
  </si>
  <si>
    <t>IAI Area, EU27 &amp; EFTA</t>
  </si>
  <si>
    <t>LHV of biomethane</t>
  </si>
  <si>
    <r>
      <t>MJ/Nm</t>
    </r>
    <r>
      <rPr>
        <vertAlign val="superscript"/>
        <sz val="11"/>
        <color theme="1"/>
        <rFont val="Calibri"/>
        <family val="2"/>
        <scheme val="minor"/>
      </rPr>
      <t>3</t>
    </r>
    <r>
      <rPr>
        <sz val="11"/>
        <color theme="1"/>
        <rFont val="Calibri"/>
        <family val="2"/>
        <scheme val="minor"/>
      </rPr>
      <t xml:space="preserve"> biomethane</t>
    </r>
  </si>
  <si>
    <t>MJ/kg biomethane</t>
  </si>
  <si>
    <t>Density biomethane</t>
  </si>
  <si>
    <r>
      <t>kg/Nm</t>
    </r>
    <r>
      <rPr>
        <vertAlign val="superscript"/>
        <sz val="11"/>
        <color theme="1"/>
        <rFont val="Calibri"/>
        <family val="2"/>
        <scheme val="minor"/>
      </rPr>
      <t>3</t>
    </r>
    <r>
      <rPr>
        <sz val="11"/>
        <color theme="1"/>
        <rFont val="Calibri"/>
        <family val="2"/>
        <scheme val="minor"/>
      </rPr>
      <t xml:space="preserve"> biomethane</t>
    </r>
  </si>
  <si>
    <t>Water, cooling, unspecified natural origin</t>
  </si>
  <si>
    <t>Chloride</t>
  </si>
  <si>
    <t>water</t>
  </si>
  <si>
    <t>Water</t>
  </si>
  <si>
    <t>BOD5, Biological Oxygen Demand</t>
  </si>
  <si>
    <t>Methanol</t>
  </si>
  <si>
    <t>TOC, Total Organic Carbon</t>
  </si>
  <si>
    <t>AOX, Adsorbable Organic Halogen as Cl</t>
  </si>
  <si>
    <t>Suspended solids, unspecified</t>
  </si>
  <si>
    <t>DOC, Dissolved Organic Carbon</t>
  </si>
  <si>
    <t>Phosphorus</t>
  </si>
  <si>
    <t>COD, Chemical Oxygen Demand</t>
  </si>
  <si>
    <t>Phenol</t>
  </si>
  <si>
    <t>natural resource::in water</t>
  </si>
  <si>
    <r>
      <t>kg C/m</t>
    </r>
    <r>
      <rPr>
        <vertAlign val="superscript"/>
        <sz val="11"/>
        <color theme="1"/>
        <rFont val="Calibri"/>
        <family val="2"/>
        <scheme val="minor"/>
      </rPr>
      <t>3</t>
    </r>
    <r>
      <rPr>
        <sz val="11"/>
        <color theme="1"/>
        <rFont val="Calibri"/>
        <family val="2"/>
        <scheme val="minor"/>
      </rPr>
      <t xml:space="preserve"> biogas</t>
    </r>
  </si>
  <si>
    <r>
      <t>kg CO</t>
    </r>
    <r>
      <rPr>
        <vertAlign val="subscript"/>
        <sz val="11"/>
        <color theme="1"/>
        <rFont val="Calibri"/>
        <family val="2"/>
        <scheme val="minor"/>
      </rPr>
      <t>2</t>
    </r>
    <r>
      <rPr>
        <sz val="11"/>
        <color theme="1"/>
        <rFont val="Calibri"/>
        <family val="2"/>
        <scheme val="minor"/>
      </rPr>
      <t>/m</t>
    </r>
    <r>
      <rPr>
        <vertAlign val="superscript"/>
        <sz val="11"/>
        <color theme="1"/>
        <rFont val="Calibri"/>
        <family val="2"/>
        <scheme val="minor"/>
      </rPr>
      <t>3</t>
    </r>
    <r>
      <rPr>
        <sz val="11"/>
        <color theme="1"/>
        <rFont val="Calibri"/>
        <family val="2"/>
        <scheme val="minor"/>
      </rPr>
      <t xml:space="preserve"> biogas</t>
    </r>
  </si>
  <si>
    <t>Carbon content biogas</t>
  </si>
  <si>
    <t>market for heat, from steam, in chemical industry</t>
  </si>
  <si>
    <t>heat, from steam, in chemical industry</t>
  </si>
  <si>
    <t>ethylene</t>
  </si>
  <si>
    <t>ethylene production, methanol-to-olefins</t>
  </si>
  <si>
    <t>propylene production, methanol-to-olefins</t>
  </si>
  <si>
    <t>propylene</t>
  </si>
  <si>
    <t>benzene production, methanol-to-aromatics</t>
  </si>
  <si>
    <t>benzene</t>
  </si>
  <si>
    <t>toluene production, methanol-to-aromatics</t>
  </si>
  <si>
    <t>toluene</t>
  </si>
  <si>
    <t>xylenes production, methanol-to-aromatics</t>
  </si>
  <si>
    <t>xylenes</t>
  </si>
  <si>
    <t>skip</t>
  </si>
  <si>
    <t>steam production, as energy carrier, in chemical industry</t>
  </si>
  <si>
    <t>methanol production facility, construction</t>
  </si>
  <si>
    <t>premise default data</t>
  </si>
  <si>
    <t>tap water</t>
  </si>
  <si>
    <t>market for tap water</t>
  </si>
  <si>
    <t>zinc oxide</t>
  </si>
  <si>
    <t>market for zinc oxide</t>
  </si>
  <si>
    <t>aluminium oxide, metallurgical</t>
  </si>
  <si>
    <t>market for aluminium oxide, metallurgical</t>
  </si>
  <si>
    <t>carbon dioxide, captured from the atmosphere</t>
  </si>
  <si>
    <t>carbon dioxide, captured from atmosphere, with heat pump heat, and grid electricity</t>
  </si>
  <si>
    <t>wastewater, average</t>
  </si>
  <si>
    <t>treatment of wastewater, average, capacity 1E9l/year</t>
  </si>
  <si>
    <t>premise default data for distillation</t>
  </si>
  <si>
    <t>premise default data for synthesis</t>
  </si>
  <si>
    <t>premise default data for distillation + synthesis</t>
  </si>
  <si>
    <t>This dataset represents the production of hydrogen from electrolysis with wind electricity</t>
  </si>
  <si>
    <t>hydrogen, gaseous, 25 bar</t>
  </si>
  <si>
    <t>electrolyzer, PEM, Balance of Plant</t>
  </si>
  <si>
    <t>electrolyzer, PEM, Stack</t>
  </si>
  <si>
    <t>electricity production, wind, 1-3MW turbine, onshore</t>
  </si>
  <si>
    <t>electricity, high voltage</t>
  </si>
  <si>
    <r>
      <t xml:space="preserve">see </t>
    </r>
    <r>
      <rPr>
        <i/>
        <sz val="11"/>
        <rFont val="Calibri"/>
        <family val="2"/>
        <scheme val="minor"/>
      </rPr>
      <t>Carbon balance</t>
    </r>
  </si>
  <si>
    <t>overall electricity consumption required for PSA upgrading (including compression up to natural gas network requirements); average value (0.15-0.30 kWh/m3 biogas) based on Bauer 2013</t>
  </si>
  <si>
    <t>methanol production</t>
  </si>
  <si>
    <t>natural gas, high pressure</t>
  </si>
  <si>
    <t>market group for natural gas, high pressure</t>
  </si>
  <si>
    <t>heat, district or industrial, natural gas</t>
  </si>
  <si>
    <t>World</t>
  </si>
  <si>
    <t>Methane, fossil</t>
  </si>
  <si>
    <t>This dataset represents the production of heat from natural gas at industrial furnace coupled with CCS</t>
  </si>
  <si>
    <t>industrial furnace, natural gas</t>
  </si>
  <si>
    <t>market for industrial furnace, natural gas</t>
  </si>
  <si>
    <t>ecoinvent default data; sum of all suppliers</t>
  </si>
  <si>
    <t>Carbon monoxide, fossil</t>
  </si>
  <si>
    <t>Carbon dioxide, fossil</t>
  </si>
  <si>
    <t>air::urban air close to ground</t>
  </si>
  <si>
    <t>CO2 storage/natural gas, post, 200km pipeline, storage 1000m</t>
  </si>
  <si>
    <r>
      <rPr>
        <i/>
        <sz val="11"/>
        <rFont val="Calibri"/>
        <family val="2"/>
        <scheme val="minor"/>
      </rPr>
      <t>premise</t>
    </r>
    <r>
      <rPr>
        <sz val="11"/>
        <rFont val="Calibri"/>
        <family val="2"/>
        <scheme val="minor"/>
      </rPr>
      <t xml:space="preserve"> dataset; assume 2% of CO2 in biogas remains in biomethane and 2% is emitted to the atmosphere as leakage; the remaining is captured and stored; see </t>
    </r>
    <r>
      <rPr>
        <i/>
        <sz val="11"/>
        <rFont val="Calibri"/>
        <family val="2"/>
        <scheme val="minor"/>
      </rPr>
      <t>Carbon balance</t>
    </r>
  </si>
  <si>
    <t>ecoinvent default data; modified to include 90% capture rate</t>
  </si>
  <si>
    <t>Based on the equivalent dataset from ecoinvent v3.8. Emissions of CO2 were adjusted assuming 90% capture rate</t>
  </si>
  <si>
    <t>heat production, biomethane, at boiler condensing modulating &lt;100kW</t>
  </si>
  <si>
    <t>w/ CCS, biomethane from PSA w/ CCS</t>
  </si>
  <si>
    <t>w/ CCS, biomethane from PSA</t>
  </si>
  <si>
    <t>biogas upgrading to biomethane, pressure swing adsorption w/ CCS</t>
  </si>
  <si>
    <t>methanol production, electrolytic H2 w/ wind, CO2 from DAC</t>
  </si>
  <si>
    <t>This dataset represents the production of methanol from electrolytic hydrogen and CO2 captured from the atmosphere</t>
  </si>
  <si>
    <t>hydrogen production, gaseous, 25 bar, from electrolysis w/ wind</t>
  </si>
  <si>
    <r>
      <t xml:space="preserve">amount of CO2 removed from the atmosphere per cubic meter of biogas during biomass growth; see </t>
    </r>
    <r>
      <rPr>
        <i/>
        <sz val="11"/>
        <rFont val="Calibri"/>
        <family val="2"/>
        <scheme val="minor"/>
      </rPr>
      <t>Carbon balance</t>
    </r>
  </si>
  <si>
    <t>This dataset represents the production of biogas by anaerobic digestion of biowaste. Biogas is a by-product of the main activity (biowaste treatment) and comes free of burdens. Dataset was adapted to include the CO2 removed from the atmosphere during biomass growth. This ensures the carbon neutrality of biogas supply chains. Only the carbon removed from the atmosphere and transferred into the biogas was considered</t>
  </si>
  <si>
    <t>Based on the equivalent dataset from ecoinvent v3.8. Electricity consumption was updated and the input volume of biogas and emissions of CH4 and CO2 were recalculated based on the carbon balance</t>
  </si>
  <si>
    <t>98% purity (98% CH4 and 2% CO2 v/v)</t>
  </si>
  <si>
    <t>Based on the equivalent dataset from ecoinvent v3.8. Electricity consumption was updated and the input volume of biogas and emissions of CH4 and CO2 were recalculated based on the carbon balance. The CO2 storage dataset available in premise was used</t>
  </si>
  <si>
    <t>premise datasets for methanol synthesis and distillation</t>
  </si>
  <si>
    <t>premise dataset for hydrogen production by electrolysis</t>
  </si>
  <si>
    <t>heat production, natural gas, at boiler condensing modulating &gt;100kW w/ CCS</t>
  </si>
  <si>
    <t>Oxidation efficiency</t>
  </si>
  <si>
    <r>
      <t>Emissions of CH</t>
    </r>
    <r>
      <rPr>
        <vertAlign val="subscript"/>
        <sz val="11"/>
        <color theme="1"/>
        <rFont val="Calibri"/>
        <family val="2"/>
        <scheme val="minor"/>
      </rPr>
      <t>4</t>
    </r>
  </si>
  <si>
    <t>calculated based on the CH4 content of the biomethane and assuming 99.99% oxidation efficiency of boiler</t>
  </si>
  <si>
    <t>w/ CCS, natural gas</t>
  </si>
  <si>
    <t>BAU, biomethane from PSA</t>
  </si>
  <si>
    <t>BAU, biomethane from PSA w/ CCS</t>
  </si>
  <si>
    <t>heat production, biomethane, at boiler condensing modulating &lt;100kW BAU, biomethane from PSA</t>
  </si>
  <si>
    <t>heat production, biomethane, at boiler condensing modulating &lt;100kW w/ CCS, biomethane from PSA</t>
  </si>
  <si>
    <t>heat production, biomethane, at boiler condensing modulating &lt;100kW BAU, biomethane from PSA w/ CCS</t>
  </si>
  <si>
    <t>heat production, biomethane, at boiler condensing modulating &lt;100kW w/ CCS, biomethane from PSA w/ CCS</t>
  </si>
  <si>
    <t>carbon dioxide capture and storage</t>
  </si>
  <si>
    <t>heat pump, heat and power co-generation unit, 160kW electrical</t>
  </si>
  <si>
    <t>heat pump production, heat and power co-generation unit, 160kW electrical</t>
  </si>
  <si>
    <t>absorption chiller, 100kW</t>
  </si>
  <si>
    <t>market for absorption chiller, 100kW</t>
  </si>
  <si>
    <t>gas turbine, 10MW electrical</t>
  </si>
  <si>
    <t>market for gas turbine, 10MW electrical</t>
  </si>
  <si>
    <t>liquid storage tank, chemicals, organics</t>
  </si>
  <si>
    <t>market for liquid storage tank, chemicals, organics</t>
  </si>
  <si>
    <t>monoethanolamine</t>
  </si>
  <si>
    <t>market for monoethanolamine</t>
  </si>
  <si>
    <t>pump, 40W</t>
  </si>
  <si>
    <t>market for pump, 40W</t>
  </si>
  <si>
    <t>sodium hydroxide, without water, in 50% solution state</t>
  </si>
  <si>
    <t>market for sodium hydroxide, without water, in 50% solution state</t>
  </si>
  <si>
    <t>spent solvent mixture</t>
  </si>
  <si>
    <t>treatment of spent solvent mixture, hazardous waste incineration</t>
  </si>
  <si>
    <t>CO2 storage/natural gas, post, 400km pipeline, storage 3000m</t>
  </si>
  <si>
    <r>
      <rPr>
        <i/>
        <sz val="11"/>
        <rFont val="Calibri"/>
        <family val="2"/>
        <scheme val="minor"/>
      </rPr>
      <t>premise</t>
    </r>
    <r>
      <rPr>
        <sz val="11"/>
        <rFont val="Calibri"/>
        <family val="2"/>
        <scheme val="minor"/>
      </rPr>
      <t xml:space="preserve"> dataset; 1 kg CO2 stored per kg of CO2 captured</t>
    </r>
  </si>
  <si>
    <r>
      <t xml:space="preserve">value used in </t>
    </r>
    <r>
      <rPr>
        <i/>
        <sz val="11"/>
        <color theme="1"/>
        <rFont val="Calibri"/>
        <family val="2"/>
        <scheme val="minor"/>
      </rPr>
      <t>premise</t>
    </r>
    <r>
      <rPr>
        <sz val="11"/>
        <color theme="1"/>
        <rFont val="Calibri"/>
        <family val="2"/>
        <scheme val="minor"/>
      </rPr>
      <t xml:space="preserve"> comes from Volkart et al. 2013</t>
    </r>
  </si>
  <si>
    <t>market for activated carbon, granular</t>
  </si>
  <si>
    <t>activated carbon, granular</t>
  </si>
  <si>
    <r>
      <t xml:space="preserve">value used in </t>
    </r>
    <r>
      <rPr>
        <i/>
        <sz val="11"/>
        <color theme="1"/>
        <rFont val="Calibri"/>
        <family val="2"/>
        <scheme val="minor"/>
      </rPr>
      <t>premise</t>
    </r>
    <r>
      <rPr>
        <sz val="11"/>
        <color theme="1"/>
        <rFont val="Calibri"/>
        <family val="2"/>
        <scheme val="minor"/>
      </rPr>
      <t xml:space="preserve"> comes from Volkart et al. 2013; original dataset uses charcoal; here activated carbon is considered</t>
    </r>
  </si>
  <si>
    <t>This dataset represents the post-combustion capture of 1 kg CO2 from natural gas boiler. The process is defined for chemical absorption usin MEA</t>
  </si>
  <si>
    <t>Based on the premise dataset 'CO2 capture/natural gas, post, 400km pipeline, storage 3000m'. Dataset uses data from Volkart et al. 2013</t>
  </si>
  <si>
    <t>Ammonia</t>
  </si>
  <si>
    <t>Monoethanolamine</t>
  </si>
  <si>
    <t>carbon dioxide capture and storage, from natural gas boiler, 400 km pipeline, storage 3000m</t>
  </si>
  <si>
    <t>assume 90% capture rate</t>
  </si>
  <si>
    <t>Prospective parameters</t>
  </si>
  <si>
    <t>process</t>
  </si>
  <si>
    <t>biogas upgrading to biomethane</t>
  </si>
  <si>
    <t>parameter</t>
  </si>
  <si>
    <t>electricity consumption</t>
  </si>
  <si>
    <t>leakage rate</t>
  </si>
  <si>
    <t>heat for steam reforming</t>
  </si>
  <si>
    <t>*calculated from the natural gas boiler dataset</t>
  </si>
  <si>
    <t>boiler efficiency?</t>
  </si>
  <si>
    <t>CO2 capture from boilers</t>
  </si>
  <si>
    <t>Capture efficiency</t>
  </si>
  <si>
    <t>% CO2</t>
  </si>
  <si>
    <t>heat for steam reforming with CCS</t>
  </si>
  <si>
    <t>CO2 capture efficiency?</t>
  </si>
  <si>
    <t>Natural gas boiler</t>
  </si>
  <si>
    <t>*ecoinvent default data</t>
  </si>
  <si>
    <t>Biomethane boiler</t>
  </si>
  <si>
    <r>
      <t>Capture of CO</t>
    </r>
    <r>
      <rPr>
        <vertAlign val="subscript"/>
        <sz val="11"/>
        <color theme="1"/>
        <rFont val="Calibri"/>
        <family val="2"/>
        <scheme val="minor"/>
      </rPr>
      <t>2</t>
    </r>
  </si>
  <si>
    <r>
      <t>Emissions of CO</t>
    </r>
    <r>
      <rPr>
        <vertAlign val="subscript"/>
        <sz val="11"/>
        <color theme="1"/>
        <rFont val="Calibri"/>
        <family val="2"/>
        <scheme val="minor"/>
      </rPr>
      <t>2</t>
    </r>
    <r>
      <rPr>
        <sz val="11"/>
        <color theme="1"/>
        <rFont val="Calibri"/>
        <family val="2"/>
        <scheme val="minor"/>
      </rPr>
      <t xml:space="preserve"> after CCS</t>
    </r>
  </si>
  <si>
    <t>carbon dioxide capture and storage, from biomethane boiler, 400 km pipeline, storage 3000m</t>
  </si>
  <si>
    <t>This dataset represents the post-combustion capture of 1 kg CO2 from biomethane boiler. The process is defined for chemical absorption usin MEA</t>
  </si>
  <si>
    <r>
      <t xml:space="preserve">assume boiler efficiency and the characteristics of the biomethane; see </t>
    </r>
    <r>
      <rPr>
        <i/>
        <sz val="11"/>
        <rFont val="Calibri"/>
        <family val="2"/>
        <scheme val="minor"/>
      </rPr>
      <t>Carbon balance</t>
    </r>
  </si>
  <si>
    <t>original dataset used electricity from the natural gas power plant where CO2 is captured; boilers need external electricity supply for CO2 capture</t>
  </si>
  <si>
    <t xml:space="preserve">This dataset represents the upgrading of biogas to biomethane using the pressure swing adsorption (PSA) technology coupled with CCS. Due to the relatively highly concentrated CO2 generated from biogas upgrading, the process requires only additional gas compression and dehydratation </t>
  </si>
  <si>
    <t>methanol production BAU, biomethane from PSA</t>
  </si>
  <si>
    <t>methanol production BAU, biomethane from PSA w/ CCS</t>
  </si>
  <si>
    <t>methanol production w/ CCS, biomethane from PSA</t>
  </si>
  <si>
    <t>methanol production w/ CCS, biomethane from PSA w/ CCS</t>
  </si>
  <si>
    <t>methanol production w/ CCS, natural gas</t>
  </si>
  <si>
    <t>MTE, methanol w/ CCS, natural gas</t>
  </si>
  <si>
    <t>MTE, methanol BAU, biomethane from PSA</t>
  </si>
  <si>
    <t>MTE, methanol w/ CCS, biomethane from PSA</t>
  </si>
  <si>
    <t>MTE, methanol w/ CCS, biomethane from PSA w/ CCS</t>
  </si>
  <si>
    <t>MTP, methanol w/ CCS, natural gas</t>
  </si>
  <si>
    <t>MTP, methanol BAU, biomethane from PSA</t>
  </si>
  <si>
    <t>MTP, methanol w/ CCS, biomethane from PSA</t>
  </si>
  <si>
    <t>MTP, methanol w/ CCS, biomethane from PSA w/ CCS</t>
  </si>
  <si>
    <t>MTB, methanol w/ CCS, natural gas</t>
  </si>
  <si>
    <t>MTB, methanol BAU, biomethane from PSA</t>
  </si>
  <si>
    <t>MTB, methanol w/ CCS, biomethane from PSA</t>
  </si>
  <si>
    <t>MTB, methanol w/ CCS, biomethane from PSA w/ CCS</t>
  </si>
  <si>
    <t>MTT, methanol w/ CCS, natural gas</t>
  </si>
  <si>
    <t>MTT, methanol BAU, biomethane from PSA</t>
  </si>
  <si>
    <t>MTT, methanol w/ CCS, biomethane from PSA</t>
  </si>
  <si>
    <t>MTT, methanol w/ CCS, biomethane from PSA w/ CCS</t>
  </si>
  <si>
    <t>MTE, methanol BAU, biomethane from PSA w/ CCS</t>
  </si>
  <si>
    <t>MTP, methanol BAU, biomethane from PSA w/ CCS</t>
  </si>
  <si>
    <t>MTB, methanol BAU, biomethane from PSA w/ CCS</t>
  </si>
  <si>
    <t>MTT, methanol BAU, biomethane from PSA w/ CCS</t>
  </si>
  <si>
    <t>MTE, methanol, H2 from wind, CO2 from DAC</t>
  </si>
  <si>
    <t>MTP, methanol, H2 from wind, CO2 from DAC</t>
  </si>
  <si>
    <t>MTB, methanol, H2 from wind, CO2 from DAC</t>
  </si>
  <si>
    <t>MTT, methanol, H2 from wind, CO2 from DAC</t>
  </si>
  <si>
    <t>MTX, methanol w/ CCS, natural gas</t>
  </si>
  <si>
    <t>MTX, methanol, H2 from wind, CO2 from DAC</t>
  </si>
  <si>
    <t>MTX, methanol BAU, biomethane from PSA</t>
  </si>
  <si>
    <t>MTX, methanol BAU, biomethane from PSA w/ CCS</t>
  </si>
  <si>
    <t>MTX, methanol w/ CCS, biomethane from PSA</t>
  </si>
  <si>
    <t>MTX, methanol w/ CCS, biomethane from PSA w/ CCS</t>
  </si>
  <si>
    <t>Natural gas</t>
  </si>
  <si>
    <t>Biogas-to-Chemicals</t>
  </si>
  <si>
    <r>
      <t xml:space="preserve">amount of CO2 removed from the atmosphere during biomass growth and transferred into the biogas; see </t>
    </r>
    <r>
      <rPr>
        <i/>
        <sz val="11"/>
        <rFont val="Calibri"/>
        <family val="2"/>
        <scheme val="minor"/>
      </rPr>
      <t>Carbon balance</t>
    </r>
  </si>
  <si>
    <t>treatment of sewage sludge by anaerobic digestion, cut-off with biogenic carbon uptake</t>
  </si>
  <si>
    <t>Animal manure</t>
  </si>
  <si>
    <t>Biowaste</t>
  </si>
  <si>
    <t>Sewage sludge</t>
  </si>
  <si>
    <t>anaerobic digestion plant, agriculture, with methane recovery</t>
  </si>
  <si>
    <t>anaerobic digestion plant construction, agriculture, with methane recovery</t>
  </si>
  <si>
    <t>market for heat, central or small-scale, other than natural gas</t>
  </si>
  <si>
    <t>heat, central or small-scale, other than natural gas</t>
  </si>
  <si>
    <t>digester sludge, Recycled Content cut-off</t>
  </si>
  <si>
    <t>digester sludge</t>
  </si>
  <si>
    <t>anaerobic digestion of animal manure, with biogenic carbon uptake</t>
  </si>
  <si>
    <t>Sequential cropping</t>
  </si>
  <si>
    <t>market for combine harvesting</t>
  </si>
  <si>
    <t>combine harvesting</t>
  </si>
  <si>
    <t>hectare</t>
  </si>
  <si>
    <t>market group for inorganic nitrogen fertiliser, as N</t>
  </si>
  <si>
    <t>anaerobic digestion of sequential crop, with biogenic carbon uptake</t>
  </si>
  <si>
    <t>This dataset represents the production of biogas and digestate by anaerobic digestion of sequential crop in Europe. Biogas is the single purpose of this process and, therefore, all the environmental burdens of waste treatment are allocated to the biogas (i.e., digestate leaves the process free of burdens). Manure was assumed to come free of burdens. The dataset was adapted to include the CO2 removed from the atmosphere during biomass growth and transferred into the biogas. This ensures the carbon neutrality of biogas supply chains from cradle to grave</t>
  </si>
  <si>
    <t>oat forage production, sequential crop</t>
  </si>
  <si>
    <t>oat forage, sequential crop</t>
  </si>
  <si>
    <t>This dataset represents the production of oat forage as sequential crop in Europe. Based on Lodato et al. (2022)</t>
  </si>
  <si>
    <t>Lodato et al. (2022): Towards sustainable methane supply from local bioresources: Anaerobic digestion, gasification, and gas upgrading. Applied Energy 323 (2022) 119568</t>
  </si>
  <si>
    <t>water::ground</t>
  </si>
  <si>
    <t>process considered for harvesting of the sequential crop. Based on Lodato et al. (2022), a sequential crop yied of 20,000 kg ww/ha was considered</t>
  </si>
  <si>
    <t>oat forage as sequential crop requires 80 kg N fertilizer/ha (Lodato et al., 2022)</t>
  </si>
  <si>
    <t>nitrate percolation of 88 kg NO3- per ha (Lodato et al., 2022)</t>
  </si>
  <si>
    <t>Crop residues</t>
  </si>
  <si>
    <t>This dataset represents the production of biogas by anaerobic digestion of biowaste (food and green waste) in Europe. Biogas is a by-product of the main activity (biowaste treatment) and comes free of burdens. The dataset was adapted to include the corresponding CO2 removed from the atmosphere during biomass growth and contained in the biogas. This ensures the carbon neutrality of the biogas supply chain from cradle to grave</t>
  </si>
  <si>
    <r>
      <t xml:space="preserve">amount of CO2 removed from the atmosphere during biomass growth and contained in the biogas; see </t>
    </r>
    <r>
      <rPr>
        <i/>
        <sz val="11"/>
        <rFont val="Calibri"/>
        <family val="2"/>
        <scheme val="minor"/>
      </rPr>
      <t>Carbon balance</t>
    </r>
  </si>
  <si>
    <t>This dataset represents the production of biogas by anaerobic digestion of sewage sludge in Europe. Biogas is a by-product of the main activity (wastewater treatment) and comes free of burdens. The dataset was adapted to include the corresponding CO2 removed from the atmosphere during biomass growth and contained in the biogas. This ensures the carbon neutrality of the biogas supply chain from cradle to grave</t>
  </si>
  <si>
    <t>This dataset represents the production of biogas and digestate by anaerobic digestion of crop residues in Europe. Biogas is the single purpose of this process and, therefore, all the environmental burdens of waste treatment are allocated to the biogas (i.e., digestate leaves the process free of burdens). Crop residues were assumed to come free of burdens (collection and transportation were included). The dataset was adapted to include the corresponding CO2 removed from the atmosphere during biomass growth and contained in the biogas. This ensures the carbon neutrality of the biogas supply chain from cradle to grave</t>
  </si>
  <si>
    <t>This dataset represents the production of biogas and digestate by anaerobic digestion of animal manure in Europe. Biogas is the single purpose of this process and, therefore, all the environmental burdens of waste treatment are allocated to the biogas (i.e., digestate leaves the process free of burdens). Manure was assumed to come free of burdens (no collection nor transportation was assumed to be needed). The dataset was adapted to include the corresponding CO2 removed from the atmosphere during biomass growth and contained in the biogas. This ensures the carbon neutrality of the biogas supply chain from cradle to grave</t>
  </si>
  <si>
    <t>anaerobic digestion of crop residues, with biogenic carbon uptake</t>
  </si>
  <si>
    <t>market group for biomethane, high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</si>
</sst>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4"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FF0000"/>
      <name val="Calibri"/>
      <family val="2"/>
      <scheme val="minor"/>
    </font>
    <font>
      <vertAlign val="superscript"/>
      <sz val="11"/>
      <color theme="1"/>
      <name val="Calibri"/>
      <family val="2"/>
      <scheme val="minor"/>
    </font>
    <font>
      <vertAlign val="subscript"/>
      <sz val="11"/>
      <color theme="1"/>
      <name val="Calibri"/>
      <family val="2"/>
      <scheme val="minor"/>
    </font>
    <font>
      <i/>
      <sz val="11"/>
      <color theme="1"/>
      <name val="Calibri"/>
      <family val="2"/>
      <scheme val="minor"/>
    </font>
    <font>
      <b/>
      <vertAlign val="superscript"/>
      <sz val="11"/>
      <color theme="1"/>
      <name val="Calibri"/>
      <family val="2"/>
      <scheme val="minor"/>
    </font>
    <font>
      <u/>
      <sz val="11"/>
      <color theme="10"/>
      <name val="Calibri"/>
      <family val="2"/>
      <scheme val="minor"/>
    </font>
    <font>
      <b/>
      <i/>
      <sz val="11"/>
      <color theme="1"/>
      <name val="Calibri"/>
      <family val="2"/>
      <scheme val="minor"/>
    </font>
    <font>
      <i/>
      <sz val="11"/>
      <name val="Calibri"/>
      <family val="2"/>
      <scheme val="minor"/>
    </font>
    <font>
      <sz val="14"/>
      <color theme="1"/>
      <name val="Calibri"/>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10" fillId="0" borderId="0" applyNumberFormat="0" applyFill="0" applyBorder="0" applyAlignment="0" applyProtection="0"/>
  </cellStyleXfs>
  <cellXfs count="68">
    <xf numFmtId="0" fontId="0" fillId="0" borderId="0" xfId="0"/>
    <xf numFmtId="0" fontId="3" fillId="0" borderId="0" xfId="1" applyFont="1"/>
    <xf numFmtId="0" fontId="3" fillId="0" borderId="0" xfId="0" applyFont="1"/>
    <xf numFmtId="0" fontId="4" fillId="0" borderId="0" xfId="1" applyFont="1"/>
    <xf numFmtId="0" fontId="4" fillId="0" borderId="0" xfId="0" applyFont="1"/>
    <xf numFmtId="11" fontId="3" fillId="0" borderId="0" xfId="0" applyNumberFormat="1" applyFont="1"/>
    <xf numFmtId="0" fontId="3" fillId="2" borderId="0" xfId="0" applyFont="1" applyFill="1"/>
    <xf numFmtId="11" fontId="3" fillId="0" borderId="0" xfId="0" applyNumberFormat="1" applyFont="1" applyAlignment="1">
      <alignment horizontal="left"/>
    </xf>
    <xf numFmtId="0" fontId="3" fillId="0" borderId="0" xfId="0" applyFont="1" applyAlignment="1">
      <alignment horizontal="left"/>
    </xf>
    <xf numFmtId="11" fontId="4" fillId="0" borderId="0" xfId="0" applyNumberFormat="1" applyFont="1" applyAlignment="1">
      <alignment horizontal="left"/>
    </xf>
    <xf numFmtId="0" fontId="2" fillId="0" borderId="0" xfId="0" applyFont="1"/>
    <xf numFmtId="0" fontId="3" fillId="2" borderId="0" xfId="0" applyFont="1" applyFill="1" applyAlignment="1">
      <alignment horizontal="left"/>
    </xf>
    <xf numFmtId="0" fontId="3" fillId="0" borderId="0" xfId="0" quotePrefix="1" applyFont="1" applyAlignment="1">
      <alignment horizontal="left"/>
    </xf>
    <xf numFmtId="0" fontId="0" fillId="0" borderId="0" xfId="0" applyAlignment="1">
      <alignment horizontal="right"/>
    </xf>
    <xf numFmtId="2" fontId="0" fillId="0" borderId="0" xfId="0" applyNumberFormat="1"/>
    <xf numFmtId="0" fontId="8" fillId="0" borderId="0" xfId="0" applyFont="1"/>
    <xf numFmtId="165" fontId="0" fillId="0" borderId="0" xfId="0" applyNumberFormat="1"/>
    <xf numFmtId="165" fontId="3" fillId="0" borderId="0" xfId="0" applyNumberFormat="1" applyFont="1" applyAlignment="1">
      <alignment horizontal="left"/>
    </xf>
    <xf numFmtId="0" fontId="0" fillId="0" borderId="0" xfId="0" applyAlignment="1">
      <alignment horizontal="right" vertical="top"/>
    </xf>
    <xf numFmtId="0" fontId="10" fillId="0" borderId="0" xfId="2" applyBorder="1" applyAlignment="1">
      <alignment horizontal="right"/>
    </xf>
    <xf numFmtId="166" fontId="0" fillId="0" borderId="0" xfId="0" applyNumberFormat="1"/>
    <xf numFmtId="0" fontId="11" fillId="0" borderId="0" xfId="0" applyFont="1"/>
    <xf numFmtId="0" fontId="2" fillId="0" borderId="0" xfId="0" applyFont="1" applyAlignment="1">
      <alignment horizontal="right"/>
    </xf>
    <xf numFmtId="0" fontId="0" fillId="0" borderId="0" xfId="0" applyAlignment="1">
      <alignment horizontal="left"/>
    </xf>
    <xf numFmtId="165" fontId="0" fillId="0" borderId="0" xfId="0" applyNumberFormat="1" applyAlignment="1">
      <alignment horizontal="right"/>
    </xf>
    <xf numFmtId="165" fontId="0" fillId="3" borderId="0" xfId="0" applyNumberFormat="1" applyFill="1"/>
    <xf numFmtId="166" fontId="0" fillId="3" borderId="0" xfId="0" applyNumberFormat="1" applyFill="1"/>
    <xf numFmtId="0" fontId="5" fillId="0" borderId="0" xfId="1" applyFont="1"/>
    <xf numFmtId="0" fontId="5" fillId="0" borderId="0" xfId="0" applyFont="1"/>
    <xf numFmtId="0" fontId="5" fillId="0" borderId="0" xfId="0" applyFont="1" applyAlignment="1">
      <alignment horizontal="left"/>
    </xf>
    <xf numFmtId="11" fontId="3" fillId="0" borderId="0" xfId="1" applyNumberFormat="1" applyFont="1" applyAlignment="1">
      <alignment horizontal="left"/>
    </xf>
    <xf numFmtId="164" fontId="0" fillId="0" borderId="0" xfId="0" applyNumberFormat="1"/>
    <xf numFmtId="165" fontId="3" fillId="0" borderId="0" xfId="1" applyNumberFormat="1" applyFont="1" applyAlignment="1">
      <alignment horizontal="left"/>
    </xf>
    <xf numFmtId="11" fontId="0" fillId="3" borderId="0" xfId="0" applyNumberFormat="1" applyFill="1"/>
    <xf numFmtId="0" fontId="2" fillId="0" borderId="0" xfId="0" applyFont="1" applyAlignment="1">
      <alignment horizontal="right" wrapText="1"/>
    </xf>
    <xf numFmtId="165" fontId="3" fillId="0" borderId="0" xfId="0" applyNumberFormat="1" applyFont="1"/>
    <xf numFmtId="0" fontId="4" fillId="4" borderId="0" xfId="1" applyFont="1" applyFill="1"/>
    <xf numFmtId="165" fontId="3" fillId="0" borderId="0" xfId="0" applyNumberFormat="1" applyFont="1" applyAlignment="1">
      <alignment horizontal="right"/>
    </xf>
    <xf numFmtId="11" fontId="3" fillId="0" borderId="0" xfId="0" applyNumberFormat="1" applyFont="1" applyAlignment="1">
      <alignment horizontal="right"/>
    </xf>
    <xf numFmtId="165" fontId="3" fillId="0" borderId="0" xfId="1" applyNumberFormat="1" applyFont="1" applyAlignment="1">
      <alignment horizontal="right"/>
    </xf>
    <xf numFmtId="0" fontId="3" fillId="4" borderId="0" xfId="0" applyFont="1" applyFill="1" applyAlignment="1">
      <alignment horizontal="left"/>
    </xf>
    <xf numFmtId="0" fontId="3" fillId="4" borderId="0" xfId="1" applyFont="1" applyFill="1"/>
    <xf numFmtId="0" fontId="3" fillId="4" borderId="0" xfId="0" applyFont="1" applyFill="1"/>
    <xf numFmtId="166" fontId="0" fillId="0" borderId="0" xfId="0" applyNumberFormat="1" applyAlignment="1">
      <alignment horizontal="right"/>
    </xf>
    <xf numFmtId="0" fontId="0" fillId="3" borderId="0" xfId="0" applyFill="1"/>
    <xf numFmtId="0" fontId="0" fillId="3" borderId="0" xfId="0" applyFill="1" applyAlignment="1">
      <alignment horizontal="left"/>
    </xf>
    <xf numFmtId="11" fontId="0" fillId="0" borderId="0" xfId="0" applyNumberFormat="1" applyAlignment="1">
      <alignment horizontal="left"/>
    </xf>
    <xf numFmtId="0" fontId="13" fillId="0" borderId="0" xfId="0" applyFont="1"/>
    <xf numFmtId="0" fontId="10" fillId="0" borderId="0" xfId="2" applyBorder="1" applyAlignment="1">
      <alignment horizontal="left"/>
    </xf>
    <xf numFmtId="0" fontId="2" fillId="0" borderId="1" xfId="0" applyFont="1" applyBorder="1" applyAlignment="1">
      <alignment horizontal="right"/>
    </xf>
    <xf numFmtId="0" fontId="0" fillId="0" borderId="1" xfId="0" applyBorder="1"/>
    <xf numFmtId="0" fontId="0" fillId="0" borderId="1" xfId="0" applyBorder="1" applyAlignment="1">
      <alignment horizontal="right"/>
    </xf>
    <xf numFmtId="165" fontId="0" fillId="0" borderId="1" xfId="0" applyNumberFormat="1" applyBorder="1" applyAlignment="1">
      <alignment horizontal="right"/>
    </xf>
    <xf numFmtId="164" fontId="0" fillId="0" borderId="1" xfId="0" applyNumberFormat="1" applyBorder="1"/>
    <xf numFmtId="165" fontId="0" fillId="0" borderId="1" xfId="0" applyNumberFormat="1" applyBorder="1"/>
    <xf numFmtId="0" fontId="2" fillId="5" borderId="1" xfId="0" applyFont="1" applyFill="1" applyBorder="1" applyAlignment="1">
      <alignment horizontal="right" vertical="top" wrapText="1"/>
    </xf>
    <xf numFmtId="0" fontId="2" fillId="5" borderId="1" xfId="0" applyFont="1" applyFill="1" applyBorder="1" applyAlignment="1">
      <alignment horizontal="right" vertical="center" wrapText="1"/>
    </xf>
    <xf numFmtId="0" fontId="11" fillId="0" borderId="1" xfId="0" applyFont="1" applyBorder="1" applyAlignment="1">
      <alignment horizontal="left"/>
    </xf>
    <xf numFmtId="0" fontId="2" fillId="0" borderId="1" xfId="0" applyFont="1" applyBorder="1" applyAlignment="1">
      <alignment horizontal="right" wrapText="1"/>
    </xf>
    <xf numFmtId="0" fontId="2" fillId="0" borderId="1" xfId="0" applyFont="1" applyBorder="1" applyAlignment="1">
      <alignment horizontal="right" vertical="center"/>
    </xf>
    <xf numFmtId="165" fontId="0" fillId="3" borderId="1" xfId="0" applyNumberFormat="1" applyFill="1" applyBorder="1" applyAlignment="1">
      <alignment horizontal="right"/>
    </xf>
    <xf numFmtId="0" fontId="10" fillId="0" borderId="0" xfId="2" applyFill="1" applyBorder="1" applyAlignment="1">
      <alignment horizontal="right"/>
    </xf>
    <xf numFmtId="2" fontId="3" fillId="0" borderId="0" xfId="0" applyNumberFormat="1" applyFont="1" applyAlignment="1">
      <alignment horizontal="left"/>
    </xf>
    <xf numFmtId="165" fontId="3" fillId="6" borderId="0" xfId="0" applyNumberFormat="1" applyFont="1" applyFill="1" applyAlignment="1">
      <alignment horizontal="left"/>
    </xf>
    <xf numFmtId="0" fontId="3" fillId="6" borderId="0" xfId="0" applyFont="1" applyFill="1"/>
    <xf numFmtId="0" fontId="2" fillId="0" borderId="1" xfId="0"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cellXfs>
  <cellStyles count="3">
    <cellStyle name="Hyperlink" xfId="2" builtinId="8"/>
    <cellStyle name="Normal" xfId="0" builtinId="0"/>
    <cellStyle name="Normal 11" xfId="1" xr:uid="{9CDD6B48-F1B9-40D2-8A61-7BBFEF837C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engineeringtoolbox.com/gas-density-d_158.html" TargetMode="External"/><Relationship Id="rId2" Type="http://schemas.openxmlformats.org/officeDocument/2006/relationships/hyperlink" Target="https://www.engineeringtoolbox.com/gas-density-d_158.html" TargetMode="External"/><Relationship Id="rId1" Type="http://schemas.openxmlformats.org/officeDocument/2006/relationships/hyperlink" Target="https://www.engineeringtoolbox.com/gas-density-d_158.html" TargetMode="External"/><Relationship Id="rId4"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0A59A-4D03-4E75-AE6F-516BEA6805EA}">
  <dimension ref="A1:K85"/>
  <sheetViews>
    <sheetView tabSelected="1" zoomScale="120" zoomScaleNormal="120" workbookViewId="0">
      <selection activeCell="B7" sqref="B7"/>
    </sheetView>
  </sheetViews>
  <sheetFormatPr defaultRowHeight="15" x14ac:dyDescent="0.25"/>
  <cols>
    <col min="1" max="1" width="73.28515625" customWidth="1"/>
    <col min="2" max="2" width="35.140625" customWidth="1"/>
    <col min="3" max="3" width="10.28515625" bestFit="1" customWidth="1"/>
    <col min="4" max="4" width="12.42578125" bestFit="1" customWidth="1"/>
    <col min="5" max="5" width="22" bestFit="1" customWidth="1"/>
    <col min="6" max="6" width="13.85546875" bestFit="1" customWidth="1"/>
    <col min="7" max="7" width="11" bestFit="1" customWidth="1"/>
    <col min="8" max="8" width="14.5703125" bestFit="1" customWidth="1"/>
  </cols>
  <sheetData>
    <row r="1" spans="1:11" s="42" customFormat="1" x14ac:dyDescent="0.25">
      <c r="A1" s="36" t="s">
        <v>0</v>
      </c>
      <c r="B1" s="36" t="s">
        <v>330</v>
      </c>
      <c r="C1" s="40"/>
      <c r="D1" s="41"/>
      <c r="E1" s="41"/>
      <c r="F1" s="41"/>
      <c r="G1" s="41"/>
      <c r="H1" s="41"/>
      <c r="I1" s="41"/>
      <c r="J1" s="41"/>
      <c r="K1" s="41"/>
    </row>
    <row r="2" spans="1:11" s="6" customFormat="1" x14ac:dyDescent="0.25">
      <c r="C2" s="11"/>
    </row>
    <row r="3" spans="1:11" s="2" customFormat="1" x14ac:dyDescent="0.25">
      <c r="A3" s="4" t="s">
        <v>1</v>
      </c>
      <c r="B3" s="4" t="s">
        <v>34</v>
      </c>
      <c r="C3" s="7"/>
    </row>
    <row r="4" spans="1:11" s="2" customFormat="1" x14ac:dyDescent="0.25">
      <c r="A4" s="4" t="s">
        <v>2</v>
      </c>
      <c r="B4" s="2" t="s">
        <v>359</v>
      </c>
      <c r="C4" s="7"/>
    </row>
    <row r="5" spans="1:11" s="2" customFormat="1" x14ac:dyDescent="0.25">
      <c r="A5" s="4" t="s">
        <v>3</v>
      </c>
      <c r="B5" s="2" t="s">
        <v>55</v>
      </c>
      <c r="C5" s="7"/>
    </row>
    <row r="6" spans="1:11" s="2" customFormat="1" x14ac:dyDescent="0.25">
      <c r="A6" s="10" t="s">
        <v>10</v>
      </c>
      <c r="B6" s="2" t="s">
        <v>29</v>
      </c>
      <c r="C6" s="7"/>
    </row>
    <row r="7" spans="1:11" s="2" customFormat="1" x14ac:dyDescent="0.25">
      <c r="A7" s="4" t="s">
        <v>4</v>
      </c>
      <c r="B7" s="8">
        <v>1</v>
      </c>
      <c r="C7" s="7"/>
      <c r="D7" s="5"/>
    </row>
    <row r="8" spans="1:11" s="2" customFormat="1" x14ac:dyDescent="0.25">
      <c r="A8" s="4" t="s">
        <v>6</v>
      </c>
      <c r="B8" s="2" t="s">
        <v>28</v>
      </c>
      <c r="C8" s="7"/>
      <c r="D8" s="5"/>
    </row>
    <row r="9" spans="1:11" s="2" customFormat="1" x14ac:dyDescent="0.25">
      <c r="A9" s="4" t="s">
        <v>21</v>
      </c>
      <c r="C9" s="7"/>
      <c r="D9" s="5"/>
    </row>
    <row r="10" spans="1:11" s="2" customFormat="1" x14ac:dyDescent="0.25">
      <c r="A10" s="4" t="s">
        <v>8</v>
      </c>
      <c r="C10" s="7"/>
    </row>
    <row r="11" spans="1:11" s="2" customFormat="1" x14ac:dyDescent="0.25">
      <c r="A11" s="4" t="s">
        <v>9</v>
      </c>
      <c r="B11" s="4" t="s">
        <v>10</v>
      </c>
      <c r="C11" s="9" t="s">
        <v>11</v>
      </c>
      <c r="D11" s="4" t="s">
        <v>6</v>
      </c>
      <c r="E11" s="4" t="s">
        <v>12</v>
      </c>
      <c r="F11" s="4" t="s">
        <v>13</v>
      </c>
      <c r="G11" s="4" t="s">
        <v>3</v>
      </c>
      <c r="H11" s="4" t="s">
        <v>5</v>
      </c>
      <c r="I11" s="4" t="s">
        <v>2</v>
      </c>
    </row>
    <row r="12" spans="1:11" s="2" customFormat="1" x14ac:dyDescent="0.25">
      <c r="A12" s="1" t="s">
        <v>34</v>
      </c>
      <c r="B12" s="1" t="s">
        <v>29</v>
      </c>
      <c r="C12" s="17">
        <v>1</v>
      </c>
      <c r="D12" s="2" t="s">
        <v>28</v>
      </c>
      <c r="E12" s="1" t="s">
        <v>330</v>
      </c>
      <c r="F12" s="1"/>
      <c r="G12" s="1" t="s">
        <v>55</v>
      </c>
      <c r="H12" s="1" t="s">
        <v>14</v>
      </c>
      <c r="I12" s="1"/>
      <c r="J12" s="1"/>
      <c r="K12" s="1"/>
    </row>
    <row r="13" spans="1:11" s="2" customFormat="1" x14ac:dyDescent="0.25">
      <c r="A13" s="2" t="s">
        <v>18</v>
      </c>
      <c r="C13" s="17">
        <f>'Carbon balance'!$C$10</f>
        <v>1.9818500000000003</v>
      </c>
      <c r="D13" s="2" t="s">
        <v>7</v>
      </c>
      <c r="E13" s="2" t="s">
        <v>16</v>
      </c>
      <c r="F13" s="2" t="s">
        <v>19</v>
      </c>
      <c r="H13" s="2" t="s">
        <v>17</v>
      </c>
      <c r="I13" s="2" t="s">
        <v>360</v>
      </c>
    </row>
    <row r="14" spans="1:11" s="6" customFormat="1" x14ac:dyDescent="0.25">
      <c r="C14" s="11"/>
    </row>
    <row r="15" spans="1:11" s="2" customFormat="1" x14ac:dyDescent="0.25">
      <c r="A15" s="4" t="s">
        <v>1</v>
      </c>
      <c r="B15" s="4" t="s">
        <v>332</v>
      </c>
      <c r="C15" s="7"/>
    </row>
    <row r="16" spans="1:11" s="2" customFormat="1" x14ac:dyDescent="0.25">
      <c r="A16" s="4" t="s">
        <v>2</v>
      </c>
      <c r="B16" s="2" t="s">
        <v>361</v>
      </c>
      <c r="C16" s="7"/>
    </row>
    <row r="17" spans="1:11" s="2" customFormat="1" x14ac:dyDescent="0.25">
      <c r="A17" s="4" t="s">
        <v>3</v>
      </c>
      <c r="B17" s="2" t="s">
        <v>55</v>
      </c>
      <c r="C17" s="7"/>
    </row>
    <row r="18" spans="1:11" s="2" customFormat="1" x14ac:dyDescent="0.25">
      <c r="A18" s="10" t="s">
        <v>10</v>
      </c>
      <c r="B18" s="2" t="s">
        <v>29</v>
      </c>
      <c r="C18" s="7"/>
    </row>
    <row r="19" spans="1:11" s="2" customFormat="1" x14ac:dyDescent="0.25">
      <c r="A19" s="4" t="s">
        <v>4</v>
      </c>
      <c r="B19" s="8">
        <v>1</v>
      </c>
      <c r="C19" s="7"/>
      <c r="D19" s="5"/>
    </row>
    <row r="20" spans="1:11" s="2" customFormat="1" x14ac:dyDescent="0.25">
      <c r="A20" s="4" t="s">
        <v>6</v>
      </c>
      <c r="B20" s="2" t="s">
        <v>28</v>
      </c>
      <c r="C20" s="7"/>
      <c r="D20" s="5"/>
    </row>
    <row r="21" spans="1:11" s="2" customFormat="1" x14ac:dyDescent="0.25">
      <c r="A21" s="4" t="s">
        <v>21</v>
      </c>
      <c r="C21" s="7"/>
      <c r="D21" s="5"/>
    </row>
    <row r="22" spans="1:11" s="2" customFormat="1" x14ac:dyDescent="0.25">
      <c r="A22" s="4" t="s">
        <v>8</v>
      </c>
      <c r="C22" s="7"/>
    </row>
    <row r="23" spans="1:11" s="2" customFormat="1" x14ac:dyDescent="0.25">
      <c r="A23" s="4" t="s">
        <v>9</v>
      </c>
      <c r="B23" s="4" t="s">
        <v>10</v>
      </c>
      <c r="C23" s="9" t="s">
        <v>11</v>
      </c>
      <c r="D23" s="4" t="s">
        <v>6</v>
      </c>
      <c r="E23" s="4" t="s">
        <v>12</v>
      </c>
      <c r="F23" s="4" t="s">
        <v>13</v>
      </c>
      <c r="G23" s="4" t="s">
        <v>3</v>
      </c>
      <c r="H23" s="4" t="s">
        <v>5</v>
      </c>
      <c r="I23" s="4" t="s">
        <v>2</v>
      </c>
    </row>
    <row r="24" spans="1:11" s="2" customFormat="1" x14ac:dyDescent="0.25">
      <c r="A24" s="1" t="s">
        <v>332</v>
      </c>
      <c r="B24" s="1" t="s">
        <v>29</v>
      </c>
      <c r="C24" s="17">
        <v>1</v>
      </c>
      <c r="D24" s="2" t="s">
        <v>28</v>
      </c>
      <c r="E24" s="1" t="s">
        <v>330</v>
      </c>
      <c r="F24" s="1"/>
      <c r="G24" s="1" t="s">
        <v>55</v>
      </c>
      <c r="H24" s="1" t="s">
        <v>14</v>
      </c>
      <c r="I24" s="1"/>
      <c r="J24" s="1"/>
      <c r="K24" s="1"/>
    </row>
    <row r="25" spans="1:11" s="2" customFormat="1" x14ac:dyDescent="0.25">
      <c r="A25" s="2" t="s">
        <v>18</v>
      </c>
      <c r="C25" s="17">
        <f>'Carbon balance'!$E$10</f>
        <v>1.9818500000000003</v>
      </c>
      <c r="D25" s="2" t="s">
        <v>7</v>
      </c>
      <c r="E25" s="2" t="s">
        <v>16</v>
      </c>
      <c r="F25" s="2" t="s">
        <v>19</v>
      </c>
      <c r="H25" s="2" t="s">
        <v>17</v>
      </c>
      <c r="I25" s="2" t="s">
        <v>360</v>
      </c>
    </row>
    <row r="26" spans="1:11" s="6" customFormat="1" x14ac:dyDescent="0.25">
      <c r="C26" s="11"/>
    </row>
    <row r="27" spans="1:11" s="2" customFormat="1" x14ac:dyDescent="0.25">
      <c r="A27" s="4" t="s">
        <v>1</v>
      </c>
      <c r="B27" s="4" t="s">
        <v>342</v>
      </c>
      <c r="C27" s="7"/>
    </row>
    <row r="28" spans="1:11" s="2" customFormat="1" x14ac:dyDescent="0.25">
      <c r="A28" s="4" t="s">
        <v>2</v>
      </c>
      <c r="B28" s="2" t="s">
        <v>363</v>
      </c>
      <c r="C28" s="7"/>
    </row>
    <row r="29" spans="1:11" s="2" customFormat="1" x14ac:dyDescent="0.25">
      <c r="A29" s="4" t="s">
        <v>3</v>
      </c>
      <c r="B29" s="2" t="s">
        <v>55</v>
      </c>
      <c r="C29" s="7"/>
    </row>
    <row r="30" spans="1:11" s="2" customFormat="1" x14ac:dyDescent="0.25">
      <c r="A30" s="10" t="s">
        <v>10</v>
      </c>
      <c r="B30" s="2" t="s">
        <v>29</v>
      </c>
      <c r="C30" s="7"/>
    </row>
    <row r="31" spans="1:11" s="2" customFormat="1" x14ac:dyDescent="0.25">
      <c r="A31" s="4" t="s">
        <v>4</v>
      </c>
      <c r="B31" s="8">
        <v>1</v>
      </c>
      <c r="C31" s="7"/>
      <c r="D31" s="5"/>
    </row>
    <row r="32" spans="1:11" s="2" customFormat="1" x14ac:dyDescent="0.25">
      <c r="A32" s="4" t="s">
        <v>6</v>
      </c>
      <c r="B32" s="2" t="s">
        <v>28</v>
      </c>
      <c r="C32" s="7"/>
      <c r="D32" s="5"/>
    </row>
    <row r="33" spans="1:11" s="2" customFormat="1" x14ac:dyDescent="0.25">
      <c r="A33" s="4" t="s">
        <v>21</v>
      </c>
      <c r="C33" s="7"/>
      <c r="D33" s="5"/>
    </row>
    <row r="34" spans="1:11" s="2" customFormat="1" x14ac:dyDescent="0.25">
      <c r="A34" s="4" t="s">
        <v>8</v>
      </c>
      <c r="C34" s="7"/>
    </row>
    <row r="35" spans="1:11" s="2" customFormat="1" x14ac:dyDescent="0.25">
      <c r="A35" s="4" t="s">
        <v>9</v>
      </c>
      <c r="B35" s="4" t="s">
        <v>10</v>
      </c>
      <c r="C35" s="9" t="s">
        <v>11</v>
      </c>
      <c r="D35" s="4" t="s">
        <v>6</v>
      </c>
      <c r="E35" s="4" t="s">
        <v>12</v>
      </c>
      <c r="F35" s="4" t="s">
        <v>13</v>
      </c>
      <c r="G35" s="4" t="s">
        <v>3</v>
      </c>
      <c r="H35" s="4" t="s">
        <v>5</v>
      </c>
      <c r="I35" s="4" t="s">
        <v>2</v>
      </c>
    </row>
    <row r="36" spans="1:11" s="2" customFormat="1" x14ac:dyDescent="0.25">
      <c r="A36" s="1" t="s">
        <v>342</v>
      </c>
      <c r="B36" s="1" t="s">
        <v>29</v>
      </c>
      <c r="C36" s="17">
        <v>1</v>
      </c>
      <c r="D36" s="2" t="s">
        <v>28</v>
      </c>
      <c r="E36" s="1" t="s">
        <v>330</v>
      </c>
      <c r="F36" s="1"/>
      <c r="G36" s="1" t="s">
        <v>55</v>
      </c>
      <c r="H36" s="1" t="s">
        <v>14</v>
      </c>
      <c r="I36" s="1"/>
      <c r="J36" s="1"/>
      <c r="K36" s="1"/>
    </row>
    <row r="37" spans="1:11" s="2" customFormat="1" x14ac:dyDescent="0.25">
      <c r="A37" s="1" t="s">
        <v>87</v>
      </c>
      <c r="B37" s="1" t="s">
        <v>86</v>
      </c>
      <c r="C37" s="63">
        <v>0.158</v>
      </c>
      <c r="D37" s="2" t="s">
        <v>62</v>
      </c>
      <c r="E37" s="1" t="s">
        <v>23</v>
      </c>
      <c r="F37" s="1"/>
      <c r="G37" s="1" t="s">
        <v>55</v>
      </c>
      <c r="H37" s="1" t="s">
        <v>24</v>
      </c>
      <c r="I37" s="27" t="s">
        <v>67</v>
      </c>
      <c r="J37" s="1"/>
      <c r="K37" s="1"/>
    </row>
    <row r="38" spans="1:11" s="2" customFormat="1" x14ac:dyDescent="0.25">
      <c r="A38" s="1" t="s">
        <v>338</v>
      </c>
      <c r="B38" s="1" t="s">
        <v>339</v>
      </c>
      <c r="C38" s="63">
        <v>3.47</v>
      </c>
      <c r="D38" s="2" t="s">
        <v>73</v>
      </c>
      <c r="E38" s="1" t="s">
        <v>23</v>
      </c>
      <c r="F38" s="1"/>
      <c r="G38" s="1" t="s">
        <v>124</v>
      </c>
      <c r="H38" s="1" t="s">
        <v>24</v>
      </c>
      <c r="I38" s="27" t="s">
        <v>67</v>
      </c>
      <c r="J38" s="1"/>
      <c r="K38" s="1"/>
    </row>
    <row r="39" spans="1:11" s="2" customFormat="1" x14ac:dyDescent="0.25">
      <c r="A39" s="2" t="s">
        <v>337</v>
      </c>
      <c r="B39" s="1" t="s">
        <v>336</v>
      </c>
      <c r="C39" s="7">
        <v>2.8600029991482498E-7</v>
      </c>
      <c r="D39" s="2" t="s">
        <v>6</v>
      </c>
      <c r="E39" s="1" t="s">
        <v>23</v>
      </c>
      <c r="F39" s="1"/>
      <c r="G39" s="1" t="s">
        <v>83</v>
      </c>
      <c r="H39" s="1" t="s">
        <v>24</v>
      </c>
      <c r="I39" s="27" t="s">
        <v>67</v>
      </c>
      <c r="J39" s="1"/>
      <c r="K39" s="1"/>
    </row>
    <row r="40" spans="1:11" s="2" customFormat="1" x14ac:dyDescent="0.25">
      <c r="A40" s="2" t="s">
        <v>340</v>
      </c>
      <c r="B40" s="1" t="s">
        <v>341</v>
      </c>
      <c r="C40" s="62">
        <v>-36.182573931641002</v>
      </c>
      <c r="D40" s="2" t="s">
        <v>7</v>
      </c>
      <c r="E40" s="1" t="s">
        <v>23</v>
      </c>
      <c r="F40" s="1"/>
      <c r="G40" s="1" t="s">
        <v>15</v>
      </c>
      <c r="H40" s="1" t="s">
        <v>24</v>
      </c>
      <c r="I40" s="27" t="s">
        <v>67</v>
      </c>
      <c r="J40" s="1"/>
      <c r="K40" s="1"/>
    </row>
    <row r="41" spans="1:11" s="2" customFormat="1" x14ac:dyDescent="0.25">
      <c r="A41" s="2" t="s">
        <v>18</v>
      </c>
      <c r="C41" s="17">
        <f>'Carbon balance'!$B$10</f>
        <v>1.9818500000000003</v>
      </c>
      <c r="D41" s="2" t="s">
        <v>7</v>
      </c>
      <c r="E41" s="2" t="s">
        <v>16</v>
      </c>
      <c r="F41" s="2" t="s">
        <v>19</v>
      </c>
      <c r="H41" s="2" t="s">
        <v>17</v>
      </c>
      <c r="I41" s="2" t="s">
        <v>360</v>
      </c>
    </row>
    <row r="42" spans="1:11" s="2" customFormat="1" x14ac:dyDescent="0.25">
      <c r="A42" s="1" t="s">
        <v>25</v>
      </c>
      <c r="B42" s="1"/>
      <c r="C42" s="17">
        <v>7.0895249386923098E-2</v>
      </c>
      <c r="D42" s="2" t="s">
        <v>7</v>
      </c>
      <c r="E42" s="2" t="s">
        <v>16</v>
      </c>
      <c r="F42" s="1" t="s">
        <v>26</v>
      </c>
      <c r="G42" s="1"/>
      <c r="H42" s="2" t="s">
        <v>17</v>
      </c>
      <c r="I42" s="27" t="s">
        <v>67</v>
      </c>
      <c r="J42" s="1"/>
      <c r="K42" s="1"/>
    </row>
    <row r="43" spans="1:11" s="2" customFormat="1" x14ac:dyDescent="0.25">
      <c r="A43" s="1" t="s">
        <v>54</v>
      </c>
      <c r="B43" s="1"/>
      <c r="C43" s="17">
        <v>1.98342321857547E-2</v>
      </c>
      <c r="D43" s="2" t="s">
        <v>7</v>
      </c>
      <c r="E43" s="2" t="s">
        <v>16</v>
      </c>
      <c r="F43" s="1" t="s">
        <v>26</v>
      </c>
      <c r="G43" s="1"/>
      <c r="H43" s="2" t="s">
        <v>17</v>
      </c>
      <c r="I43" s="27" t="s">
        <v>67</v>
      </c>
      <c r="J43" s="1"/>
      <c r="K43" s="1"/>
    </row>
    <row r="44" spans="1:11" s="2" customFormat="1" x14ac:dyDescent="0.25">
      <c r="A44" s="1" t="s">
        <v>106</v>
      </c>
      <c r="B44" s="1"/>
      <c r="C44" s="7">
        <v>2.49038662325958E-4</v>
      </c>
      <c r="D44" s="2" t="s">
        <v>7</v>
      </c>
      <c r="E44" s="2" t="s">
        <v>16</v>
      </c>
      <c r="F44" s="1" t="s">
        <v>26</v>
      </c>
      <c r="G44" s="1"/>
      <c r="H44" s="2" t="s">
        <v>17</v>
      </c>
      <c r="I44" s="27" t="s">
        <v>67</v>
      </c>
      <c r="J44" s="1"/>
      <c r="K44" s="1"/>
    </row>
    <row r="45" spans="1:11" s="2" customFormat="1" x14ac:dyDescent="0.25">
      <c r="A45" s="1" t="s">
        <v>76</v>
      </c>
      <c r="B45" s="1"/>
      <c r="C45" s="7">
        <v>4.12758322565051E-5</v>
      </c>
      <c r="D45" s="2" t="s">
        <v>7</v>
      </c>
      <c r="E45" s="2" t="s">
        <v>16</v>
      </c>
      <c r="F45" s="1" t="s">
        <v>26</v>
      </c>
      <c r="G45" s="1"/>
      <c r="H45" s="2" t="s">
        <v>17</v>
      </c>
      <c r="I45" s="27" t="s">
        <v>67</v>
      </c>
      <c r="J45" s="1"/>
      <c r="K45" s="1"/>
    </row>
    <row r="46" spans="1:11" s="2" customFormat="1" x14ac:dyDescent="0.25">
      <c r="A46" s="1" t="s">
        <v>266</v>
      </c>
      <c r="B46" s="1"/>
      <c r="C46" s="7">
        <v>1.75039798108169E-3</v>
      </c>
      <c r="D46" s="2" t="s">
        <v>7</v>
      </c>
      <c r="E46" s="2" t="s">
        <v>16</v>
      </c>
      <c r="F46" s="1" t="s">
        <v>26</v>
      </c>
      <c r="G46" s="1"/>
      <c r="H46" s="2" t="s">
        <v>17</v>
      </c>
      <c r="I46" s="27" t="s">
        <v>67</v>
      </c>
      <c r="J46" s="1"/>
      <c r="K46" s="1"/>
    </row>
    <row r="47" spans="1:11" s="6" customFormat="1" x14ac:dyDescent="0.25">
      <c r="C47" s="11"/>
    </row>
    <row r="48" spans="1:11" x14ac:dyDescent="0.25">
      <c r="A48" s="4" t="s">
        <v>1</v>
      </c>
      <c r="B48" s="4" t="s">
        <v>364</v>
      </c>
      <c r="C48" s="7"/>
      <c r="D48" s="2"/>
      <c r="E48" s="2"/>
      <c r="F48" s="2"/>
      <c r="G48" s="2"/>
      <c r="H48" s="2"/>
      <c r="I48" s="2"/>
      <c r="J48" s="2"/>
    </row>
    <row r="49" spans="1:10" x14ac:dyDescent="0.25">
      <c r="A49" s="4" t="s">
        <v>2</v>
      </c>
      <c r="B49" s="2" t="s">
        <v>362</v>
      </c>
      <c r="C49" s="7"/>
      <c r="D49" s="2"/>
      <c r="E49" s="2"/>
      <c r="F49" s="2"/>
      <c r="G49" s="2"/>
      <c r="H49" s="2"/>
      <c r="I49" s="2"/>
      <c r="J49" s="2"/>
    </row>
    <row r="50" spans="1:10" x14ac:dyDescent="0.25">
      <c r="A50" s="4" t="s">
        <v>3</v>
      </c>
      <c r="B50" s="2" t="s">
        <v>55</v>
      </c>
      <c r="C50" s="7"/>
      <c r="D50" s="2"/>
      <c r="E50" s="2"/>
      <c r="F50" s="2"/>
      <c r="G50" s="2"/>
      <c r="H50" s="2"/>
      <c r="I50" s="2"/>
      <c r="J50" s="2"/>
    </row>
    <row r="51" spans="1:10" x14ac:dyDescent="0.25">
      <c r="A51" s="10" t="s">
        <v>10</v>
      </c>
      <c r="B51" s="2" t="s">
        <v>29</v>
      </c>
      <c r="C51" s="7"/>
      <c r="D51" s="2"/>
      <c r="E51" s="2"/>
      <c r="F51" s="2"/>
      <c r="G51" s="2"/>
      <c r="H51" s="2"/>
      <c r="I51" s="2"/>
      <c r="J51" s="2"/>
    </row>
    <row r="52" spans="1:10" x14ac:dyDescent="0.25">
      <c r="A52" s="4" t="s">
        <v>4</v>
      </c>
      <c r="B52" s="8">
        <v>1</v>
      </c>
      <c r="C52" s="7"/>
      <c r="D52" s="5"/>
      <c r="E52" s="2"/>
      <c r="F52" s="2"/>
      <c r="G52" s="2"/>
      <c r="H52" s="2"/>
      <c r="I52" s="2"/>
      <c r="J52" s="2"/>
    </row>
    <row r="53" spans="1:10" x14ac:dyDescent="0.25">
      <c r="A53" s="4" t="s">
        <v>6</v>
      </c>
      <c r="B53" s="2" t="s">
        <v>28</v>
      </c>
      <c r="C53" s="7"/>
      <c r="D53" s="5"/>
      <c r="E53" s="2"/>
      <c r="F53" s="2"/>
      <c r="G53" s="2"/>
      <c r="H53" s="2"/>
      <c r="I53" s="2"/>
      <c r="J53" s="2"/>
    </row>
    <row r="54" spans="1:10" x14ac:dyDescent="0.25">
      <c r="A54" s="4" t="s">
        <v>21</v>
      </c>
      <c r="B54" s="2"/>
      <c r="C54" s="7"/>
      <c r="D54" s="5"/>
      <c r="E54" s="2"/>
      <c r="F54" s="2"/>
      <c r="G54" s="2"/>
      <c r="H54" s="2"/>
      <c r="I54" s="2"/>
      <c r="J54" s="2"/>
    </row>
    <row r="55" spans="1:10" x14ac:dyDescent="0.25">
      <c r="A55" s="4" t="s">
        <v>8</v>
      </c>
      <c r="B55" s="2"/>
      <c r="C55" s="7"/>
      <c r="D55" s="2"/>
      <c r="E55" s="2"/>
      <c r="F55" s="2"/>
      <c r="G55" s="2"/>
      <c r="H55" s="2"/>
      <c r="I55" s="2"/>
      <c r="J55" s="2"/>
    </row>
    <row r="56" spans="1:10" x14ac:dyDescent="0.25">
      <c r="A56" s="4" t="s">
        <v>9</v>
      </c>
      <c r="B56" s="4" t="s">
        <v>10</v>
      </c>
      <c r="C56" s="9" t="s">
        <v>11</v>
      </c>
      <c r="D56" s="4" t="s">
        <v>6</v>
      </c>
      <c r="E56" s="4" t="s">
        <v>12</v>
      </c>
      <c r="F56" s="4" t="s">
        <v>13</v>
      </c>
      <c r="G56" s="4" t="s">
        <v>3</v>
      </c>
      <c r="H56" s="4" t="s">
        <v>5</v>
      </c>
      <c r="I56" s="4" t="s">
        <v>2</v>
      </c>
      <c r="J56" s="2"/>
    </row>
    <row r="57" spans="1:10" x14ac:dyDescent="0.25">
      <c r="A57" s="1" t="s">
        <v>364</v>
      </c>
      <c r="B57" s="1" t="s">
        <v>29</v>
      </c>
      <c r="C57" s="17">
        <v>1</v>
      </c>
      <c r="D57" s="2" t="s">
        <v>28</v>
      </c>
      <c r="E57" s="1" t="s">
        <v>330</v>
      </c>
      <c r="F57" s="1"/>
      <c r="G57" s="1" t="s">
        <v>55</v>
      </c>
      <c r="H57" s="1" t="s">
        <v>14</v>
      </c>
      <c r="I57" s="1" t="s">
        <v>58</v>
      </c>
      <c r="J57" s="1"/>
    </row>
    <row r="58" spans="1:10" s="2" customFormat="1" x14ac:dyDescent="0.25">
      <c r="A58" s="2" t="s">
        <v>18</v>
      </c>
      <c r="C58" s="17">
        <f>'Carbon balance'!$D$10</f>
        <v>1.9818500000000003</v>
      </c>
      <c r="D58" s="2" t="s">
        <v>7</v>
      </c>
      <c r="E58" s="2" t="s">
        <v>16</v>
      </c>
      <c r="F58" s="2" t="s">
        <v>19</v>
      </c>
      <c r="H58" s="2" t="s">
        <v>17</v>
      </c>
      <c r="I58" s="2" t="s">
        <v>331</v>
      </c>
    </row>
    <row r="59" spans="1:10" s="6" customFormat="1" x14ac:dyDescent="0.25">
      <c r="C59" s="11"/>
    </row>
    <row r="60" spans="1:10" s="2" customFormat="1" x14ac:dyDescent="0.25">
      <c r="A60" s="4" t="s">
        <v>1</v>
      </c>
      <c r="B60" s="4" t="s">
        <v>348</v>
      </c>
      <c r="C60" s="7"/>
    </row>
    <row r="61" spans="1:10" s="2" customFormat="1" x14ac:dyDescent="0.25">
      <c r="A61" s="4" t="s">
        <v>2</v>
      </c>
      <c r="B61" s="2" t="s">
        <v>349</v>
      </c>
      <c r="C61" s="7"/>
    </row>
    <row r="62" spans="1:10" s="2" customFormat="1" x14ac:dyDescent="0.25">
      <c r="A62" s="4" t="s">
        <v>3</v>
      </c>
      <c r="B62" s="2" t="s">
        <v>55</v>
      </c>
      <c r="C62" s="7"/>
    </row>
    <row r="63" spans="1:10" s="2" customFormat="1" x14ac:dyDescent="0.25">
      <c r="A63" s="10" t="s">
        <v>10</v>
      </c>
      <c r="B63" s="2" t="s">
        <v>29</v>
      </c>
      <c r="C63" s="7"/>
    </row>
    <row r="64" spans="1:10" s="2" customFormat="1" x14ac:dyDescent="0.25">
      <c r="A64" s="4" t="s">
        <v>4</v>
      </c>
      <c r="B64" s="8">
        <v>1</v>
      </c>
      <c r="C64" s="7"/>
      <c r="D64" s="5"/>
    </row>
    <row r="65" spans="1:11" s="2" customFormat="1" x14ac:dyDescent="0.25">
      <c r="A65" s="4" t="s">
        <v>6</v>
      </c>
      <c r="B65" s="2" t="s">
        <v>28</v>
      </c>
      <c r="C65" s="7"/>
      <c r="D65" s="5"/>
    </row>
    <row r="66" spans="1:11" s="2" customFormat="1" x14ac:dyDescent="0.25">
      <c r="A66" s="4" t="s">
        <v>21</v>
      </c>
      <c r="C66" s="7"/>
      <c r="D66" s="5"/>
    </row>
    <row r="67" spans="1:11" s="2" customFormat="1" x14ac:dyDescent="0.25">
      <c r="A67" s="4" t="s">
        <v>8</v>
      </c>
      <c r="C67" s="7"/>
    </row>
    <row r="68" spans="1:11" s="2" customFormat="1" x14ac:dyDescent="0.25">
      <c r="A68" s="4" t="s">
        <v>9</v>
      </c>
      <c r="B68" s="4" t="s">
        <v>10</v>
      </c>
      <c r="C68" s="9" t="s">
        <v>11</v>
      </c>
      <c r="D68" s="4" t="s">
        <v>6</v>
      </c>
      <c r="E68" s="4" t="s">
        <v>12</v>
      </c>
      <c r="F68" s="4" t="s">
        <v>13</v>
      </c>
      <c r="G68" s="4" t="s">
        <v>3</v>
      </c>
      <c r="H68" s="4" t="s">
        <v>5</v>
      </c>
      <c r="I68" s="4" t="s">
        <v>2</v>
      </c>
    </row>
    <row r="69" spans="1:11" s="2" customFormat="1" x14ac:dyDescent="0.25">
      <c r="A69" s="1" t="s">
        <v>348</v>
      </c>
      <c r="B69" s="1" t="s">
        <v>29</v>
      </c>
      <c r="C69" s="17">
        <v>1</v>
      </c>
      <c r="D69" s="2" t="s">
        <v>28</v>
      </c>
      <c r="E69" s="1" t="s">
        <v>330</v>
      </c>
      <c r="F69" s="1"/>
      <c r="G69" s="1" t="s">
        <v>55</v>
      </c>
      <c r="H69" s="1" t="s">
        <v>14</v>
      </c>
      <c r="I69" s="1" t="s">
        <v>58</v>
      </c>
      <c r="J69" s="1"/>
      <c r="K69" s="1"/>
    </row>
    <row r="70" spans="1:11" s="2" customFormat="1" x14ac:dyDescent="0.25">
      <c r="A70" s="2" t="s">
        <v>350</v>
      </c>
      <c r="B70" s="2" t="s">
        <v>351</v>
      </c>
      <c r="C70" s="64"/>
      <c r="D70" s="2" t="s">
        <v>7</v>
      </c>
      <c r="E70" s="1" t="s">
        <v>330</v>
      </c>
      <c r="G70" s="1" t="s">
        <v>55</v>
      </c>
      <c r="H70" s="2" t="s">
        <v>24</v>
      </c>
    </row>
    <row r="71" spans="1:11" s="6" customFormat="1" x14ac:dyDescent="0.25">
      <c r="C71" s="11"/>
    </row>
    <row r="72" spans="1:11" s="2" customFormat="1" x14ac:dyDescent="0.25">
      <c r="A72" s="4" t="s">
        <v>1</v>
      </c>
      <c r="B72" s="4" t="s">
        <v>350</v>
      </c>
      <c r="C72" s="7"/>
    </row>
    <row r="73" spans="1:11" s="2" customFormat="1" x14ac:dyDescent="0.25">
      <c r="A73" s="4" t="s">
        <v>2</v>
      </c>
      <c r="B73" s="2" t="s">
        <v>352</v>
      </c>
      <c r="C73" s="7"/>
    </row>
    <row r="74" spans="1:11" s="2" customFormat="1" x14ac:dyDescent="0.25">
      <c r="A74" s="4" t="s">
        <v>3</v>
      </c>
      <c r="B74" s="2" t="s">
        <v>55</v>
      </c>
      <c r="C74" s="7"/>
    </row>
    <row r="75" spans="1:11" s="2" customFormat="1" x14ac:dyDescent="0.25">
      <c r="A75" s="10" t="s">
        <v>10</v>
      </c>
      <c r="B75" s="2" t="s">
        <v>351</v>
      </c>
      <c r="C75" s="7"/>
    </row>
    <row r="76" spans="1:11" s="2" customFormat="1" x14ac:dyDescent="0.25">
      <c r="A76" s="4" t="s">
        <v>4</v>
      </c>
      <c r="B76" s="8">
        <v>1</v>
      </c>
      <c r="C76" s="7"/>
      <c r="D76" s="5"/>
    </row>
    <row r="77" spans="1:11" s="2" customFormat="1" x14ac:dyDescent="0.25">
      <c r="A77" s="4" t="s">
        <v>6</v>
      </c>
      <c r="B77" s="2" t="s">
        <v>7</v>
      </c>
      <c r="C77" s="7"/>
      <c r="D77" s="5"/>
    </row>
    <row r="78" spans="1:11" s="2" customFormat="1" x14ac:dyDescent="0.25">
      <c r="A78" s="4" t="s">
        <v>21</v>
      </c>
      <c r="B78" s="2" t="s">
        <v>353</v>
      </c>
      <c r="C78" s="7"/>
      <c r="D78" s="5"/>
    </row>
    <row r="79" spans="1:11" s="2" customFormat="1" x14ac:dyDescent="0.25">
      <c r="A79" s="4" t="s">
        <v>8</v>
      </c>
      <c r="C79" s="7"/>
    </row>
    <row r="80" spans="1:11" s="2" customFormat="1" x14ac:dyDescent="0.25">
      <c r="A80" s="4" t="s">
        <v>9</v>
      </c>
      <c r="B80" s="4" t="s">
        <v>10</v>
      </c>
      <c r="C80" s="9" t="s">
        <v>11</v>
      </c>
      <c r="D80" s="4" t="s">
        <v>6</v>
      </c>
      <c r="E80" s="4" t="s">
        <v>12</v>
      </c>
      <c r="F80" s="4" t="s">
        <v>13</v>
      </c>
      <c r="G80" s="4" t="s">
        <v>3</v>
      </c>
      <c r="H80" s="4" t="s">
        <v>5</v>
      </c>
      <c r="I80" s="4" t="s">
        <v>2</v>
      </c>
    </row>
    <row r="81" spans="1:11" s="2" customFormat="1" x14ac:dyDescent="0.25">
      <c r="A81" s="1" t="s">
        <v>350</v>
      </c>
      <c r="B81" s="1" t="s">
        <v>351</v>
      </c>
      <c r="C81" s="17">
        <v>1</v>
      </c>
      <c r="D81" s="2" t="s">
        <v>7</v>
      </c>
      <c r="E81" s="1" t="s">
        <v>330</v>
      </c>
      <c r="F81" s="1"/>
      <c r="G81" s="1" t="s">
        <v>55</v>
      </c>
      <c r="H81" s="1" t="s">
        <v>14</v>
      </c>
      <c r="I81" s="1"/>
      <c r="J81" s="1"/>
      <c r="K81" s="1"/>
    </row>
    <row r="82" spans="1:11" s="2" customFormat="1" x14ac:dyDescent="0.25">
      <c r="A82" s="1" t="s">
        <v>344</v>
      </c>
      <c r="B82" s="1" t="s">
        <v>345</v>
      </c>
      <c r="C82" s="7">
        <f>1/20000</f>
        <v>5.0000000000000002E-5</v>
      </c>
      <c r="D82" s="2" t="s">
        <v>346</v>
      </c>
      <c r="E82" s="1" t="s">
        <v>23</v>
      </c>
      <c r="F82" s="1"/>
      <c r="G82" s="1" t="s">
        <v>15</v>
      </c>
      <c r="H82" s="1" t="s">
        <v>24</v>
      </c>
      <c r="I82" s="1" t="s">
        <v>355</v>
      </c>
      <c r="J82" s="1"/>
      <c r="K82" s="1"/>
    </row>
    <row r="83" spans="1:11" s="2" customFormat="1" x14ac:dyDescent="0.25">
      <c r="A83" s="1" t="s">
        <v>347</v>
      </c>
      <c r="B83" s="1" t="s">
        <v>347</v>
      </c>
      <c r="C83" s="7">
        <f>80/20000</f>
        <v>4.0000000000000001E-3</v>
      </c>
      <c r="D83" s="2" t="s">
        <v>7</v>
      </c>
      <c r="E83" s="1" t="s">
        <v>23</v>
      </c>
      <c r="F83" s="1"/>
      <c r="G83" s="1" t="s">
        <v>55</v>
      </c>
      <c r="H83" s="1" t="s">
        <v>24</v>
      </c>
      <c r="I83" s="1" t="s">
        <v>356</v>
      </c>
      <c r="J83" s="1"/>
      <c r="K83" s="1"/>
    </row>
    <row r="84" spans="1:11" x14ac:dyDescent="0.25">
      <c r="A84" s="2" t="s">
        <v>18</v>
      </c>
      <c r="B84" s="2"/>
      <c r="C84" s="63"/>
      <c r="D84" s="2" t="s">
        <v>7</v>
      </c>
      <c r="E84" s="2" t="s">
        <v>16</v>
      </c>
      <c r="F84" s="2" t="s">
        <v>19</v>
      </c>
      <c r="G84" s="2"/>
      <c r="H84" s="2" t="s">
        <v>17</v>
      </c>
      <c r="I84" s="2" t="s">
        <v>331</v>
      </c>
      <c r="J84" s="2"/>
      <c r="K84" s="2"/>
    </row>
    <row r="85" spans="1:11" x14ac:dyDescent="0.25">
      <c r="A85" t="s">
        <v>96</v>
      </c>
      <c r="C85" s="7">
        <f>88/20000</f>
        <v>4.4000000000000003E-3</v>
      </c>
      <c r="D85" s="2" t="s">
        <v>7</v>
      </c>
      <c r="E85" s="2" t="s">
        <v>16</v>
      </c>
      <c r="F85" s="2" t="s">
        <v>354</v>
      </c>
      <c r="H85" s="2" t="s">
        <v>17</v>
      </c>
      <c r="I85" s="2" t="s">
        <v>357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C1C3-C795-4643-826B-297A5C6413FF}">
  <dimension ref="A1:K12"/>
  <sheetViews>
    <sheetView zoomScale="70" zoomScaleNormal="70" workbookViewId="0">
      <selection activeCell="A39" sqref="A39"/>
    </sheetView>
  </sheetViews>
  <sheetFormatPr defaultRowHeight="15" x14ac:dyDescent="0.25"/>
  <cols>
    <col min="1" max="1" width="80" bestFit="1" customWidth="1"/>
    <col min="2" max="2" width="24.28515625" customWidth="1"/>
    <col min="3" max="3" width="10.140625" bestFit="1" customWidth="1"/>
    <col min="4" max="4" width="12.42578125" bestFit="1" customWidth="1"/>
    <col min="5" max="5" width="22" bestFit="1" customWidth="1"/>
    <col min="6" max="6" width="13.85546875" bestFit="1" customWidth="1"/>
    <col min="7" max="7" width="11" bestFit="1" customWidth="1"/>
    <col min="8" max="8" width="11.5703125" bestFit="1" customWidth="1"/>
  </cols>
  <sheetData>
    <row r="1" spans="1:11" s="6" customFormat="1" x14ac:dyDescent="0.25">
      <c r="C1" s="11"/>
    </row>
    <row r="2" spans="1:11" s="2" customFormat="1" x14ac:dyDescent="0.25">
      <c r="A2" s="4" t="s">
        <v>1</v>
      </c>
      <c r="B2" s="4" t="s">
        <v>365</v>
      </c>
      <c r="C2" s="7"/>
    </row>
    <row r="3" spans="1:11" s="2" customFormat="1" x14ac:dyDescent="0.25">
      <c r="A3" s="4" t="s">
        <v>2</v>
      </c>
      <c r="C3" s="7"/>
    </row>
    <row r="4" spans="1:11" s="2" customFormat="1" x14ac:dyDescent="0.25">
      <c r="A4" s="4" t="s">
        <v>3</v>
      </c>
      <c r="B4" s="2" t="s">
        <v>55</v>
      </c>
      <c r="C4" s="7"/>
    </row>
    <row r="5" spans="1:11" s="2" customFormat="1" x14ac:dyDescent="0.25">
      <c r="A5" s="10" t="s">
        <v>10</v>
      </c>
      <c r="B5" s="2" t="s">
        <v>31</v>
      </c>
      <c r="C5" s="7"/>
    </row>
    <row r="6" spans="1:11" s="2" customFormat="1" x14ac:dyDescent="0.25">
      <c r="A6" s="4" t="s">
        <v>4</v>
      </c>
      <c r="B6" s="8">
        <v>1</v>
      </c>
      <c r="C6" s="7"/>
      <c r="D6" s="5"/>
    </row>
    <row r="7" spans="1:11" s="2" customFormat="1" x14ac:dyDescent="0.25">
      <c r="A7" s="4" t="s">
        <v>6</v>
      </c>
      <c r="B7" s="2" t="s">
        <v>28</v>
      </c>
      <c r="C7" s="7"/>
      <c r="D7" s="5"/>
    </row>
    <row r="8" spans="1:11" s="2" customFormat="1" x14ac:dyDescent="0.25">
      <c r="A8" s="4" t="s">
        <v>21</v>
      </c>
      <c r="C8" s="7"/>
      <c r="D8" s="5"/>
    </row>
    <row r="9" spans="1:11" s="2" customFormat="1" x14ac:dyDescent="0.25">
      <c r="A9" s="4" t="s">
        <v>8</v>
      </c>
      <c r="C9" s="7"/>
    </row>
    <row r="10" spans="1:11" s="2" customFormat="1" x14ac:dyDescent="0.25">
      <c r="A10" s="4" t="s">
        <v>9</v>
      </c>
      <c r="B10" s="4" t="s">
        <v>10</v>
      </c>
      <c r="C10" s="9" t="s">
        <v>11</v>
      </c>
      <c r="D10" s="4" t="s">
        <v>6</v>
      </c>
      <c r="E10" s="4" t="s">
        <v>12</v>
      </c>
      <c r="F10" s="4" t="s">
        <v>13</v>
      </c>
      <c r="G10" s="4" t="s">
        <v>3</v>
      </c>
      <c r="H10" s="4" t="s">
        <v>5</v>
      </c>
      <c r="I10" s="4" t="s">
        <v>2</v>
      </c>
    </row>
    <row r="11" spans="1:11" s="2" customFormat="1" x14ac:dyDescent="0.25">
      <c r="A11" s="1" t="s">
        <v>365</v>
      </c>
      <c r="B11" s="1" t="s">
        <v>31</v>
      </c>
      <c r="C11" s="17">
        <v>1</v>
      </c>
      <c r="D11" s="2" t="s">
        <v>28</v>
      </c>
      <c r="E11" s="1" t="s">
        <v>330</v>
      </c>
      <c r="F11" s="1"/>
      <c r="G11" s="1" t="s">
        <v>55</v>
      </c>
      <c r="H11" s="1" t="s">
        <v>14</v>
      </c>
      <c r="I11" s="1"/>
      <c r="J11" s="1"/>
      <c r="K11" s="1"/>
    </row>
    <row r="12" spans="1:11" s="2" customFormat="1" x14ac:dyDescent="0.25">
      <c r="C12"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8"/>
  <sheetViews>
    <sheetView zoomScale="70" zoomScaleNormal="70" workbookViewId="0">
      <selection activeCell="A47" sqref="A47"/>
    </sheetView>
  </sheetViews>
  <sheetFormatPr defaultColWidth="9.140625" defaultRowHeight="15" x14ac:dyDescent="0.25"/>
  <cols>
    <col min="1" max="1" width="70.28515625" style="2" bestFit="1" customWidth="1"/>
    <col min="2" max="2" width="25.85546875" style="2" customWidth="1"/>
    <col min="3" max="3" width="12.7109375" style="8" bestFit="1" customWidth="1"/>
    <col min="4" max="4" width="10.5703125" style="2" bestFit="1" customWidth="1"/>
    <col min="5" max="5" width="16.85546875" style="2" bestFit="1" customWidth="1"/>
    <col min="6" max="6" width="9.28515625" style="2" bestFit="1" customWidth="1"/>
    <col min="7" max="7" width="9.140625" style="2"/>
    <col min="8" max="8" width="14.5703125" style="2" bestFit="1" customWidth="1"/>
    <col min="9" max="16384" width="9.140625" style="2"/>
  </cols>
  <sheetData>
    <row r="1" spans="1:11" s="42" customFormat="1" x14ac:dyDescent="0.25">
      <c r="A1" s="36" t="s">
        <v>0</v>
      </c>
      <c r="B1" s="36" t="s">
        <v>20</v>
      </c>
      <c r="C1" s="40"/>
      <c r="D1" s="41"/>
      <c r="E1" s="41"/>
      <c r="F1" s="41"/>
      <c r="G1" s="41"/>
      <c r="H1" s="41"/>
      <c r="I1" s="41"/>
      <c r="J1" s="41"/>
      <c r="K1" s="41"/>
    </row>
    <row r="2" spans="1:11" s="6" customFormat="1" x14ac:dyDescent="0.25">
      <c r="C2" s="11"/>
    </row>
    <row r="3" spans="1:11" x14ac:dyDescent="0.25">
      <c r="A3" s="4" t="s">
        <v>1</v>
      </c>
      <c r="B3" s="4" t="s">
        <v>34</v>
      </c>
      <c r="C3" s="7"/>
    </row>
    <row r="4" spans="1:11" x14ac:dyDescent="0.25">
      <c r="A4" s="4" t="s">
        <v>2</v>
      </c>
      <c r="B4" s="2" t="s">
        <v>224</v>
      </c>
      <c r="C4" s="7"/>
    </row>
    <row r="5" spans="1:11" x14ac:dyDescent="0.25">
      <c r="A5" s="4" t="s">
        <v>3</v>
      </c>
      <c r="B5" s="2" t="s">
        <v>55</v>
      </c>
      <c r="C5" s="7"/>
    </row>
    <row r="6" spans="1:11" x14ac:dyDescent="0.25">
      <c r="A6" s="10" t="s">
        <v>10</v>
      </c>
      <c r="B6" s="2" t="s">
        <v>29</v>
      </c>
      <c r="C6" s="7"/>
    </row>
    <row r="7" spans="1:11" x14ac:dyDescent="0.25">
      <c r="A7" s="4" t="s">
        <v>4</v>
      </c>
      <c r="B7" s="8">
        <v>1</v>
      </c>
      <c r="C7" s="7"/>
      <c r="D7" s="5"/>
    </row>
    <row r="8" spans="1:11" x14ac:dyDescent="0.25">
      <c r="A8" s="4" t="s">
        <v>6</v>
      </c>
      <c r="B8" s="2" t="s">
        <v>28</v>
      </c>
      <c r="C8" s="7"/>
      <c r="D8" s="5"/>
    </row>
    <row r="9" spans="1:11" x14ac:dyDescent="0.25">
      <c r="A9" s="4" t="s">
        <v>21</v>
      </c>
      <c r="C9" s="7"/>
      <c r="D9" s="5"/>
    </row>
    <row r="10" spans="1:11" x14ac:dyDescent="0.25">
      <c r="A10" s="4" t="s">
        <v>8</v>
      </c>
      <c r="C10" s="7"/>
    </row>
    <row r="11" spans="1:11" x14ac:dyDescent="0.25">
      <c r="A11" s="4" t="s">
        <v>9</v>
      </c>
      <c r="B11" s="4" t="s">
        <v>10</v>
      </c>
      <c r="C11" s="9" t="s">
        <v>11</v>
      </c>
      <c r="D11" s="4" t="s">
        <v>6</v>
      </c>
      <c r="E11" s="4" t="s">
        <v>12</v>
      </c>
      <c r="F11" s="4" t="s">
        <v>13</v>
      </c>
      <c r="G11" s="4" t="s">
        <v>3</v>
      </c>
      <c r="H11" s="4" t="s">
        <v>5</v>
      </c>
      <c r="I11" s="4" t="s">
        <v>2</v>
      </c>
    </row>
    <row r="12" spans="1:11" x14ac:dyDescent="0.25">
      <c r="A12" s="1" t="s">
        <v>34</v>
      </c>
      <c r="B12" s="1" t="s">
        <v>29</v>
      </c>
      <c r="C12" s="17">
        <v>1</v>
      </c>
      <c r="D12" s="2" t="s">
        <v>28</v>
      </c>
      <c r="E12" s="1" t="s">
        <v>20</v>
      </c>
      <c r="F12" s="1"/>
      <c r="G12" s="1" t="s">
        <v>55</v>
      </c>
      <c r="H12" s="1" t="s">
        <v>14</v>
      </c>
      <c r="I12" s="1" t="s">
        <v>58</v>
      </c>
      <c r="J12" s="1"/>
      <c r="K12" s="1"/>
    </row>
    <row r="13" spans="1:11" x14ac:dyDescent="0.25">
      <c r="A13" s="2" t="s">
        <v>18</v>
      </c>
      <c r="C13" s="17">
        <f>'Carbon balance'!$D$10</f>
        <v>1.9818500000000003</v>
      </c>
      <c r="D13" s="2" t="s">
        <v>7</v>
      </c>
      <c r="E13" s="2" t="s">
        <v>16</v>
      </c>
      <c r="F13" s="2" t="s">
        <v>19</v>
      </c>
      <c r="H13" s="2" t="s">
        <v>17</v>
      </c>
      <c r="I13" s="2" t="s">
        <v>223</v>
      </c>
    </row>
    <row r="14" spans="1:11" s="6" customFormat="1" x14ac:dyDescent="0.25">
      <c r="C14" s="11"/>
    </row>
    <row r="15" spans="1:11" x14ac:dyDescent="0.25">
      <c r="A15" s="4" t="s">
        <v>1</v>
      </c>
      <c r="B15" s="4" t="s">
        <v>32</v>
      </c>
      <c r="C15" s="7"/>
    </row>
    <row r="16" spans="1:11" x14ac:dyDescent="0.25">
      <c r="A16" s="4" t="s">
        <v>2</v>
      </c>
      <c r="B16" s="2" t="s">
        <v>33</v>
      </c>
      <c r="C16" s="7"/>
    </row>
    <row r="17" spans="1:11" x14ac:dyDescent="0.25">
      <c r="A17" s="4" t="s">
        <v>3</v>
      </c>
      <c r="B17" s="2" t="s">
        <v>55</v>
      </c>
      <c r="C17" s="7"/>
    </row>
    <row r="18" spans="1:11" x14ac:dyDescent="0.25">
      <c r="A18" s="10" t="s">
        <v>10</v>
      </c>
      <c r="B18" s="2" t="s">
        <v>31</v>
      </c>
      <c r="C18" s="7"/>
    </row>
    <row r="19" spans="1:11" x14ac:dyDescent="0.25">
      <c r="A19" s="4" t="s">
        <v>4</v>
      </c>
      <c r="B19" s="8">
        <v>1</v>
      </c>
      <c r="C19" s="7"/>
      <c r="D19" s="5"/>
    </row>
    <row r="20" spans="1:11" x14ac:dyDescent="0.25">
      <c r="A20" s="4" t="s">
        <v>6</v>
      </c>
      <c r="B20" s="2" t="s">
        <v>28</v>
      </c>
      <c r="C20" s="7"/>
      <c r="D20" s="5"/>
    </row>
    <row r="21" spans="1:11" x14ac:dyDescent="0.25">
      <c r="A21" s="4" t="s">
        <v>21</v>
      </c>
      <c r="B21" s="2" t="s">
        <v>225</v>
      </c>
      <c r="C21" s="7"/>
      <c r="D21" s="5"/>
    </row>
    <row r="22" spans="1:11" x14ac:dyDescent="0.25">
      <c r="A22" s="4" t="s">
        <v>8</v>
      </c>
      <c r="C22" s="7"/>
    </row>
    <row r="23" spans="1:11" x14ac:dyDescent="0.25">
      <c r="A23" s="4" t="s">
        <v>9</v>
      </c>
      <c r="B23" s="4" t="s">
        <v>10</v>
      </c>
      <c r="C23" s="9" t="s">
        <v>11</v>
      </c>
      <c r="D23" s="4" t="s">
        <v>6</v>
      </c>
      <c r="E23" s="4" t="s">
        <v>12</v>
      </c>
      <c r="F23" s="4" t="s">
        <v>13</v>
      </c>
      <c r="G23" s="4" t="s">
        <v>3</v>
      </c>
      <c r="H23" s="4" t="s">
        <v>5</v>
      </c>
      <c r="I23" s="4" t="s">
        <v>2</v>
      </c>
    </row>
    <row r="24" spans="1:11" x14ac:dyDescent="0.25">
      <c r="A24" s="2" t="s">
        <v>32</v>
      </c>
      <c r="B24" s="2" t="s">
        <v>31</v>
      </c>
      <c r="C24" s="17">
        <v>1</v>
      </c>
      <c r="D24" s="2" t="s">
        <v>28</v>
      </c>
      <c r="E24" s="2" t="s">
        <v>20</v>
      </c>
      <c r="G24" s="2" t="s">
        <v>55</v>
      </c>
      <c r="H24" s="2" t="s">
        <v>14</v>
      </c>
      <c r="I24" s="2" t="s">
        <v>226</v>
      </c>
    </row>
    <row r="25" spans="1:11" x14ac:dyDescent="0.25">
      <c r="A25" s="1" t="s">
        <v>34</v>
      </c>
      <c r="B25" s="1" t="s">
        <v>29</v>
      </c>
      <c r="C25" s="17">
        <f>'Carbon balance'!$B$20</f>
        <v>1.6659999999999999</v>
      </c>
      <c r="D25" s="2" t="s">
        <v>28</v>
      </c>
      <c r="E25" s="2" t="s">
        <v>20</v>
      </c>
      <c r="G25" s="2" t="s">
        <v>55</v>
      </c>
      <c r="H25" s="1" t="s">
        <v>24</v>
      </c>
      <c r="I25" s="1" t="s">
        <v>197</v>
      </c>
      <c r="J25" s="1"/>
      <c r="K25" s="1"/>
    </row>
    <row r="26" spans="1:11" x14ac:dyDescent="0.25">
      <c r="A26" s="1" t="s">
        <v>63</v>
      </c>
      <c r="B26" s="1" t="s">
        <v>61</v>
      </c>
      <c r="C26" s="17">
        <f>AVERAGE(0.15,0.3)*C25</f>
        <v>0.37484999999999996</v>
      </c>
      <c r="D26" s="1" t="s">
        <v>62</v>
      </c>
      <c r="E26" s="1" t="s">
        <v>23</v>
      </c>
      <c r="F26" s="1"/>
      <c r="G26" s="1" t="s">
        <v>55</v>
      </c>
      <c r="H26" s="1" t="s">
        <v>24</v>
      </c>
      <c r="I26" s="1" t="s">
        <v>198</v>
      </c>
      <c r="J26" s="1"/>
      <c r="K26" s="1"/>
    </row>
    <row r="27" spans="1:11" s="28" customFormat="1" x14ac:dyDescent="0.25">
      <c r="A27" s="1" t="s">
        <v>65</v>
      </c>
      <c r="B27" s="1" t="s">
        <v>66</v>
      </c>
      <c r="C27" s="7">
        <v>5.4000000000000001E-11</v>
      </c>
      <c r="D27" s="1" t="s">
        <v>6</v>
      </c>
      <c r="E27" s="1" t="s">
        <v>23</v>
      </c>
      <c r="F27" s="1"/>
      <c r="G27" s="1" t="s">
        <v>55</v>
      </c>
      <c r="H27" s="1" t="s">
        <v>24</v>
      </c>
      <c r="I27" s="27" t="s">
        <v>67</v>
      </c>
      <c r="J27" s="27"/>
      <c r="K27" s="27"/>
    </row>
    <row r="28" spans="1:11" s="28" customFormat="1" x14ac:dyDescent="0.25">
      <c r="A28" s="1" t="s">
        <v>69</v>
      </c>
      <c r="B28" s="17" t="s">
        <v>68</v>
      </c>
      <c r="C28" s="7">
        <v>1.4999999999999999E-4</v>
      </c>
      <c r="D28" s="1" t="s">
        <v>7</v>
      </c>
      <c r="E28" s="1" t="s">
        <v>23</v>
      </c>
      <c r="F28" s="1"/>
      <c r="G28" s="1" t="s">
        <v>55</v>
      </c>
      <c r="H28" s="1" t="s">
        <v>24</v>
      </c>
      <c r="I28" s="27" t="s">
        <v>67</v>
      </c>
      <c r="J28" s="27"/>
      <c r="K28" s="27"/>
    </row>
    <row r="29" spans="1:11" s="28" customFormat="1" x14ac:dyDescent="0.25">
      <c r="A29" s="1" t="s">
        <v>71</v>
      </c>
      <c r="B29" s="17" t="s">
        <v>70</v>
      </c>
      <c r="C29" s="30">
        <v>3.98E-6</v>
      </c>
      <c r="D29" s="1" t="s">
        <v>7</v>
      </c>
      <c r="E29" s="1" t="s">
        <v>23</v>
      </c>
      <c r="F29" s="1"/>
      <c r="G29" s="1" t="s">
        <v>15</v>
      </c>
      <c r="H29" s="1" t="s">
        <v>24</v>
      </c>
      <c r="I29" s="27" t="s">
        <v>67</v>
      </c>
      <c r="J29" s="27"/>
      <c r="K29" s="27"/>
    </row>
    <row r="30" spans="1:11" x14ac:dyDescent="0.25">
      <c r="A30" s="2" t="s">
        <v>25</v>
      </c>
      <c r="C30" s="17">
        <f>'Carbon balance'!$B$22</f>
        <v>1.304184784</v>
      </c>
      <c r="D30" s="2" t="s">
        <v>7</v>
      </c>
      <c r="E30" s="2" t="s">
        <v>16</v>
      </c>
      <c r="F30" s="12" t="s">
        <v>26</v>
      </c>
      <c r="H30" s="2" t="s">
        <v>17</v>
      </c>
      <c r="I30" s="1" t="s">
        <v>59</v>
      </c>
      <c r="K30" s="1"/>
    </row>
    <row r="31" spans="1:11" x14ac:dyDescent="0.25">
      <c r="A31" s="1" t="s">
        <v>54</v>
      </c>
      <c r="B31" s="3"/>
      <c r="C31" s="17">
        <f>'Carbon balance'!$B$21</f>
        <v>1.4334263999999999E-2</v>
      </c>
      <c r="D31" s="2" t="s">
        <v>7</v>
      </c>
      <c r="E31" s="2" t="s">
        <v>16</v>
      </c>
      <c r="F31" s="12" t="s">
        <v>26</v>
      </c>
      <c r="G31" s="1"/>
      <c r="H31" s="2" t="s">
        <v>17</v>
      </c>
      <c r="I31" s="1" t="s">
        <v>57</v>
      </c>
      <c r="J31" s="1"/>
      <c r="K31" s="1"/>
    </row>
    <row r="32" spans="1:11" s="28" customFormat="1" x14ac:dyDescent="0.25">
      <c r="A32" s="8" t="s">
        <v>72</v>
      </c>
      <c r="B32" s="2"/>
      <c r="C32" s="32">
        <v>4.8779999999999997E-2</v>
      </c>
      <c r="D32" s="1" t="s">
        <v>7</v>
      </c>
      <c r="E32" s="1" t="s">
        <v>16</v>
      </c>
      <c r="F32" s="8" t="s">
        <v>30</v>
      </c>
      <c r="G32" s="2"/>
      <c r="H32" s="2" t="s">
        <v>17</v>
      </c>
      <c r="I32" s="27" t="s">
        <v>67</v>
      </c>
    </row>
    <row r="33" spans="1:11" s="28" customFormat="1" x14ac:dyDescent="0.25">
      <c r="A33" s="8" t="s">
        <v>74</v>
      </c>
      <c r="B33" s="1"/>
      <c r="C33" s="32">
        <v>1.28</v>
      </c>
      <c r="D33" s="1" t="s">
        <v>73</v>
      </c>
      <c r="E33" s="1" t="s">
        <v>16</v>
      </c>
      <c r="F33" s="8" t="s">
        <v>26</v>
      </c>
      <c r="G33" s="1"/>
      <c r="H33" s="2" t="s">
        <v>17</v>
      </c>
      <c r="I33" s="27" t="s">
        <v>67</v>
      </c>
      <c r="J33" s="27"/>
      <c r="K33" s="27"/>
    </row>
    <row r="34" spans="1:11" s="28" customFormat="1" x14ac:dyDescent="0.25">
      <c r="A34" s="8" t="s">
        <v>75</v>
      </c>
      <c r="B34" s="1"/>
      <c r="C34" s="30">
        <v>6.5989999999999998E-6</v>
      </c>
      <c r="D34" s="1" t="s">
        <v>7</v>
      </c>
      <c r="E34" s="1" t="s">
        <v>16</v>
      </c>
      <c r="F34" s="8" t="s">
        <v>26</v>
      </c>
      <c r="G34" s="1"/>
      <c r="H34" s="2" t="s">
        <v>17</v>
      </c>
      <c r="I34" s="27" t="s">
        <v>67</v>
      </c>
      <c r="J34" s="27"/>
      <c r="K34" s="27"/>
    </row>
    <row r="35" spans="1:11" s="28" customFormat="1" x14ac:dyDescent="0.25">
      <c r="A35" s="8" t="s">
        <v>76</v>
      </c>
      <c r="B35" s="1"/>
      <c r="C35" s="30">
        <v>6.7000000000000002E-6</v>
      </c>
      <c r="D35" s="1" t="s">
        <v>7</v>
      </c>
      <c r="E35" s="1" t="s">
        <v>16</v>
      </c>
      <c r="F35" s="8" t="s">
        <v>26</v>
      </c>
      <c r="G35" s="1"/>
      <c r="H35" s="2" t="s">
        <v>17</v>
      </c>
      <c r="I35" s="27" t="s">
        <v>67</v>
      </c>
      <c r="J35" s="27"/>
      <c r="K35" s="27"/>
    </row>
    <row r="36" spans="1:11" s="6" customFormat="1" x14ac:dyDescent="0.25">
      <c r="C36" s="11"/>
    </row>
    <row r="37" spans="1:11" x14ac:dyDescent="0.25">
      <c r="A37" s="4" t="s">
        <v>1</v>
      </c>
      <c r="B37" s="4" t="s">
        <v>219</v>
      </c>
      <c r="C37" s="7"/>
    </row>
    <row r="38" spans="1:11" x14ac:dyDescent="0.25">
      <c r="A38" s="4" t="s">
        <v>2</v>
      </c>
      <c r="B38" s="2" t="s">
        <v>293</v>
      </c>
      <c r="C38" s="7"/>
    </row>
    <row r="39" spans="1:11" x14ac:dyDescent="0.25">
      <c r="A39" s="4" t="s">
        <v>3</v>
      </c>
      <c r="B39" s="2" t="s">
        <v>55</v>
      </c>
      <c r="C39" s="7"/>
    </row>
    <row r="40" spans="1:11" x14ac:dyDescent="0.25">
      <c r="A40" s="10" t="s">
        <v>10</v>
      </c>
      <c r="B40" s="2" t="s">
        <v>31</v>
      </c>
      <c r="C40" s="7"/>
    </row>
    <row r="41" spans="1:11" x14ac:dyDescent="0.25">
      <c r="A41" s="4" t="s">
        <v>4</v>
      </c>
      <c r="B41" s="8">
        <v>1</v>
      </c>
      <c r="C41" s="7"/>
      <c r="D41" s="5"/>
    </row>
    <row r="42" spans="1:11" x14ac:dyDescent="0.25">
      <c r="A42" s="4" t="s">
        <v>6</v>
      </c>
      <c r="B42" s="2" t="s">
        <v>28</v>
      </c>
      <c r="C42" s="7"/>
      <c r="D42" s="5"/>
    </row>
    <row r="43" spans="1:11" x14ac:dyDescent="0.25">
      <c r="A43" s="4" t="s">
        <v>21</v>
      </c>
      <c r="B43" s="2" t="s">
        <v>227</v>
      </c>
      <c r="C43" s="7"/>
      <c r="D43" s="5"/>
    </row>
    <row r="44" spans="1:11" x14ac:dyDescent="0.25">
      <c r="A44" s="4" t="s">
        <v>8</v>
      </c>
      <c r="C44" s="7"/>
    </row>
    <row r="45" spans="1:11" x14ac:dyDescent="0.25">
      <c r="A45" s="4" t="s">
        <v>9</v>
      </c>
      <c r="B45" s="4" t="s">
        <v>10</v>
      </c>
      <c r="C45" s="9" t="s">
        <v>11</v>
      </c>
      <c r="D45" s="4" t="s">
        <v>6</v>
      </c>
      <c r="E45" s="4" t="s">
        <v>12</v>
      </c>
      <c r="F45" s="4" t="s">
        <v>13</v>
      </c>
      <c r="G45" s="4" t="s">
        <v>3</v>
      </c>
      <c r="H45" s="4" t="s">
        <v>5</v>
      </c>
      <c r="I45" s="4" t="s">
        <v>2</v>
      </c>
    </row>
    <row r="46" spans="1:11" x14ac:dyDescent="0.25">
      <c r="A46" s="2" t="s">
        <v>219</v>
      </c>
      <c r="B46" s="2" t="s">
        <v>31</v>
      </c>
      <c r="C46" s="17">
        <v>1</v>
      </c>
      <c r="D46" s="2" t="s">
        <v>28</v>
      </c>
      <c r="E46" s="2" t="s">
        <v>20</v>
      </c>
      <c r="G46" s="2" t="s">
        <v>55</v>
      </c>
      <c r="H46" s="2" t="s">
        <v>14</v>
      </c>
      <c r="I46" s="2" t="s">
        <v>226</v>
      </c>
    </row>
    <row r="47" spans="1:11" x14ac:dyDescent="0.25">
      <c r="A47" s="1" t="s">
        <v>34</v>
      </c>
      <c r="B47" s="1" t="s">
        <v>29</v>
      </c>
      <c r="C47" s="17">
        <f>'Carbon balance'!$B$20</f>
        <v>1.6659999999999999</v>
      </c>
      <c r="D47" s="2" t="s">
        <v>28</v>
      </c>
      <c r="E47" s="2" t="s">
        <v>20</v>
      </c>
      <c r="G47" s="2" t="s">
        <v>55</v>
      </c>
      <c r="H47" s="1" t="s">
        <v>24</v>
      </c>
      <c r="I47" s="1" t="s">
        <v>197</v>
      </c>
      <c r="J47" s="1"/>
      <c r="K47" s="1"/>
    </row>
    <row r="48" spans="1:11" x14ac:dyDescent="0.25">
      <c r="A48" s="1" t="s">
        <v>77</v>
      </c>
      <c r="B48" s="1" t="s">
        <v>77</v>
      </c>
      <c r="C48" s="17">
        <f>'Carbon balance'!$B$24</f>
        <v>1.2781010883199999</v>
      </c>
      <c r="D48" s="2" t="s">
        <v>7</v>
      </c>
      <c r="E48" s="2" t="s">
        <v>23</v>
      </c>
      <c r="G48" s="2" t="s">
        <v>78</v>
      </c>
      <c r="H48" s="1" t="s">
        <v>24</v>
      </c>
      <c r="I48" s="1" t="s">
        <v>213</v>
      </c>
      <c r="J48" s="1"/>
      <c r="K48" s="1"/>
    </row>
    <row r="49" spans="1:11" x14ac:dyDescent="0.25">
      <c r="A49" s="1" t="s">
        <v>63</v>
      </c>
      <c r="B49" s="1" t="s">
        <v>61</v>
      </c>
      <c r="C49" s="17">
        <f>AVERAGE(0.15,0.3)*C47</f>
        <v>0.37484999999999996</v>
      </c>
      <c r="D49" s="1" t="s">
        <v>62</v>
      </c>
      <c r="E49" s="1" t="s">
        <v>23</v>
      </c>
      <c r="F49" s="1"/>
      <c r="G49" s="1" t="s">
        <v>55</v>
      </c>
      <c r="H49" s="1" t="s">
        <v>24</v>
      </c>
      <c r="I49" s="1" t="s">
        <v>64</v>
      </c>
      <c r="J49" s="1"/>
      <c r="K49" s="1"/>
    </row>
    <row r="50" spans="1:11" s="28" customFormat="1" x14ac:dyDescent="0.25">
      <c r="A50" s="1" t="s">
        <v>65</v>
      </c>
      <c r="B50" s="1" t="s">
        <v>66</v>
      </c>
      <c r="C50" s="7">
        <v>5.4000000000000001E-11</v>
      </c>
      <c r="D50" s="1" t="s">
        <v>6</v>
      </c>
      <c r="E50" s="1" t="s">
        <v>23</v>
      </c>
      <c r="F50" s="1"/>
      <c r="G50" s="1" t="s">
        <v>55</v>
      </c>
      <c r="H50" s="1" t="s">
        <v>24</v>
      </c>
      <c r="I50" s="27" t="s">
        <v>67</v>
      </c>
      <c r="J50" s="27"/>
      <c r="K50" s="27"/>
    </row>
    <row r="51" spans="1:11" s="28" customFormat="1" x14ac:dyDescent="0.25">
      <c r="A51" s="1" t="s">
        <v>69</v>
      </c>
      <c r="B51" s="17" t="s">
        <v>68</v>
      </c>
      <c r="C51" s="7">
        <v>1.4999999999999999E-4</v>
      </c>
      <c r="D51" s="1" t="s">
        <v>7</v>
      </c>
      <c r="E51" s="1" t="s">
        <v>23</v>
      </c>
      <c r="F51" s="1"/>
      <c r="G51" s="1" t="s">
        <v>55</v>
      </c>
      <c r="H51" s="1" t="s">
        <v>24</v>
      </c>
      <c r="I51" s="27" t="s">
        <v>67</v>
      </c>
      <c r="J51" s="27"/>
      <c r="K51" s="27"/>
    </row>
    <row r="52" spans="1:11" s="28" customFormat="1" x14ac:dyDescent="0.25">
      <c r="A52" s="1" t="s">
        <v>71</v>
      </c>
      <c r="B52" s="17" t="s">
        <v>70</v>
      </c>
      <c r="C52" s="30">
        <v>3.98E-6</v>
      </c>
      <c r="D52" s="1" t="s">
        <v>7</v>
      </c>
      <c r="E52" s="1" t="s">
        <v>23</v>
      </c>
      <c r="F52" s="1"/>
      <c r="G52" s="1" t="s">
        <v>15</v>
      </c>
      <c r="H52" s="1" t="s">
        <v>24</v>
      </c>
      <c r="I52" s="27" t="s">
        <v>67</v>
      </c>
      <c r="J52" s="27"/>
      <c r="K52" s="27"/>
    </row>
    <row r="53" spans="1:11" x14ac:dyDescent="0.25">
      <c r="A53" s="2" t="s">
        <v>25</v>
      </c>
      <c r="C53" s="17">
        <f>'Carbon balance'!$B$23</f>
        <v>2.6083695680000001E-2</v>
      </c>
      <c r="D53" s="2" t="s">
        <v>7</v>
      </c>
      <c r="E53" s="2" t="s">
        <v>16</v>
      </c>
      <c r="F53" s="8" t="s">
        <v>26</v>
      </c>
      <c r="H53" s="2" t="s">
        <v>17</v>
      </c>
      <c r="I53" s="1" t="s">
        <v>81</v>
      </c>
      <c r="K53" s="1"/>
    </row>
    <row r="54" spans="1:11" x14ac:dyDescent="0.25">
      <c r="A54" s="1" t="s">
        <v>54</v>
      </c>
      <c r="B54" s="3"/>
      <c r="C54" s="17">
        <f>'Carbon balance'!$B$21</f>
        <v>1.4334263999999999E-2</v>
      </c>
      <c r="D54" s="2" t="s">
        <v>7</v>
      </c>
      <c r="E54" s="2" t="s">
        <v>16</v>
      </c>
      <c r="F54" s="8" t="s">
        <v>26</v>
      </c>
      <c r="G54" s="1"/>
      <c r="H54" s="2" t="s">
        <v>17</v>
      </c>
      <c r="I54" s="1" t="s">
        <v>57</v>
      </c>
      <c r="J54" s="1"/>
      <c r="K54" s="1"/>
    </row>
    <row r="55" spans="1:11" s="28" customFormat="1" x14ac:dyDescent="0.25">
      <c r="A55" s="8" t="s">
        <v>72</v>
      </c>
      <c r="B55" s="2"/>
      <c r="C55" s="32">
        <v>4.8779999999999997E-2</v>
      </c>
      <c r="D55" s="1" t="s">
        <v>7</v>
      </c>
      <c r="E55" s="1" t="s">
        <v>16</v>
      </c>
      <c r="F55" s="8" t="s">
        <v>30</v>
      </c>
      <c r="G55" s="2"/>
      <c r="H55" s="2" t="s">
        <v>17</v>
      </c>
      <c r="I55" s="27" t="s">
        <v>67</v>
      </c>
    </row>
    <row r="56" spans="1:11" s="28" customFormat="1" x14ac:dyDescent="0.25">
      <c r="A56" s="8" t="s">
        <v>74</v>
      </c>
      <c r="B56" s="1"/>
      <c r="C56" s="32">
        <v>1.28</v>
      </c>
      <c r="D56" s="1" t="s">
        <v>73</v>
      </c>
      <c r="E56" s="1" t="s">
        <v>16</v>
      </c>
      <c r="F56" s="8" t="s">
        <v>26</v>
      </c>
      <c r="G56" s="1"/>
      <c r="H56" s="2" t="s">
        <v>17</v>
      </c>
      <c r="I56" s="27" t="s">
        <v>67</v>
      </c>
      <c r="J56" s="27"/>
      <c r="K56" s="27"/>
    </row>
    <row r="57" spans="1:11" s="28" customFormat="1" x14ac:dyDescent="0.25">
      <c r="A57" s="8" t="s">
        <v>75</v>
      </c>
      <c r="B57" s="1"/>
      <c r="C57" s="30">
        <v>6.5989999999999998E-6</v>
      </c>
      <c r="D57" s="1" t="s">
        <v>7</v>
      </c>
      <c r="E57" s="1" t="s">
        <v>16</v>
      </c>
      <c r="F57" s="8" t="s">
        <v>26</v>
      </c>
      <c r="G57" s="1"/>
      <c r="H57" s="2" t="s">
        <v>17</v>
      </c>
      <c r="I57" s="27" t="s">
        <v>67</v>
      </c>
      <c r="J57" s="27"/>
      <c r="K57" s="27"/>
    </row>
    <row r="58" spans="1:11" s="28" customFormat="1" x14ac:dyDescent="0.25">
      <c r="A58" s="8" t="s">
        <v>76</v>
      </c>
      <c r="B58" s="1"/>
      <c r="C58" s="30">
        <v>6.7000000000000002E-6</v>
      </c>
      <c r="D58" s="1" t="s">
        <v>7</v>
      </c>
      <c r="E58" s="1" t="s">
        <v>16</v>
      </c>
      <c r="F58" s="8" t="s">
        <v>26</v>
      </c>
      <c r="G58" s="1"/>
      <c r="H58" s="2" t="s">
        <v>17</v>
      </c>
      <c r="I58" s="27" t="s">
        <v>67</v>
      </c>
      <c r="J58" s="27"/>
      <c r="K58" s="2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7E099-2A67-4AEF-ABE0-77FE62B2DB19}">
  <dimension ref="A1:K37"/>
  <sheetViews>
    <sheetView zoomScale="70" zoomScaleNormal="70" workbookViewId="0">
      <selection activeCell="E59" sqref="E59"/>
    </sheetView>
  </sheetViews>
  <sheetFormatPr defaultColWidth="9.140625" defaultRowHeight="15" x14ac:dyDescent="0.25"/>
  <cols>
    <col min="1" max="1" width="70.28515625" style="2" bestFit="1" customWidth="1"/>
    <col min="2" max="2" width="25.85546875" style="2" customWidth="1"/>
    <col min="3" max="3" width="12.7109375" style="8" bestFit="1" customWidth="1"/>
    <col min="4" max="4" width="10.5703125" style="2" bestFit="1" customWidth="1"/>
    <col min="5" max="5" width="16.85546875" style="2" bestFit="1" customWidth="1"/>
    <col min="6" max="6" width="9.28515625" style="2" bestFit="1" customWidth="1"/>
    <col min="7" max="7" width="9.140625" style="2"/>
    <col min="8" max="8" width="10" style="2" bestFit="1" customWidth="1"/>
    <col min="9" max="16384" width="9.140625" style="2"/>
  </cols>
  <sheetData>
    <row r="1" spans="1:11" x14ac:dyDescent="0.25">
      <c r="A1" s="4" t="s">
        <v>1</v>
      </c>
      <c r="B1" s="4" t="s">
        <v>220</v>
      </c>
      <c r="C1" s="7"/>
    </row>
    <row r="2" spans="1:11" x14ac:dyDescent="0.25">
      <c r="A2" s="4" t="s">
        <v>2</v>
      </c>
      <c r="B2" s="2" t="s">
        <v>221</v>
      </c>
      <c r="C2" s="7"/>
    </row>
    <row r="3" spans="1:11" x14ac:dyDescent="0.25">
      <c r="A3" s="4" t="s">
        <v>3</v>
      </c>
      <c r="B3" s="2" t="s">
        <v>55</v>
      </c>
      <c r="C3" s="7"/>
    </row>
    <row r="4" spans="1:11" x14ac:dyDescent="0.25">
      <c r="A4" s="10" t="s">
        <v>10</v>
      </c>
      <c r="B4" s="2" t="s">
        <v>22</v>
      </c>
      <c r="C4" s="7"/>
    </row>
    <row r="5" spans="1:11" x14ac:dyDescent="0.25">
      <c r="A5" s="4" t="s">
        <v>4</v>
      </c>
      <c r="B5" s="8">
        <v>1</v>
      </c>
      <c r="C5" s="7"/>
      <c r="D5" s="5"/>
    </row>
    <row r="6" spans="1:11" x14ac:dyDescent="0.25">
      <c r="A6" s="4" t="s">
        <v>6</v>
      </c>
      <c r="B6" s="2" t="s">
        <v>7</v>
      </c>
      <c r="C6" s="7"/>
      <c r="D6" s="5"/>
    </row>
    <row r="7" spans="1:11" x14ac:dyDescent="0.25">
      <c r="A7" s="4" t="s">
        <v>21</v>
      </c>
      <c r="B7" s="2" t="s">
        <v>228</v>
      </c>
      <c r="C7" s="7"/>
      <c r="D7" s="5"/>
    </row>
    <row r="8" spans="1:11" x14ac:dyDescent="0.25">
      <c r="A8" s="4" t="s">
        <v>8</v>
      </c>
      <c r="C8" s="7"/>
    </row>
    <row r="9" spans="1:11" x14ac:dyDescent="0.25">
      <c r="A9" s="4" t="s">
        <v>9</v>
      </c>
      <c r="B9" s="4" t="s">
        <v>10</v>
      </c>
      <c r="C9" s="9" t="s">
        <v>11</v>
      </c>
      <c r="D9" s="4" t="s">
        <v>6</v>
      </c>
      <c r="E9" s="4" t="s">
        <v>12</v>
      </c>
      <c r="F9" s="4" t="s">
        <v>13</v>
      </c>
      <c r="G9" s="4" t="s">
        <v>3</v>
      </c>
      <c r="H9" s="4" t="s">
        <v>5</v>
      </c>
      <c r="I9" s="4" t="s">
        <v>2</v>
      </c>
    </row>
    <row r="10" spans="1:11" x14ac:dyDescent="0.25">
      <c r="A10" s="8" t="s">
        <v>220</v>
      </c>
      <c r="B10" s="1" t="s">
        <v>22</v>
      </c>
      <c r="C10" s="17">
        <v>1</v>
      </c>
      <c r="D10" s="1" t="s">
        <v>7</v>
      </c>
      <c r="E10" s="1" t="s">
        <v>20</v>
      </c>
      <c r="F10" s="8"/>
      <c r="G10" s="1" t="s">
        <v>55</v>
      </c>
      <c r="H10" s="2" t="s">
        <v>14</v>
      </c>
      <c r="I10" s="1"/>
      <c r="J10" s="1"/>
      <c r="K10" s="1"/>
    </row>
    <row r="11" spans="1:11" x14ac:dyDescent="0.25">
      <c r="A11" s="2" t="s">
        <v>185</v>
      </c>
      <c r="B11" s="8" t="s">
        <v>184</v>
      </c>
      <c r="C11" s="17">
        <v>1.69042316258351</v>
      </c>
      <c r="D11" s="2" t="s">
        <v>7</v>
      </c>
      <c r="E11" s="2" t="s">
        <v>23</v>
      </c>
      <c r="G11" s="2" t="s">
        <v>78</v>
      </c>
      <c r="H11" s="2" t="s">
        <v>24</v>
      </c>
      <c r="I11" s="2" t="s">
        <v>189</v>
      </c>
    </row>
    <row r="12" spans="1:11" x14ac:dyDescent="0.25">
      <c r="A12" s="2" t="s">
        <v>222</v>
      </c>
      <c r="B12" s="8" t="s">
        <v>192</v>
      </c>
      <c r="C12" s="17">
        <v>0.138975501113585</v>
      </c>
      <c r="D12" s="2" t="s">
        <v>7</v>
      </c>
      <c r="E12" s="2" t="s">
        <v>20</v>
      </c>
      <c r="G12" s="2" t="s">
        <v>55</v>
      </c>
      <c r="H12" s="2" t="s">
        <v>24</v>
      </c>
      <c r="I12" s="2" t="s">
        <v>189</v>
      </c>
    </row>
    <row r="13" spans="1:11" x14ac:dyDescent="0.25">
      <c r="A13" s="2" t="s">
        <v>87</v>
      </c>
      <c r="B13" s="8" t="s">
        <v>86</v>
      </c>
      <c r="C13" s="17">
        <v>0.30289532293986599</v>
      </c>
      <c r="D13" s="2" t="s">
        <v>62</v>
      </c>
      <c r="E13" s="2" t="s">
        <v>23</v>
      </c>
      <c r="G13" s="2" t="s">
        <v>55</v>
      </c>
      <c r="H13" s="2" t="s">
        <v>24</v>
      </c>
      <c r="I13" s="2" t="s">
        <v>189</v>
      </c>
    </row>
    <row r="14" spans="1:11" x14ac:dyDescent="0.25">
      <c r="A14" s="2" t="s">
        <v>175</v>
      </c>
      <c r="B14" s="8" t="s">
        <v>163</v>
      </c>
      <c r="C14" s="17">
        <v>3.5098030277376102</v>
      </c>
      <c r="D14" s="2" t="s">
        <v>73</v>
      </c>
      <c r="E14" s="2" t="s">
        <v>23</v>
      </c>
      <c r="G14" s="2" t="s">
        <v>55</v>
      </c>
      <c r="H14" s="2" t="s">
        <v>24</v>
      </c>
      <c r="I14" s="2" t="s">
        <v>188</v>
      </c>
    </row>
    <row r="15" spans="1:11" x14ac:dyDescent="0.25">
      <c r="A15" s="2" t="s">
        <v>176</v>
      </c>
      <c r="B15" s="8" t="s">
        <v>176</v>
      </c>
      <c r="C15" s="17">
        <f>12.4568278943278+12.89</f>
        <v>25.346827894327802</v>
      </c>
      <c r="D15" s="2" t="s">
        <v>6</v>
      </c>
      <c r="E15" s="2" t="s">
        <v>23</v>
      </c>
      <c r="G15" s="2" t="s">
        <v>55</v>
      </c>
      <c r="H15" s="2" t="s">
        <v>24</v>
      </c>
      <c r="I15" s="2" t="s">
        <v>190</v>
      </c>
    </row>
    <row r="16" spans="1:11" x14ac:dyDescent="0.25">
      <c r="A16" s="2" t="s">
        <v>179</v>
      </c>
      <c r="B16" s="8" t="s">
        <v>178</v>
      </c>
      <c r="C16" s="17">
        <v>68.819599109131403</v>
      </c>
      <c r="D16" s="2" t="s">
        <v>7</v>
      </c>
      <c r="E16" s="2" t="s">
        <v>23</v>
      </c>
      <c r="G16" s="2" t="s">
        <v>124</v>
      </c>
      <c r="H16" s="2" t="s">
        <v>24</v>
      </c>
      <c r="I16" s="2" t="s">
        <v>189</v>
      </c>
    </row>
    <row r="17" spans="1:9" x14ac:dyDescent="0.25">
      <c r="A17" s="2" t="s">
        <v>181</v>
      </c>
      <c r="B17" s="8" t="s">
        <v>180</v>
      </c>
      <c r="C17" s="7">
        <v>7.9287305122494408E-6</v>
      </c>
      <c r="D17" s="2" t="s">
        <v>7</v>
      </c>
      <c r="E17" s="2" t="s">
        <v>23</v>
      </c>
      <c r="G17" s="2" t="s">
        <v>15</v>
      </c>
      <c r="H17" s="2" t="s">
        <v>24</v>
      </c>
      <c r="I17" s="2" t="s">
        <v>189</v>
      </c>
    </row>
    <row r="18" spans="1:9" x14ac:dyDescent="0.25">
      <c r="A18" s="2" t="s">
        <v>130</v>
      </c>
      <c r="B18" s="8" t="s">
        <v>129</v>
      </c>
      <c r="C18" s="7">
        <v>2.11358574610245E-5</v>
      </c>
      <c r="D18" s="2" t="s">
        <v>7</v>
      </c>
      <c r="E18" s="2" t="s">
        <v>23</v>
      </c>
      <c r="G18" s="2" t="s">
        <v>15</v>
      </c>
      <c r="H18" s="2" t="s">
        <v>24</v>
      </c>
      <c r="I18" s="2" t="s">
        <v>189</v>
      </c>
    </row>
    <row r="19" spans="1:9" x14ac:dyDescent="0.25">
      <c r="A19" s="2" t="s">
        <v>183</v>
      </c>
      <c r="B19" s="8" t="s">
        <v>182</v>
      </c>
      <c r="C19" s="7">
        <v>3.9643652561247204E-6</v>
      </c>
      <c r="D19" s="2" t="s">
        <v>7</v>
      </c>
      <c r="E19" s="2" t="s">
        <v>23</v>
      </c>
      <c r="G19" s="2" t="s">
        <v>139</v>
      </c>
      <c r="H19" s="2" t="s">
        <v>24</v>
      </c>
      <c r="I19" s="2" t="s">
        <v>189</v>
      </c>
    </row>
    <row r="20" spans="1:9" x14ac:dyDescent="0.25">
      <c r="A20" s="2" t="s">
        <v>187</v>
      </c>
      <c r="B20" s="8" t="s">
        <v>186</v>
      </c>
      <c r="C20" s="17">
        <v>-6.8819599109131394E-2</v>
      </c>
      <c r="D20" s="2" t="s">
        <v>28</v>
      </c>
      <c r="E20" s="2" t="s">
        <v>23</v>
      </c>
      <c r="G20" s="2" t="s">
        <v>124</v>
      </c>
      <c r="H20" s="2" t="s">
        <v>24</v>
      </c>
      <c r="I20" s="2" t="s">
        <v>189</v>
      </c>
    </row>
    <row r="21" spans="1:9" x14ac:dyDescent="0.25">
      <c r="A21" s="8" t="s">
        <v>210</v>
      </c>
      <c r="C21" s="17">
        <v>0.132067588287306</v>
      </c>
      <c r="D21" s="2" t="s">
        <v>7</v>
      </c>
      <c r="E21" s="2" t="s">
        <v>16</v>
      </c>
      <c r="F21" s="2" t="s">
        <v>26</v>
      </c>
      <c r="H21" s="2" t="s">
        <v>17</v>
      </c>
      <c r="I21" s="2" t="s">
        <v>188</v>
      </c>
    </row>
    <row r="22" spans="1:9" x14ac:dyDescent="0.25">
      <c r="A22" s="8" t="s">
        <v>209</v>
      </c>
      <c r="C22" s="7">
        <v>1.66940631191109E-6</v>
      </c>
      <c r="D22" s="2" t="s">
        <v>7</v>
      </c>
      <c r="E22" s="2" t="s">
        <v>16</v>
      </c>
      <c r="F22" s="2" t="s">
        <v>26</v>
      </c>
      <c r="H22" s="2" t="s">
        <v>17</v>
      </c>
      <c r="I22" s="2" t="s">
        <v>188</v>
      </c>
    </row>
    <row r="23" spans="1:9" s="6" customFormat="1" x14ac:dyDescent="0.25">
      <c r="C23" s="11"/>
    </row>
    <row r="24" spans="1:9" x14ac:dyDescent="0.25">
      <c r="A24" s="4" t="s">
        <v>1</v>
      </c>
      <c r="B24" s="4" t="s">
        <v>222</v>
      </c>
      <c r="C24" s="7"/>
    </row>
    <row r="25" spans="1:9" x14ac:dyDescent="0.25">
      <c r="A25" s="4" t="s">
        <v>2</v>
      </c>
      <c r="B25" s="2" t="s">
        <v>191</v>
      </c>
      <c r="C25" s="7"/>
    </row>
    <row r="26" spans="1:9" x14ac:dyDescent="0.25">
      <c r="A26" s="4" t="s">
        <v>3</v>
      </c>
      <c r="B26" s="2" t="s">
        <v>55</v>
      </c>
      <c r="C26" s="7"/>
    </row>
    <row r="27" spans="1:9" x14ac:dyDescent="0.25">
      <c r="A27" s="10" t="s">
        <v>10</v>
      </c>
      <c r="B27" s="2" t="s">
        <v>192</v>
      </c>
      <c r="C27" s="7"/>
    </row>
    <row r="28" spans="1:9" x14ac:dyDescent="0.25">
      <c r="A28" s="4" t="s">
        <v>4</v>
      </c>
      <c r="B28" s="8">
        <v>1</v>
      </c>
      <c r="C28" s="7"/>
      <c r="D28" s="5"/>
    </row>
    <row r="29" spans="1:9" x14ac:dyDescent="0.25">
      <c r="A29" s="4" t="s">
        <v>6</v>
      </c>
      <c r="B29" s="2" t="s">
        <v>7</v>
      </c>
      <c r="C29" s="7"/>
      <c r="D29" s="5"/>
    </row>
    <row r="30" spans="1:9" x14ac:dyDescent="0.25">
      <c r="A30" s="4" t="s">
        <v>21</v>
      </c>
      <c r="B30" s="2" t="s">
        <v>229</v>
      </c>
      <c r="C30" s="7"/>
      <c r="D30" s="5"/>
    </row>
    <row r="31" spans="1:9" x14ac:dyDescent="0.25">
      <c r="A31" s="4" t="s">
        <v>8</v>
      </c>
      <c r="C31" s="7"/>
    </row>
    <row r="32" spans="1:9" x14ac:dyDescent="0.25">
      <c r="A32" s="4" t="s">
        <v>9</v>
      </c>
      <c r="B32" s="4" t="s">
        <v>10</v>
      </c>
      <c r="C32" s="9" t="s">
        <v>11</v>
      </c>
      <c r="D32" s="4" t="s">
        <v>6</v>
      </c>
      <c r="E32" s="4" t="s">
        <v>12</v>
      </c>
      <c r="F32" s="4" t="s">
        <v>13</v>
      </c>
      <c r="G32" s="4" t="s">
        <v>3</v>
      </c>
      <c r="H32" s="4" t="s">
        <v>5</v>
      </c>
      <c r="I32" s="4" t="s">
        <v>2</v>
      </c>
    </row>
    <row r="33" spans="1:9" x14ac:dyDescent="0.25">
      <c r="A33" s="8" t="s">
        <v>222</v>
      </c>
      <c r="B33" s="1" t="s">
        <v>192</v>
      </c>
      <c r="C33" s="17">
        <v>1</v>
      </c>
      <c r="D33" s="1" t="s">
        <v>7</v>
      </c>
      <c r="E33" s="1" t="s">
        <v>20</v>
      </c>
      <c r="F33" s="8"/>
      <c r="G33" s="1" t="s">
        <v>55</v>
      </c>
      <c r="H33" s="2" t="s">
        <v>14</v>
      </c>
      <c r="I33" s="1"/>
    </row>
    <row r="34" spans="1:9" x14ac:dyDescent="0.25">
      <c r="A34" s="2" t="s">
        <v>195</v>
      </c>
      <c r="B34" s="8" t="s">
        <v>196</v>
      </c>
      <c r="C34" s="8">
        <v>55.051000000000002</v>
      </c>
      <c r="D34" s="2" t="s">
        <v>62</v>
      </c>
      <c r="E34" s="2" t="s">
        <v>23</v>
      </c>
      <c r="G34" s="2" t="s">
        <v>83</v>
      </c>
      <c r="H34" s="2" t="s">
        <v>24</v>
      </c>
      <c r="I34" s="2" t="s">
        <v>177</v>
      </c>
    </row>
    <row r="35" spans="1:9" x14ac:dyDescent="0.25">
      <c r="A35" s="2" t="s">
        <v>193</v>
      </c>
      <c r="B35" s="8" t="s">
        <v>193</v>
      </c>
      <c r="C35" s="7">
        <v>3.2831536135045202E-7</v>
      </c>
      <c r="D35" s="2" t="s">
        <v>6</v>
      </c>
      <c r="E35" s="2" t="s">
        <v>23</v>
      </c>
      <c r="G35" s="2" t="s">
        <v>15</v>
      </c>
      <c r="H35" s="2" t="s">
        <v>24</v>
      </c>
      <c r="I35" s="2" t="s">
        <v>177</v>
      </c>
    </row>
    <row r="36" spans="1:9" x14ac:dyDescent="0.25">
      <c r="A36" s="2" t="s">
        <v>194</v>
      </c>
      <c r="B36" s="8" t="s">
        <v>194</v>
      </c>
      <c r="C36" s="7">
        <v>9.3804388957272199E-7</v>
      </c>
      <c r="D36" s="2" t="s">
        <v>6</v>
      </c>
      <c r="E36" s="2" t="s">
        <v>23</v>
      </c>
      <c r="G36" s="2" t="s">
        <v>15</v>
      </c>
      <c r="H36" s="2" t="s">
        <v>24</v>
      </c>
      <c r="I36" s="2" t="s">
        <v>177</v>
      </c>
    </row>
    <row r="37" spans="1:9" x14ac:dyDescent="0.25">
      <c r="A37" s="2" t="s">
        <v>136</v>
      </c>
      <c r="B37" s="8" t="s">
        <v>135</v>
      </c>
      <c r="C37" s="8">
        <v>12</v>
      </c>
      <c r="D37" s="2" t="s">
        <v>7</v>
      </c>
      <c r="E37" s="2" t="s">
        <v>23</v>
      </c>
      <c r="G37" s="2" t="s">
        <v>124</v>
      </c>
      <c r="H37" s="2" t="s">
        <v>24</v>
      </c>
      <c r="I37" s="2" t="s">
        <v>177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0307-E392-4DA4-B68C-E99B9058D4F2}">
  <dimension ref="A1:I88"/>
  <sheetViews>
    <sheetView zoomScale="70" zoomScaleNormal="70" workbookViewId="0">
      <selection activeCell="F22" sqref="F22"/>
    </sheetView>
  </sheetViews>
  <sheetFormatPr defaultRowHeight="15" x14ac:dyDescent="0.25"/>
  <cols>
    <col min="1" max="1" width="68" customWidth="1"/>
    <col min="2" max="2" width="36.140625" customWidth="1"/>
    <col min="3" max="3" width="10.5703125" bestFit="1" customWidth="1"/>
    <col min="4" max="4" width="13.5703125" bestFit="1" customWidth="1"/>
    <col min="5" max="5" width="14.42578125" customWidth="1"/>
    <col min="6" max="6" width="26" customWidth="1"/>
    <col min="7" max="7" width="8.140625" bestFit="1" customWidth="1"/>
    <col min="8" max="8" width="13.85546875" bestFit="1" customWidth="1"/>
  </cols>
  <sheetData>
    <row r="1" spans="1:9" s="2" customFormat="1" x14ac:dyDescent="0.25">
      <c r="A1" s="4" t="s">
        <v>1</v>
      </c>
      <c r="B1" s="4" t="s">
        <v>230</v>
      </c>
      <c r="C1" s="7"/>
    </row>
    <row r="2" spans="1:9" s="2" customFormat="1" x14ac:dyDescent="0.25">
      <c r="A2" s="4" t="s">
        <v>2</v>
      </c>
      <c r="B2" s="2" t="s">
        <v>205</v>
      </c>
      <c r="C2" s="7"/>
    </row>
    <row r="3" spans="1:9" s="2" customFormat="1" x14ac:dyDescent="0.25">
      <c r="A3" s="4" t="s">
        <v>3</v>
      </c>
      <c r="B3" s="2" t="s">
        <v>15</v>
      </c>
      <c r="C3" s="7"/>
    </row>
    <row r="4" spans="1:9" s="2" customFormat="1" x14ac:dyDescent="0.25">
      <c r="A4" s="10" t="s">
        <v>10</v>
      </c>
      <c r="B4" s="2" t="s">
        <v>202</v>
      </c>
      <c r="C4" s="7"/>
    </row>
    <row r="5" spans="1:9" s="2" customFormat="1" x14ac:dyDescent="0.25">
      <c r="A5" s="4" t="s">
        <v>4</v>
      </c>
      <c r="B5" s="8">
        <v>1</v>
      </c>
      <c r="C5" s="7"/>
      <c r="D5" s="5"/>
    </row>
    <row r="6" spans="1:9" s="2" customFormat="1" x14ac:dyDescent="0.25">
      <c r="A6" s="4" t="s">
        <v>6</v>
      </c>
      <c r="B6" s="2" t="s">
        <v>73</v>
      </c>
      <c r="C6" s="7"/>
      <c r="D6" s="5"/>
    </row>
    <row r="7" spans="1:9" s="2" customFormat="1" x14ac:dyDescent="0.25">
      <c r="A7" s="4" t="s">
        <v>21</v>
      </c>
      <c r="B7" s="2" t="s">
        <v>215</v>
      </c>
      <c r="C7" s="7"/>
      <c r="D7" s="5"/>
    </row>
    <row r="8" spans="1:9" s="2" customFormat="1" x14ac:dyDescent="0.25">
      <c r="A8" s="4" t="s">
        <v>8</v>
      </c>
      <c r="C8" s="7"/>
    </row>
    <row r="9" spans="1:9" s="2" customFormat="1" x14ac:dyDescent="0.25">
      <c r="A9" s="4" t="s">
        <v>9</v>
      </c>
      <c r="B9" s="4" t="s">
        <v>10</v>
      </c>
      <c r="C9" s="9" t="s">
        <v>11</v>
      </c>
      <c r="D9" s="4" t="s">
        <v>6</v>
      </c>
      <c r="E9" s="4" t="s">
        <v>12</v>
      </c>
      <c r="F9" s="4" t="s">
        <v>13</v>
      </c>
      <c r="G9" s="4" t="s">
        <v>3</v>
      </c>
      <c r="H9" s="4" t="s">
        <v>5</v>
      </c>
      <c r="I9" s="4" t="s">
        <v>2</v>
      </c>
    </row>
    <row r="10" spans="1:9" s="2" customFormat="1" x14ac:dyDescent="0.25">
      <c r="A10" s="2" t="s">
        <v>230</v>
      </c>
      <c r="B10" s="2" t="s">
        <v>202</v>
      </c>
      <c r="C10" s="17">
        <v>1</v>
      </c>
      <c r="D10" s="2" t="s">
        <v>73</v>
      </c>
      <c r="E10" s="2" t="s">
        <v>20</v>
      </c>
      <c r="G10" s="2" t="s">
        <v>15</v>
      </c>
      <c r="H10" s="2" t="s">
        <v>14</v>
      </c>
    </row>
    <row r="11" spans="1:9" s="28" customFormat="1" x14ac:dyDescent="0.25">
      <c r="A11" s="2" t="s">
        <v>201</v>
      </c>
      <c r="B11" s="2" t="s">
        <v>200</v>
      </c>
      <c r="C11" s="17">
        <v>2.7008047999999986E-2</v>
      </c>
      <c r="D11" s="2" t="s">
        <v>28</v>
      </c>
      <c r="E11" s="2" t="s">
        <v>23</v>
      </c>
      <c r="F11" s="2"/>
      <c r="G11" s="2" t="s">
        <v>15</v>
      </c>
      <c r="H11" s="2" t="s">
        <v>24</v>
      </c>
      <c r="I11" s="27" t="s">
        <v>208</v>
      </c>
    </row>
    <row r="12" spans="1:9" s="28" customFormat="1" x14ac:dyDescent="0.25">
      <c r="A12" s="2" t="s">
        <v>87</v>
      </c>
      <c r="B12" s="8" t="s">
        <v>86</v>
      </c>
      <c r="C12" s="17">
        <v>1.0882352941176501E-3</v>
      </c>
      <c r="D12" s="2" t="s">
        <v>62</v>
      </c>
      <c r="E12" s="2" t="s">
        <v>23</v>
      </c>
      <c r="F12" s="2"/>
      <c r="G12" s="2" t="s">
        <v>15</v>
      </c>
      <c r="H12" s="2" t="s">
        <v>24</v>
      </c>
      <c r="I12" s="27" t="s">
        <v>67</v>
      </c>
    </row>
    <row r="13" spans="1:9" s="2" customFormat="1" x14ac:dyDescent="0.25">
      <c r="A13" s="2" t="s">
        <v>207</v>
      </c>
      <c r="B13" s="8" t="s">
        <v>206</v>
      </c>
      <c r="C13" s="7">
        <v>2.74509803921569E-9</v>
      </c>
      <c r="D13" s="2" t="s">
        <v>6</v>
      </c>
      <c r="E13" s="2" t="s">
        <v>23</v>
      </c>
      <c r="G13" s="2" t="s">
        <v>15</v>
      </c>
      <c r="H13" s="2" t="s">
        <v>24</v>
      </c>
      <c r="I13" s="27" t="s">
        <v>67</v>
      </c>
    </row>
    <row r="14" spans="1:9" s="2" customFormat="1" x14ac:dyDescent="0.25">
      <c r="A14" s="2" t="s">
        <v>268</v>
      </c>
      <c r="B14" s="8" t="s">
        <v>241</v>
      </c>
      <c r="C14" s="7">
        <f>'Carbon balance'!B39</f>
        <v>4.9411764705882329E-2</v>
      </c>
      <c r="D14" s="2" t="s">
        <v>7</v>
      </c>
      <c r="E14" s="2" t="s">
        <v>20</v>
      </c>
      <c r="G14" s="2" t="s">
        <v>15</v>
      </c>
      <c r="H14" s="2" t="s">
        <v>24</v>
      </c>
      <c r="I14" s="1" t="s">
        <v>269</v>
      </c>
    </row>
    <row r="15" spans="1:9" s="28" customFormat="1" x14ac:dyDescent="0.25">
      <c r="A15" s="2" t="s">
        <v>210</v>
      </c>
      <c r="B15" s="2"/>
      <c r="C15" s="7">
        <f>'Carbon balance'!B40</f>
        <v>5.4901960784313683E-3</v>
      </c>
      <c r="D15" s="2" t="s">
        <v>7</v>
      </c>
      <c r="E15" s="2" t="s">
        <v>16</v>
      </c>
      <c r="F15" s="2" t="s">
        <v>211</v>
      </c>
      <c r="G15" s="2"/>
      <c r="H15" s="2" t="s">
        <v>17</v>
      </c>
      <c r="I15" s="27" t="s">
        <v>214</v>
      </c>
    </row>
    <row r="16" spans="1:9" s="28" customFormat="1" x14ac:dyDescent="0.25">
      <c r="A16" s="2" t="s">
        <v>204</v>
      </c>
      <c r="B16" s="2"/>
      <c r="C16" s="7">
        <v>1.9607843137254902E-6</v>
      </c>
      <c r="D16" s="2" t="s">
        <v>7</v>
      </c>
      <c r="E16" s="2" t="s">
        <v>16</v>
      </c>
      <c r="F16" s="2" t="s">
        <v>211</v>
      </c>
      <c r="G16" s="2"/>
      <c r="H16" s="2" t="s">
        <v>17</v>
      </c>
      <c r="I16" s="27" t="s">
        <v>67</v>
      </c>
    </row>
    <row r="17" spans="1:9" s="28" customFormat="1" x14ac:dyDescent="0.25">
      <c r="A17" s="2" t="s">
        <v>112</v>
      </c>
      <c r="B17" s="2"/>
      <c r="C17" s="7">
        <v>1.17647058823529E-6</v>
      </c>
      <c r="D17" s="2" t="s">
        <v>7</v>
      </c>
      <c r="E17" s="2" t="s">
        <v>16</v>
      </c>
      <c r="F17" s="2" t="s">
        <v>211</v>
      </c>
      <c r="G17" s="2"/>
      <c r="H17" s="2" t="s">
        <v>17</v>
      </c>
      <c r="I17" s="27" t="s">
        <v>67</v>
      </c>
    </row>
    <row r="18" spans="1:9" s="28" customFormat="1" x14ac:dyDescent="0.25">
      <c r="A18" s="2" t="s">
        <v>100</v>
      </c>
      <c r="B18" s="2"/>
      <c r="C18" s="7">
        <v>4.9019607843137299E-8</v>
      </c>
      <c r="D18" s="2" t="s">
        <v>7</v>
      </c>
      <c r="E18" s="2" t="s">
        <v>16</v>
      </c>
      <c r="F18" s="2" t="s">
        <v>117</v>
      </c>
      <c r="G18" s="2"/>
      <c r="H18" s="2" t="s">
        <v>17</v>
      </c>
      <c r="I18" s="27" t="s">
        <v>67</v>
      </c>
    </row>
    <row r="19" spans="1:9" s="28" customFormat="1" x14ac:dyDescent="0.25">
      <c r="A19" s="2" t="s">
        <v>114</v>
      </c>
      <c r="B19" s="2"/>
      <c r="C19" s="7">
        <v>9.8039215686274492E-10</v>
      </c>
      <c r="D19" s="2" t="s">
        <v>7</v>
      </c>
      <c r="E19" s="2" t="s">
        <v>16</v>
      </c>
      <c r="F19" s="2" t="s">
        <v>211</v>
      </c>
      <c r="G19" s="2"/>
      <c r="H19" s="2" t="s">
        <v>17</v>
      </c>
      <c r="I19" s="27" t="s">
        <v>67</v>
      </c>
    </row>
    <row r="20" spans="1:9" s="28" customFormat="1" x14ac:dyDescent="0.25">
      <c r="A20" s="2" t="s">
        <v>75</v>
      </c>
      <c r="B20" s="2"/>
      <c r="C20" s="7">
        <v>4.9019607843137296E-7</v>
      </c>
      <c r="D20" s="2" t="s">
        <v>7</v>
      </c>
      <c r="E20" s="2" t="s">
        <v>16</v>
      </c>
      <c r="F20" s="2" t="s">
        <v>211</v>
      </c>
      <c r="G20" s="2"/>
      <c r="H20" s="2" t="s">
        <v>17</v>
      </c>
      <c r="I20" s="27" t="s">
        <v>67</v>
      </c>
    </row>
    <row r="21" spans="1:9" s="28" customFormat="1" x14ac:dyDescent="0.25">
      <c r="A21" s="2" t="s">
        <v>209</v>
      </c>
      <c r="B21" s="2"/>
      <c r="C21" s="7">
        <v>2.8431372549019598E-6</v>
      </c>
      <c r="D21" s="2" t="s">
        <v>7</v>
      </c>
      <c r="E21" s="2" t="s">
        <v>16</v>
      </c>
      <c r="F21" s="2" t="s">
        <v>211</v>
      </c>
      <c r="G21" s="2"/>
      <c r="H21" s="2" t="s">
        <v>17</v>
      </c>
      <c r="I21" s="27" t="s">
        <v>67</v>
      </c>
    </row>
    <row r="22" spans="1:9" s="28" customFormat="1" x14ac:dyDescent="0.25">
      <c r="A22" s="2" t="s">
        <v>96</v>
      </c>
      <c r="B22" s="2"/>
      <c r="C22" s="7">
        <v>1.2745098039215701E-7</v>
      </c>
      <c r="D22" s="2" t="s">
        <v>7</v>
      </c>
      <c r="E22" s="2" t="s">
        <v>16</v>
      </c>
      <c r="F22" s="2" t="s">
        <v>117</v>
      </c>
      <c r="G22" s="2"/>
      <c r="H22" s="2" t="s">
        <v>17</v>
      </c>
      <c r="I22" s="27" t="s">
        <v>67</v>
      </c>
    </row>
    <row r="23" spans="1:9" s="28" customFormat="1" x14ac:dyDescent="0.25">
      <c r="A23" s="2" t="s">
        <v>108</v>
      </c>
      <c r="B23" s="2"/>
      <c r="C23" s="7">
        <v>2.9411764705882397E-11</v>
      </c>
      <c r="D23" s="2" t="s">
        <v>7</v>
      </c>
      <c r="E23" s="2" t="s">
        <v>16</v>
      </c>
      <c r="F23" s="2" t="s">
        <v>211</v>
      </c>
      <c r="G23" s="2"/>
      <c r="H23" s="2" t="s">
        <v>17</v>
      </c>
      <c r="I23" s="27" t="s">
        <v>67</v>
      </c>
    </row>
    <row r="24" spans="1:9" s="28" customFormat="1" x14ac:dyDescent="0.25">
      <c r="A24" s="2" t="s">
        <v>115</v>
      </c>
      <c r="B24" s="2"/>
      <c r="C24" s="7">
        <v>1.9607843137254901E-7</v>
      </c>
      <c r="D24" s="2" t="s">
        <v>7</v>
      </c>
      <c r="E24" s="2" t="s">
        <v>16</v>
      </c>
      <c r="F24" s="2" t="s">
        <v>211</v>
      </c>
      <c r="G24" s="2"/>
      <c r="H24" s="2" t="s">
        <v>17</v>
      </c>
      <c r="I24" s="27" t="s">
        <v>67</v>
      </c>
    </row>
    <row r="25" spans="1:9" s="28" customFormat="1" x14ac:dyDescent="0.25">
      <c r="A25" s="2" t="s">
        <v>105</v>
      </c>
      <c r="B25" s="2"/>
      <c r="C25" s="7">
        <v>4.9019607843137299E-8</v>
      </c>
      <c r="D25" s="2" t="s">
        <v>7</v>
      </c>
      <c r="E25" s="2" t="s">
        <v>16</v>
      </c>
      <c r="F25" s="2" t="s">
        <v>117</v>
      </c>
      <c r="G25" s="2"/>
      <c r="H25" s="2" t="s">
        <v>17</v>
      </c>
      <c r="I25" s="27" t="s">
        <v>67</v>
      </c>
    </row>
    <row r="26" spans="1:9" s="28" customFormat="1" x14ac:dyDescent="0.25">
      <c r="A26" s="2" t="s">
        <v>104</v>
      </c>
      <c r="B26" s="2"/>
      <c r="C26" s="7">
        <v>9.8039215686274506E-8</v>
      </c>
      <c r="D26" s="2" t="s">
        <v>7</v>
      </c>
      <c r="E26" s="2" t="s">
        <v>16</v>
      </c>
      <c r="F26" s="2" t="s">
        <v>211</v>
      </c>
      <c r="G26" s="2"/>
      <c r="H26" s="2" t="s">
        <v>17</v>
      </c>
      <c r="I26" s="27" t="s">
        <v>67</v>
      </c>
    </row>
    <row r="27" spans="1:9" s="28" customFormat="1" x14ac:dyDescent="0.25">
      <c r="A27" s="2" t="s">
        <v>111</v>
      </c>
      <c r="B27" s="2"/>
      <c r="C27" s="7">
        <v>1.4705882352941199E-7</v>
      </c>
      <c r="D27" s="2" t="s">
        <v>7</v>
      </c>
      <c r="E27" s="2" t="s">
        <v>16</v>
      </c>
      <c r="F27" s="2" t="s">
        <v>211</v>
      </c>
      <c r="G27" s="2"/>
      <c r="H27" s="2" t="s">
        <v>17</v>
      </c>
      <c r="I27" s="27" t="s">
        <v>67</v>
      </c>
    </row>
    <row r="28" spans="1:9" s="28" customFormat="1" x14ac:dyDescent="0.25">
      <c r="A28" s="2" t="s">
        <v>113</v>
      </c>
      <c r="B28" s="2"/>
      <c r="C28" s="7">
        <v>9.8039215686274492E-9</v>
      </c>
      <c r="D28" s="2" t="s">
        <v>7</v>
      </c>
      <c r="E28" s="2" t="s">
        <v>16</v>
      </c>
      <c r="F28" s="2" t="s">
        <v>211</v>
      </c>
      <c r="G28" s="2"/>
      <c r="H28" s="2" t="s">
        <v>17</v>
      </c>
      <c r="I28" s="27" t="s">
        <v>67</v>
      </c>
    </row>
    <row r="29" spans="1:9" s="28" customFormat="1" x14ac:dyDescent="0.25">
      <c r="A29" s="2" t="s">
        <v>106</v>
      </c>
      <c r="B29" s="2"/>
      <c r="C29" s="7">
        <v>4.9019607843137296E-7</v>
      </c>
      <c r="D29" s="2" t="s">
        <v>7</v>
      </c>
      <c r="E29" s="2" t="s">
        <v>16</v>
      </c>
      <c r="F29" s="2" t="s">
        <v>211</v>
      </c>
      <c r="G29" s="2"/>
      <c r="H29" s="2" t="s">
        <v>17</v>
      </c>
      <c r="I29" s="27" t="s">
        <v>67</v>
      </c>
    </row>
    <row r="30" spans="1:9" s="28" customFormat="1" x14ac:dyDescent="0.25">
      <c r="A30" s="2" t="s">
        <v>101</v>
      </c>
      <c r="B30" s="2"/>
      <c r="C30" s="7">
        <v>1.9607843137254898E-8</v>
      </c>
      <c r="D30" s="2" t="s">
        <v>7</v>
      </c>
      <c r="E30" s="2" t="s">
        <v>16</v>
      </c>
      <c r="F30" s="2" t="s">
        <v>211</v>
      </c>
      <c r="G30" s="2"/>
      <c r="H30" s="2" t="s">
        <v>17</v>
      </c>
      <c r="I30" s="27" t="s">
        <v>67</v>
      </c>
    </row>
    <row r="31" spans="1:9" s="28" customFormat="1" x14ac:dyDescent="0.25">
      <c r="A31" s="2" t="s">
        <v>97</v>
      </c>
      <c r="B31" s="2"/>
      <c r="C31" s="7">
        <v>9.8039215686274496E-12</v>
      </c>
      <c r="D31" s="2" t="s">
        <v>7</v>
      </c>
      <c r="E31" s="2" t="s">
        <v>16</v>
      </c>
      <c r="F31" s="2" t="s">
        <v>211</v>
      </c>
      <c r="G31" s="2"/>
      <c r="H31" s="2" t="s">
        <v>17</v>
      </c>
      <c r="I31" s="27" t="s">
        <v>67</v>
      </c>
    </row>
    <row r="32" spans="1:9" s="28" customFormat="1" x14ac:dyDescent="0.25">
      <c r="A32" s="2" t="s">
        <v>110</v>
      </c>
      <c r="B32" s="2"/>
      <c r="C32" s="7">
        <v>0</v>
      </c>
      <c r="D32" s="2" t="s">
        <v>7</v>
      </c>
      <c r="E32" s="2" t="s">
        <v>16</v>
      </c>
      <c r="F32" s="2" t="s">
        <v>211</v>
      </c>
      <c r="G32" s="2"/>
      <c r="H32" s="2" t="s">
        <v>17</v>
      </c>
      <c r="I32" s="27" t="s">
        <v>67</v>
      </c>
    </row>
    <row r="33" spans="1:9" s="28" customFormat="1" x14ac:dyDescent="0.25">
      <c r="A33" s="2" t="s">
        <v>98</v>
      </c>
      <c r="B33" s="2"/>
      <c r="C33" s="7">
        <v>2.9411764705882401E-9</v>
      </c>
      <c r="D33" s="2" t="s">
        <v>7</v>
      </c>
      <c r="E33" s="2" t="s">
        <v>16</v>
      </c>
      <c r="F33" s="2" t="s">
        <v>117</v>
      </c>
      <c r="G33" s="2"/>
      <c r="H33" s="2" t="s">
        <v>17</v>
      </c>
      <c r="I33" s="27" t="s">
        <v>67</v>
      </c>
    </row>
    <row r="34" spans="1:9" s="28" customFormat="1" x14ac:dyDescent="0.25">
      <c r="A34" s="2" t="s">
        <v>109</v>
      </c>
      <c r="B34" s="2"/>
      <c r="C34" s="7">
        <v>1.26470588235294E-5</v>
      </c>
      <c r="D34" s="2" t="s">
        <v>7</v>
      </c>
      <c r="E34" s="2" t="s">
        <v>16</v>
      </c>
      <c r="F34" s="2" t="s">
        <v>211</v>
      </c>
      <c r="G34" s="2"/>
      <c r="H34" s="2" t="s">
        <v>17</v>
      </c>
      <c r="I34" s="27" t="s">
        <v>67</v>
      </c>
    </row>
    <row r="35" spans="1:9" s="28" customFormat="1" x14ac:dyDescent="0.25">
      <c r="A35" s="2" t="s">
        <v>102</v>
      </c>
      <c r="B35" s="2"/>
      <c r="C35" s="7">
        <v>1.9607843137254901E-7</v>
      </c>
      <c r="D35" s="2" t="s">
        <v>7</v>
      </c>
      <c r="E35" s="2" t="s">
        <v>16</v>
      </c>
      <c r="F35" s="2" t="s">
        <v>211</v>
      </c>
      <c r="G35" s="2"/>
      <c r="H35" s="2" t="s">
        <v>17</v>
      </c>
      <c r="I35" s="27" t="s">
        <v>67</v>
      </c>
    </row>
    <row r="36" spans="1:9" s="28" customFormat="1" x14ac:dyDescent="0.25">
      <c r="A36" s="2" t="s">
        <v>107</v>
      </c>
      <c r="B36" s="2"/>
      <c r="C36" s="7">
        <v>9.8039215686274506E-8</v>
      </c>
      <c r="D36" s="2" t="s">
        <v>7</v>
      </c>
      <c r="E36" s="2" t="s">
        <v>16</v>
      </c>
      <c r="F36" s="2" t="s">
        <v>211</v>
      </c>
      <c r="G36" s="2"/>
      <c r="H36" s="2" t="s">
        <v>17</v>
      </c>
      <c r="I36" s="27" t="s">
        <v>67</v>
      </c>
    </row>
    <row r="37" spans="1:9" s="28" customFormat="1" x14ac:dyDescent="0.25">
      <c r="A37" s="2" t="s">
        <v>99</v>
      </c>
      <c r="B37" s="2"/>
      <c r="C37" s="7">
        <v>3.9215686274509802E-7</v>
      </c>
      <c r="D37" s="2" t="s">
        <v>7</v>
      </c>
      <c r="E37" s="2" t="s">
        <v>16</v>
      </c>
      <c r="F37" s="2" t="s">
        <v>211</v>
      </c>
      <c r="G37" s="2"/>
      <c r="H37" s="2" t="s">
        <v>17</v>
      </c>
      <c r="I37" s="27" t="s">
        <v>67</v>
      </c>
    </row>
    <row r="38" spans="1:9" s="28" customFormat="1" x14ac:dyDescent="0.25">
      <c r="A38" s="2" t="s">
        <v>116</v>
      </c>
      <c r="B38" s="2"/>
      <c r="C38" s="7">
        <v>6.8627450980392105E-7</v>
      </c>
      <c r="D38" s="2" t="s">
        <v>7</v>
      </c>
      <c r="E38" s="2" t="s">
        <v>16</v>
      </c>
      <c r="F38" s="2" t="s">
        <v>211</v>
      </c>
      <c r="G38" s="2"/>
      <c r="H38" s="2" t="s">
        <v>17</v>
      </c>
      <c r="I38" s="27" t="s">
        <v>67</v>
      </c>
    </row>
    <row r="39" spans="1:9" s="6" customFormat="1" x14ac:dyDescent="0.25">
      <c r="C39" s="11"/>
    </row>
    <row r="40" spans="1:9" x14ac:dyDescent="0.25">
      <c r="A40" s="4" t="s">
        <v>1</v>
      </c>
      <c r="B40" s="4" t="s">
        <v>268</v>
      </c>
      <c r="C40" s="7"/>
      <c r="D40" s="2"/>
      <c r="E40" s="2"/>
      <c r="F40" s="2"/>
      <c r="G40" s="2"/>
      <c r="H40" s="2"/>
      <c r="I40" s="2"/>
    </row>
    <row r="41" spans="1:9" x14ac:dyDescent="0.25">
      <c r="A41" s="4" t="s">
        <v>2</v>
      </c>
      <c r="B41" s="2" t="s">
        <v>264</v>
      </c>
      <c r="C41" s="7"/>
      <c r="D41" s="2"/>
      <c r="E41" s="2"/>
      <c r="F41" s="2"/>
      <c r="G41" s="2"/>
      <c r="H41" s="2"/>
      <c r="I41" s="2"/>
    </row>
    <row r="42" spans="1:9" x14ac:dyDescent="0.25">
      <c r="A42" s="4" t="s">
        <v>3</v>
      </c>
      <c r="B42" s="2" t="s">
        <v>15</v>
      </c>
      <c r="C42" s="7"/>
      <c r="D42" s="2"/>
      <c r="E42" s="2"/>
      <c r="F42" s="2"/>
      <c r="G42" s="2"/>
      <c r="H42" s="2"/>
      <c r="I42" s="2"/>
    </row>
    <row r="43" spans="1:9" x14ac:dyDescent="0.25">
      <c r="A43" s="10" t="s">
        <v>10</v>
      </c>
      <c r="B43" s="2" t="s">
        <v>241</v>
      </c>
      <c r="C43" s="7"/>
      <c r="D43" s="2"/>
      <c r="E43" s="2"/>
      <c r="F43" s="2"/>
      <c r="G43" s="2"/>
      <c r="H43" s="2"/>
      <c r="I43" s="2"/>
    </row>
    <row r="44" spans="1:9" x14ac:dyDescent="0.25">
      <c r="A44" s="4" t="s">
        <v>4</v>
      </c>
      <c r="B44" s="8">
        <v>1</v>
      </c>
      <c r="C44" s="7"/>
      <c r="D44" s="5"/>
      <c r="E44" s="2"/>
      <c r="F44" s="2"/>
      <c r="G44" s="2"/>
      <c r="H44" s="2"/>
      <c r="I44" s="2"/>
    </row>
    <row r="45" spans="1:9" x14ac:dyDescent="0.25">
      <c r="A45" s="4" t="s">
        <v>6</v>
      </c>
      <c r="B45" s="2" t="s">
        <v>7</v>
      </c>
      <c r="C45" s="7"/>
      <c r="D45" s="5"/>
      <c r="E45" s="2"/>
      <c r="F45" s="2"/>
      <c r="G45" s="2"/>
      <c r="H45" s="2"/>
      <c r="I45" s="2"/>
    </row>
    <row r="46" spans="1:9" x14ac:dyDescent="0.25">
      <c r="A46" s="4" t="s">
        <v>21</v>
      </c>
      <c r="B46" s="2" t="s">
        <v>265</v>
      </c>
      <c r="C46" s="7"/>
      <c r="D46" s="5"/>
      <c r="E46" s="2"/>
      <c r="F46" s="2"/>
      <c r="G46" s="2"/>
      <c r="H46" s="2"/>
      <c r="I46" s="2"/>
    </row>
    <row r="47" spans="1:9" x14ac:dyDescent="0.25">
      <c r="A47" s="4" t="s">
        <v>8</v>
      </c>
      <c r="B47" s="2"/>
      <c r="C47" s="7"/>
      <c r="D47" s="2"/>
      <c r="E47" s="2"/>
      <c r="F47" s="2"/>
      <c r="G47" s="2"/>
      <c r="H47" s="2"/>
      <c r="I47" s="2"/>
    </row>
    <row r="48" spans="1:9" x14ac:dyDescent="0.25">
      <c r="A48" s="4" t="s">
        <v>9</v>
      </c>
      <c r="B48" s="4" t="s">
        <v>10</v>
      </c>
      <c r="C48" s="9" t="s">
        <v>11</v>
      </c>
      <c r="D48" s="4" t="s">
        <v>6</v>
      </c>
      <c r="E48" s="4" t="s">
        <v>12</v>
      </c>
      <c r="F48" s="4" t="s">
        <v>13</v>
      </c>
      <c r="G48" s="4" t="s">
        <v>3</v>
      </c>
      <c r="H48" s="4" t="s">
        <v>5</v>
      </c>
      <c r="I48" s="4" t="s">
        <v>2</v>
      </c>
    </row>
    <row r="49" spans="1:9" x14ac:dyDescent="0.25">
      <c r="A49" t="s">
        <v>268</v>
      </c>
      <c r="B49" t="s">
        <v>241</v>
      </c>
      <c r="C49" s="17">
        <v>1</v>
      </c>
      <c r="D49" t="s">
        <v>7</v>
      </c>
      <c r="E49" s="2" t="s">
        <v>20</v>
      </c>
      <c r="G49" t="s">
        <v>15</v>
      </c>
      <c r="H49" t="s">
        <v>14</v>
      </c>
    </row>
    <row r="50" spans="1:9" x14ac:dyDescent="0.25">
      <c r="A50" t="s">
        <v>258</v>
      </c>
      <c r="B50" t="s">
        <v>258</v>
      </c>
      <c r="C50" s="17">
        <v>1</v>
      </c>
      <c r="D50" t="s">
        <v>7</v>
      </c>
      <c r="E50" t="s">
        <v>23</v>
      </c>
      <c r="G50" t="s">
        <v>203</v>
      </c>
      <c r="H50" t="s">
        <v>24</v>
      </c>
      <c r="I50" s="1" t="s">
        <v>259</v>
      </c>
    </row>
    <row r="51" spans="1:9" x14ac:dyDescent="0.25">
      <c r="A51" s="2" t="s">
        <v>87</v>
      </c>
      <c r="B51" s="8" t="s">
        <v>86</v>
      </c>
      <c r="C51" s="23">
        <v>0.38400000000000001</v>
      </c>
      <c r="D51" t="s">
        <v>62</v>
      </c>
      <c r="E51" t="s">
        <v>23</v>
      </c>
      <c r="G51" t="s">
        <v>15</v>
      </c>
      <c r="H51" t="s">
        <v>24</v>
      </c>
      <c r="I51" t="s">
        <v>292</v>
      </c>
    </row>
    <row r="52" spans="1:9" x14ac:dyDescent="0.25">
      <c r="A52" t="s">
        <v>251</v>
      </c>
      <c r="B52" s="17" t="s">
        <v>250</v>
      </c>
      <c r="C52" s="46">
        <v>2.8400000000000002E-4</v>
      </c>
      <c r="D52" t="s">
        <v>7</v>
      </c>
      <c r="E52" t="s">
        <v>23</v>
      </c>
      <c r="G52" t="s">
        <v>15</v>
      </c>
      <c r="H52" t="s">
        <v>24</v>
      </c>
      <c r="I52" t="s">
        <v>260</v>
      </c>
    </row>
    <row r="53" spans="1:9" x14ac:dyDescent="0.25">
      <c r="A53" t="s">
        <v>255</v>
      </c>
      <c r="B53" s="17" t="s">
        <v>254</v>
      </c>
      <c r="C53" s="46">
        <v>3.0400000000000002E-4</v>
      </c>
      <c r="D53" t="s">
        <v>7</v>
      </c>
      <c r="E53" t="s">
        <v>23</v>
      </c>
      <c r="G53" t="s">
        <v>15</v>
      </c>
      <c r="H53" t="s">
        <v>24</v>
      </c>
      <c r="I53" t="s">
        <v>260</v>
      </c>
    </row>
    <row r="54" spans="1:9" x14ac:dyDescent="0.25">
      <c r="A54" t="s">
        <v>261</v>
      </c>
      <c r="B54" s="17" t="s">
        <v>262</v>
      </c>
      <c r="C54" s="46">
        <v>8.2600000000000002E-5</v>
      </c>
      <c r="D54" t="s">
        <v>7</v>
      </c>
      <c r="E54" t="s">
        <v>23</v>
      </c>
      <c r="G54" t="s">
        <v>15</v>
      </c>
      <c r="H54" t="s">
        <v>24</v>
      </c>
      <c r="I54" t="s">
        <v>263</v>
      </c>
    </row>
    <row r="55" spans="1:9" x14ac:dyDescent="0.25">
      <c r="A55" t="s">
        <v>243</v>
      </c>
      <c r="B55" s="17" t="s">
        <v>242</v>
      </c>
      <c r="C55" s="46">
        <v>8.2699999999999996E-11</v>
      </c>
      <c r="D55" t="s">
        <v>6</v>
      </c>
      <c r="E55" t="s">
        <v>23</v>
      </c>
      <c r="G55" t="s">
        <v>83</v>
      </c>
      <c r="H55" t="s">
        <v>24</v>
      </c>
    </row>
    <row r="56" spans="1:9" x14ac:dyDescent="0.25">
      <c r="A56" t="s">
        <v>245</v>
      </c>
      <c r="B56" s="17" t="s">
        <v>244</v>
      </c>
      <c r="C56" s="46">
        <v>7.4400000000000002E-10</v>
      </c>
      <c r="D56" t="s">
        <v>6</v>
      </c>
      <c r="E56" t="s">
        <v>23</v>
      </c>
      <c r="G56" t="s">
        <v>15</v>
      </c>
      <c r="H56" t="s">
        <v>24</v>
      </c>
    </row>
    <row r="57" spans="1:9" x14ac:dyDescent="0.25">
      <c r="A57" t="s">
        <v>247</v>
      </c>
      <c r="B57" s="17" t="s">
        <v>246</v>
      </c>
      <c r="C57" s="46">
        <v>3.3099999999999999E-10</v>
      </c>
      <c r="D57" t="s">
        <v>6</v>
      </c>
      <c r="E57" t="s">
        <v>23</v>
      </c>
      <c r="G57" t="s">
        <v>15</v>
      </c>
      <c r="H57" t="s">
        <v>24</v>
      </c>
    </row>
    <row r="58" spans="1:9" x14ac:dyDescent="0.25">
      <c r="A58" t="s">
        <v>249</v>
      </c>
      <c r="B58" s="17" t="s">
        <v>248</v>
      </c>
      <c r="C58" s="46">
        <v>5.1400000000000003E-12</v>
      </c>
      <c r="D58" t="s">
        <v>6</v>
      </c>
      <c r="E58" t="s">
        <v>23</v>
      </c>
      <c r="G58" t="s">
        <v>15</v>
      </c>
      <c r="H58" t="s">
        <v>24</v>
      </c>
    </row>
    <row r="59" spans="1:9" x14ac:dyDescent="0.25">
      <c r="A59" t="s">
        <v>253</v>
      </c>
      <c r="B59" s="17" t="s">
        <v>252</v>
      </c>
      <c r="C59" s="46">
        <v>5.7899999999999997E-10</v>
      </c>
      <c r="D59" t="s">
        <v>6</v>
      </c>
      <c r="E59" t="s">
        <v>23</v>
      </c>
      <c r="G59" t="s">
        <v>15</v>
      </c>
      <c r="H59" t="s">
        <v>24</v>
      </c>
    </row>
    <row r="60" spans="1:9" x14ac:dyDescent="0.25">
      <c r="A60" t="s">
        <v>257</v>
      </c>
      <c r="B60" t="s">
        <v>256</v>
      </c>
      <c r="C60" s="46">
        <v>-2.2699999999999999E-4</v>
      </c>
      <c r="D60" t="s">
        <v>7</v>
      </c>
      <c r="E60" t="s">
        <v>23</v>
      </c>
      <c r="G60" t="s">
        <v>83</v>
      </c>
      <c r="H60" t="s">
        <v>24</v>
      </c>
    </row>
    <row r="61" spans="1:9" x14ac:dyDescent="0.25">
      <c r="A61" t="s">
        <v>266</v>
      </c>
      <c r="C61" s="46">
        <v>1.2300000000000001E-4</v>
      </c>
      <c r="D61" t="s">
        <v>7</v>
      </c>
      <c r="E61" t="s">
        <v>16</v>
      </c>
      <c r="F61" s="2" t="s">
        <v>211</v>
      </c>
      <c r="H61" t="s">
        <v>17</v>
      </c>
    </row>
    <row r="62" spans="1:9" x14ac:dyDescent="0.25">
      <c r="A62" t="s">
        <v>267</v>
      </c>
      <c r="C62" s="46">
        <v>6.0000000000000002E-6</v>
      </c>
      <c r="D62" t="s">
        <v>7</v>
      </c>
      <c r="E62" t="s">
        <v>16</v>
      </c>
      <c r="F62" s="2" t="s">
        <v>211</v>
      </c>
      <c r="H62" t="s">
        <v>17</v>
      </c>
    </row>
    <row r="63" spans="1:9" x14ac:dyDescent="0.25">
      <c r="A63" t="s">
        <v>145</v>
      </c>
      <c r="C63" s="46">
        <v>8.3199999999999996E-2</v>
      </c>
      <c r="D63" t="s">
        <v>28</v>
      </c>
      <c r="E63" t="s">
        <v>16</v>
      </c>
      <c r="F63" t="s">
        <v>158</v>
      </c>
      <c r="H63" t="s">
        <v>17</v>
      </c>
    </row>
    <row r="64" spans="1:9" s="6" customFormat="1" x14ac:dyDescent="0.25">
      <c r="C64" s="11"/>
    </row>
    <row r="65" spans="1:9" x14ac:dyDescent="0.25">
      <c r="A65" s="4" t="s">
        <v>1</v>
      </c>
      <c r="B65" s="4" t="s">
        <v>289</v>
      </c>
      <c r="C65" s="7"/>
      <c r="D65" s="2"/>
      <c r="E65" s="2"/>
      <c r="F65" s="2"/>
      <c r="G65" s="2"/>
      <c r="H65" s="2"/>
      <c r="I65" s="2"/>
    </row>
    <row r="66" spans="1:9" x14ac:dyDescent="0.25">
      <c r="A66" s="4" t="s">
        <v>2</v>
      </c>
      <c r="B66" s="2" t="s">
        <v>290</v>
      </c>
      <c r="C66" s="7"/>
      <c r="D66" s="2"/>
      <c r="E66" s="2"/>
      <c r="F66" s="2"/>
      <c r="G66" s="2"/>
      <c r="H66" s="2"/>
      <c r="I66" s="2"/>
    </row>
    <row r="67" spans="1:9" x14ac:dyDescent="0.25">
      <c r="A67" s="4" t="s">
        <v>3</v>
      </c>
      <c r="B67" s="2" t="s">
        <v>55</v>
      </c>
      <c r="C67" s="7"/>
      <c r="D67" s="2"/>
      <c r="E67" s="2"/>
      <c r="F67" s="2"/>
      <c r="G67" s="2"/>
      <c r="H67" s="2"/>
      <c r="I67" s="2"/>
    </row>
    <row r="68" spans="1:9" x14ac:dyDescent="0.25">
      <c r="A68" s="10" t="s">
        <v>10</v>
      </c>
      <c r="B68" s="2" t="s">
        <v>241</v>
      </c>
      <c r="C68" s="7"/>
      <c r="D68" s="2"/>
      <c r="E68" s="2"/>
      <c r="F68" s="2"/>
      <c r="G68" s="2"/>
      <c r="H68" s="2"/>
      <c r="I68" s="2"/>
    </row>
    <row r="69" spans="1:9" x14ac:dyDescent="0.25">
      <c r="A69" s="4" t="s">
        <v>4</v>
      </c>
      <c r="B69" s="8">
        <v>1</v>
      </c>
      <c r="C69" s="7"/>
      <c r="D69" s="5"/>
      <c r="E69" s="2"/>
      <c r="F69" s="2"/>
      <c r="G69" s="2"/>
      <c r="H69" s="2"/>
      <c r="I69" s="2"/>
    </row>
    <row r="70" spans="1:9" x14ac:dyDescent="0.25">
      <c r="A70" s="4" t="s">
        <v>6</v>
      </c>
      <c r="B70" s="2" t="s">
        <v>7</v>
      </c>
      <c r="C70" s="7"/>
      <c r="D70" s="5"/>
      <c r="E70" s="2"/>
      <c r="F70" s="2"/>
      <c r="G70" s="2"/>
      <c r="H70" s="2"/>
      <c r="I70" s="2"/>
    </row>
    <row r="71" spans="1:9" x14ac:dyDescent="0.25">
      <c r="A71" s="4" t="s">
        <v>21</v>
      </c>
      <c r="B71" s="2" t="s">
        <v>265</v>
      </c>
      <c r="C71" s="7"/>
      <c r="D71" s="5"/>
      <c r="E71" s="2"/>
      <c r="F71" s="2"/>
      <c r="G71" s="2"/>
      <c r="H71" s="2"/>
      <c r="I71" s="2"/>
    </row>
    <row r="72" spans="1:9" x14ac:dyDescent="0.25">
      <c r="A72" s="4" t="s">
        <v>8</v>
      </c>
      <c r="B72" s="2"/>
      <c r="C72" s="7"/>
      <c r="D72" s="2"/>
      <c r="E72" s="2"/>
      <c r="F72" s="2"/>
      <c r="G72" s="2"/>
      <c r="H72" s="2"/>
      <c r="I72" s="2"/>
    </row>
    <row r="73" spans="1:9" x14ac:dyDescent="0.25">
      <c r="A73" s="4" t="s">
        <v>9</v>
      </c>
      <c r="B73" s="4" t="s">
        <v>10</v>
      </c>
      <c r="C73" s="9" t="s">
        <v>11</v>
      </c>
      <c r="D73" s="4" t="s">
        <v>6</v>
      </c>
      <c r="E73" s="4" t="s">
        <v>12</v>
      </c>
      <c r="F73" s="4" t="s">
        <v>13</v>
      </c>
      <c r="G73" s="4" t="s">
        <v>3</v>
      </c>
      <c r="H73" s="4" t="s">
        <v>5</v>
      </c>
      <c r="I73" s="4" t="s">
        <v>2</v>
      </c>
    </row>
    <row r="74" spans="1:9" x14ac:dyDescent="0.25">
      <c r="A74" t="s">
        <v>289</v>
      </c>
      <c r="B74" t="s">
        <v>241</v>
      </c>
      <c r="C74" s="17">
        <v>1</v>
      </c>
      <c r="D74" t="s">
        <v>7</v>
      </c>
      <c r="E74" s="2" t="s">
        <v>20</v>
      </c>
      <c r="G74" t="s">
        <v>55</v>
      </c>
      <c r="H74" t="s">
        <v>14</v>
      </c>
    </row>
    <row r="75" spans="1:9" x14ac:dyDescent="0.25">
      <c r="A75" t="s">
        <v>258</v>
      </c>
      <c r="B75" t="s">
        <v>258</v>
      </c>
      <c r="C75" s="17">
        <v>1</v>
      </c>
      <c r="D75" t="s">
        <v>7</v>
      </c>
      <c r="E75" t="s">
        <v>23</v>
      </c>
      <c r="G75" t="s">
        <v>78</v>
      </c>
      <c r="H75" t="s">
        <v>24</v>
      </c>
      <c r="I75" s="1" t="s">
        <v>259</v>
      </c>
    </row>
    <row r="76" spans="1:9" x14ac:dyDescent="0.25">
      <c r="A76" s="2" t="s">
        <v>87</v>
      </c>
      <c r="B76" s="8" t="s">
        <v>86</v>
      </c>
      <c r="C76" s="23">
        <v>0.38400000000000001</v>
      </c>
      <c r="D76" t="s">
        <v>62</v>
      </c>
      <c r="E76" t="s">
        <v>23</v>
      </c>
      <c r="G76" t="s">
        <v>55</v>
      </c>
      <c r="H76" t="s">
        <v>24</v>
      </c>
      <c r="I76" t="s">
        <v>292</v>
      </c>
    </row>
    <row r="77" spans="1:9" x14ac:dyDescent="0.25">
      <c r="A77" t="s">
        <v>251</v>
      </c>
      <c r="B77" s="17" t="s">
        <v>250</v>
      </c>
      <c r="C77" s="46">
        <v>2.8400000000000002E-4</v>
      </c>
      <c r="D77" t="s">
        <v>7</v>
      </c>
      <c r="E77" t="s">
        <v>23</v>
      </c>
      <c r="G77" t="s">
        <v>15</v>
      </c>
      <c r="H77" t="s">
        <v>24</v>
      </c>
      <c r="I77" t="s">
        <v>260</v>
      </c>
    </row>
    <row r="78" spans="1:9" x14ac:dyDescent="0.25">
      <c r="A78" t="s">
        <v>255</v>
      </c>
      <c r="B78" s="17" t="s">
        <v>254</v>
      </c>
      <c r="C78" s="46">
        <v>3.0400000000000002E-4</v>
      </c>
      <c r="D78" t="s">
        <v>7</v>
      </c>
      <c r="E78" t="s">
        <v>23</v>
      </c>
      <c r="G78" t="s">
        <v>15</v>
      </c>
      <c r="H78" t="s">
        <v>24</v>
      </c>
      <c r="I78" t="s">
        <v>260</v>
      </c>
    </row>
    <row r="79" spans="1:9" x14ac:dyDescent="0.25">
      <c r="A79" t="s">
        <v>261</v>
      </c>
      <c r="B79" s="17" t="s">
        <v>262</v>
      </c>
      <c r="C79" s="46">
        <v>8.2600000000000002E-5</v>
      </c>
      <c r="D79" t="s">
        <v>7</v>
      </c>
      <c r="E79" t="s">
        <v>23</v>
      </c>
      <c r="G79" t="s">
        <v>15</v>
      </c>
      <c r="H79" t="s">
        <v>24</v>
      </c>
      <c r="I79" t="s">
        <v>263</v>
      </c>
    </row>
    <row r="80" spans="1:9" x14ac:dyDescent="0.25">
      <c r="A80" t="s">
        <v>243</v>
      </c>
      <c r="B80" s="17" t="s">
        <v>242</v>
      </c>
      <c r="C80" s="46">
        <v>8.2699999999999996E-11</v>
      </c>
      <c r="D80" t="s">
        <v>6</v>
      </c>
      <c r="E80" t="s">
        <v>23</v>
      </c>
      <c r="G80" t="s">
        <v>55</v>
      </c>
      <c r="H80" t="s">
        <v>24</v>
      </c>
    </row>
    <row r="81" spans="1:8" x14ac:dyDescent="0.25">
      <c r="A81" t="s">
        <v>245</v>
      </c>
      <c r="B81" s="17" t="s">
        <v>244</v>
      </c>
      <c r="C81" s="46">
        <v>7.4400000000000002E-10</v>
      </c>
      <c r="D81" t="s">
        <v>6</v>
      </c>
      <c r="E81" t="s">
        <v>23</v>
      </c>
      <c r="G81" t="s">
        <v>15</v>
      </c>
      <c r="H81" t="s">
        <v>24</v>
      </c>
    </row>
    <row r="82" spans="1:8" x14ac:dyDescent="0.25">
      <c r="A82" t="s">
        <v>247</v>
      </c>
      <c r="B82" s="17" t="s">
        <v>246</v>
      </c>
      <c r="C82" s="46">
        <v>3.3099999999999999E-10</v>
      </c>
      <c r="D82" t="s">
        <v>6</v>
      </c>
      <c r="E82" t="s">
        <v>23</v>
      </c>
      <c r="G82" t="s">
        <v>15</v>
      </c>
      <c r="H82" t="s">
        <v>24</v>
      </c>
    </row>
    <row r="83" spans="1:8" x14ac:dyDescent="0.25">
      <c r="A83" t="s">
        <v>249</v>
      </c>
      <c r="B83" s="17" t="s">
        <v>248</v>
      </c>
      <c r="C83" s="46">
        <v>5.1400000000000003E-12</v>
      </c>
      <c r="D83" t="s">
        <v>6</v>
      </c>
      <c r="E83" t="s">
        <v>23</v>
      </c>
      <c r="G83" t="s">
        <v>15</v>
      </c>
      <c r="H83" t="s">
        <v>24</v>
      </c>
    </row>
    <row r="84" spans="1:8" x14ac:dyDescent="0.25">
      <c r="A84" t="s">
        <v>253</v>
      </c>
      <c r="B84" s="17" t="s">
        <v>252</v>
      </c>
      <c r="C84" s="46">
        <v>5.7899999999999997E-10</v>
      </c>
      <c r="D84" t="s">
        <v>6</v>
      </c>
      <c r="E84" t="s">
        <v>23</v>
      </c>
      <c r="G84" t="s">
        <v>15</v>
      </c>
      <c r="H84" t="s">
        <v>24</v>
      </c>
    </row>
    <row r="85" spans="1:8" x14ac:dyDescent="0.25">
      <c r="A85" t="s">
        <v>257</v>
      </c>
      <c r="B85" t="s">
        <v>256</v>
      </c>
      <c r="C85" s="46">
        <v>-2.2699999999999999E-4</v>
      </c>
      <c r="D85" t="s">
        <v>7</v>
      </c>
      <c r="E85" t="s">
        <v>23</v>
      </c>
      <c r="G85" t="s">
        <v>124</v>
      </c>
      <c r="H85" t="s">
        <v>24</v>
      </c>
    </row>
    <row r="86" spans="1:8" x14ac:dyDescent="0.25">
      <c r="A86" t="s">
        <v>266</v>
      </c>
      <c r="C86" s="46">
        <v>1.2300000000000001E-4</v>
      </c>
      <c r="D86" t="s">
        <v>7</v>
      </c>
      <c r="E86" t="s">
        <v>16</v>
      </c>
      <c r="F86" s="2" t="s">
        <v>211</v>
      </c>
      <c r="H86" t="s">
        <v>17</v>
      </c>
    </row>
    <row r="87" spans="1:8" x14ac:dyDescent="0.25">
      <c r="A87" t="s">
        <v>267</v>
      </c>
      <c r="C87" s="46">
        <v>6.0000000000000002E-6</v>
      </c>
      <c r="D87" t="s">
        <v>7</v>
      </c>
      <c r="E87" t="s">
        <v>16</v>
      </c>
      <c r="F87" s="2" t="s">
        <v>211</v>
      </c>
      <c r="H87" t="s">
        <v>17</v>
      </c>
    </row>
    <row r="88" spans="1:8" x14ac:dyDescent="0.25">
      <c r="A88" t="s">
        <v>145</v>
      </c>
      <c r="C88" s="46">
        <v>8.3199999999999996E-2</v>
      </c>
      <c r="D88" t="s">
        <v>28</v>
      </c>
      <c r="E88" t="s">
        <v>16</v>
      </c>
      <c r="F88" t="s">
        <v>158</v>
      </c>
      <c r="H88"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064F8-E99A-4AC9-BC03-D359A4F5A33E}">
  <dimension ref="A1:V32"/>
  <sheetViews>
    <sheetView zoomScale="70" zoomScaleNormal="70" workbookViewId="0">
      <selection activeCell="C40" sqref="C40"/>
    </sheetView>
  </sheetViews>
  <sheetFormatPr defaultRowHeight="15" x14ac:dyDescent="0.25"/>
  <cols>
    <col min="1" max="1" width="62.140625" customWidth="1"/>
    <col min="2" max="2" width="42.5703125" customWidth="1"/>
    <col min="3" max="3" width="17.5703125" bestFit="1" customWidth="1"/>
    <col min="5" max="5" width="11.42578125" customWidth="1"/>
    <col min="6" max="6" width="12.28515625" bestFit="1" customWidth="1"/>
    <col min="7" max="7" width="13" bestFit="1" customWidth="1"/>
    <col min="8" max="22" width="12.7109375" customWidth="1"/>
  </cols>
  <sheetData>
    <row r="1" spans="1:22" x14ac:dyDescent="0.25">
      <c r="A1" t="s">
        <v>174</v>
      </c>
    </row>
    <row r="2" spans="1:22" ht="99" customHeight="1" x14ac:dyDescent="0.25">
      <c r="A2" s="10" t="s">
        <v>9</v>
      </c>
      <c r="B2" s="10" t="s">
        <v>10</v>
      </c>
      <c r="C2" s="10" t="s">
        <v>12</v>
      </c>
      <c r="D2" s="10" t="s">
        <v>13</v>
      </c>
      <c r="E2" s="10" t="s">
        <v>3</v>
      </c>
      <c r="F2" s="10" t="s">
        <v>5</v>
      </c>
      <c r="G2" s="10" t="s">
        <v>6</v>
      </c>
      <c r="H2" s="34" t="s">
        <v>235</v>
      </c>
      <c r="I2" s="34" t="s">
        <v>236</v>
      </c>
      <c r="J2" s="34" t="s">
        <v>218</v>
      </c>
      <c r="K2" s="34" t="s">
        <v>217</v>
      </c>
      <c r="L2" s="34" t="s">
        <v>2</v>
      </c>
      <c r="M2" s="34"/>
      <c r="N2" s="34"/>
      <c r="O2" s="34"/>
      <c r="P2" s="34"/>
      <c r="Q2" s="34"/>
      <c r="R2" s="34"/>
      <c r="S2" s="34"/>
      <c r="T2" s="34"/>
      <c r="U2" s="34"/>
      <c r="V2" s="34"/>
    </row>
    <row r="3" spans="1:22" x14ac:dyDescent="0.25">
      <c r="A3" s="8" t="s">
        <v>216</v>
      </c>
      <c r="B3" s="1" t="s">
        <v>82</v>
      </c>
      <c r="C3" s="1" t="s">
        <v>20</v>
      </c>
      <c r="D3" s="8"/>
      <c r="E3" s="1" t="s">
        <v>55</v>
      </c>
      <c r="F3" s="2" t="s">
        <v>14</v>
      </c>
      <c r="G3" s="1" t="s">
        <v>73</v>
      </c>
      <c r="H3" s="37">
        <v>1</v>
      </c>
      <c r="I3" s="37">
        <v>1</v>
      </c>
      <c r="J3" s="37">
        <v>1</v>
      </c>
      <c r="K3" s="37">
        <v>1</v>
      </c>
      <c r="T3" s="1"/>
      <c r="U3" s="24"/>
      <c r="V3" s="24"/>
    </row>
    <row r="4" spans="1:22" x14ac:dyDescent="0.25">
      <c r="A4" s="8" t="s">
        <v>32</v>
      </c>
      <c r="B4" s="1" t="s">
        <v>31</v>
      </c>
      <c r="C4" s="1" t="s">
        <v>20</v>
      </c>
      <c r="D4" s="8"/>
      <c r="E4" s="1" t="s">
        <v>55</v>
      </c>
      <c r="F4" s="2" t="s">
        <v>24</v>
      </c>
      <c r="G4" s="1" t="s">
        <v>28</v>
      </c>
      <c r="H4" s="39">
        <f>'Carbon balance'!$B$32</f>
        <v>2.8837661989491607E-2</v>
      </c>
      <c r="I4" s="2"/>
      <c r="J4" s="39">
        <f>'Carbon balance'!$B$32</f>
        <v>2.8837661989491607E-2</v>
      </c>
      <c r="K4" s="2"/>
      <c r="L4" s="1" t="s">
        <v>291</v>
      </c>
    </row>
    <row r="5" spans="1:22" x14ac:dyDescent="0.25">
      <c r="A5" s="8" t="s">
        <v>219</v>
      </c>
      <c r="B5" s="1" t="s">
        <v>31</v>
      </c>
      <c r="C5" s="1" t="s">
        <v>20</v>
      </c>
      <c r="D5" s="8"/>
      <c r="E5" s="1" t="s">
        <v>55</v>
      </c>
      <c r="F5" s="2" t="s">
        <v>24</v>
      </c>
      <c r="G5" s="1" t="s">
        <v>28</v>
      </c>
      <c r="H5" s="39"/>
      <c r="I5" s="39">
        <f>'Carbon balance'!$B$32</f>
        <v>2.8837661989491607E-2</v>
      </c>
      <c r="J5" s="39"/>
      <c r="K5" s="39">
        <f>'Carbon balance'!$B$32</f>
        <v>2.8837661989491607E-2</v>
      </c>
      <c r="L5" s="1" t="s">
        <v>291</v>
      </c>
    </row>
    <row r="6" spans="1:22" x14ac:dyDescent="0.25">
      <c r="A6" s="1" t="s">
        <v>87</v>
      </c>
      <c r="B6" s="30" t="s">
        <v>86</v>
      </c>
      <c r="C6" s="1" t="s">
        <v>23</v>
      </c>
      <c r="D6" s="8"/>
      <c r="E6" s="1" t="s">
        <v>55</v>
      </c>
      <c r="F6" s="1" t="s">
        <v>24</v>
      </c>
      <c r="G6" s="1" t="s">
        <v>62</v>
      </c>
      <c r="H6" s="37">
        <v>2.7243999999999901E-3</v>
      </c>
      <c r="I6" s="37">
        <v>2.7243999999999901E-3</v>
      </c>
      <c r="J6" s="37">
        <v>2.7243999999999901E-3</v>
      </c>
      <c r="K6" s="37">
        <v>2.7243999999999901E-3</v>
      </c>
      <c r="L6" s="27" t="s">
        <v>67</v>
      </c>
    </row>
    <row r="7" spans="1:22" x14ac:dyDescent="0.25">
      <c r="A7" s="1" t="s">
        <v>85</v>
      </c>
      <c r="B7" s="30" t="s">
        <v>84</v>
      </c>
      <c r="C7" s="1" t="s">
        <v>23</v>
      </c>
      <c r="D7" s="8"/>
      <c r="E7" s="1" t="s">
        <v>15</v>
      </c>
      <c r="F7" s="1" t="s">
        <v>24</v>
      </c>
      <c r="G7" s="1" t="s">
        <v>6</v>
      </c>
      <c r="H7" s="38">
        <v>6.4679999999999798E-7</v>
      </c>
      <c r="I7" s="38">
        <v>6.4679999999999798E-7</v>
      </c>
      <c r="J7" s="38">
        <v>6.4679999999999798E-7</v>
      </c>
      <c r="K7" s="38">
        <v>6.4679999999999798E-7</v>
      </c>
      <c r="L7" s="27" t="s">
        <v>67</v>
      </c>
    </row>
    <row r="8" spans="1:22" x14ac:dyDescent="0.25">
      <c r="A8" s="2" t="s">
        <v>289</v>
      </c>
      <c r="B8" s="8" t="s">
        <v>212</v>
      </c>
      <c r="C8" s="1" t="s">
        <v>23</v>
      </c>
      <c r="D8" s="8"/>
      <c r="E8" s="1" t="s">
        <v>78</v>
      </c>
      <c r="F8" s="1" t="s">
        <v>7</v>
      </c>
      <c r="G8" s="1"/>
      <c r="H8" s="38"/>
      <c r="I8" s="38"/>
      <c r="J8" s="38">
        <f>'Carbon balance'!$B$44</f>
        <v>5.1182685632161849E-2</v>
      </c>
      <c r="K8" s="38">
        <f>'Carbon balance'!$B$44</f>
        <v>5.1182685632161849E-2</v>
      </c>
      <c r="L8" s="1" t="s">
        <v>269</v>
      </c>
    </row>
    <row r="9" spans="1:22" x14ac:dyDescent="0.25">
      <c r="A9" s="30" t="s">
        <v>25</v>
      </c>
      <c r="B9" s="2"/>
      <c r="C9" s="1" t="s">
        <v>16</v>
      </c>
      <c r="D9" s="12" t="s">
        <v>26</v>
      </c>
      <c r="E9" s="2"/>
      <c r="F9" s="2" t="s">
        <v>17</v>
      </c>
      <c r="G9" s="1" t="s">
        <v>7</v>
      </c>
      <c r="H9" s="38">
        <f>'Carbon balance'!$B$42</f>
        <v>5.6869650702402054E-2</v>
      </c>
      <c r="I9" s="38">
        <f>'Carbon balance'!$B$42</f>
        <v>5.6869650702402054E-2</v>
      </c>
      <c r="J9" s="38">
        <f>'Carbon balance'!$B$45</f>
        <v>5.6869650702402038E-3</v>
      </c>
      <c r="K9" s="38">
        <f>'Carbon balance'!$B$45</f>
        <v>5.6869650702402038E-3</v>
      </c>
      <c r="L9" s="1" t="s">
        <v>122</v>
      </c>
      <c r="R9" s="2"/>
      <c r="U9" s="16"/>
      <c r="V9" s="16"/>
    </row>
    <row r="10" spans="1:22" x14ac:dyDescent="0.25">
      <c r="A10" s="2" t="s">
        <v>54</v>
      </c>
      <c r="B10" s="1"/>
      <c r="C10" s="1" t="s">
        <v>16</v>
      </c>
      <c r="D10" s="12" t="s">
        <v>26</v>
      </c>
      <c r="E10" s="2"/>
      <c r="F10" s="2" t="s">
        <v>17</v>
      </c>
      <c r="G10" s="2" t="s">
        <v>7</v>
      </c>
      <c r="H10" s="38">
        <f>'Carbon balance'!$B$43</f>
        <v>2.8260908749698663E-6</v>
      </c>
      <c r="I10" s="38">
        <f>'Carbon balance'!$B$43</f>
        <v>2.8260908749698663E-6</v>
      </c>
      <c r="J10" s="38">
        <f>'Carbon balance'!$B$43</f>
        <v>2.8260908749698663E-6</v>
      </c>
      <c r="K10" s="38">
        <f>'Carbon balance'!$B$43</f>
        <v>2.8260908749698663E-6</v>
      </c>
      <c r="L10" s="1" t="s">
        <v>233</v>
      </c>
      <c r="R10" s="1"/>
    </row>
    <row r="11" spans="1:22" x14ac:dyDescent="0.25">
      <c r="A11" s="2" t="s">
        <v>96</v>
      </c>
      <c r="B11" s="1"/>
      <c r="C11" s="2" t="s">
        <v>16</v>
      </c>
      <c r="D11" s="2" t="s">
        <v>117</v>
      </c>
      <c r="E11" s="2"/>
      <c r="F11" s="2" t="s">
        <v>17</v>
      </c>
      <c r="G11" s="2" t="s">
        <v>7</v>
      </c>
      <c r="H11" s="38">
        <v>1.2739999999999999E-7</v>
      </c>
      <c r="I11" s="38">
        <v>1.2739999999999999E-7</v>
      </c>
      <c r="J11" s="38">
        <v>1.2739999999999999E-7</v>
      </c>
      <c r="K11" s="38">
        <v>1.2739999999999999E-7</v>
      </c>
      <c r="L11" s="27" t="s">
        <v>67</v>
      </c>
      <c r="R11" s="27"/>
    </row>
    <row r="12" spans="1:22" x14ac:dyDescent="0.25">
      <c r="A12" s="30" t="s">
        <v>97</v>
      </c>
      <c r="B12" s="1"/>
      <c r="C12" s="1" t="s">
        <v>16</v>
      </c>
      <c r="D12" s="1" t="s">
        <v>26</v>
      </c>
      <c r="E12" s="2"/>
      <c r="F12" s="2" t="s">
        <v>17</v>
      </c>
      <c r="G12" s="1" t="s">
        <v>7</v>
      </c>
      <c r="H12" s="38">
        <v>9.7999999999999607E-12</v>
      </c>
      <c r="I12" s="38">
        <v>9.7999999999999607E-12</v>
      </c>
      <c r="J12" s="38">
        <v>9.7999999999999607E-12</v>
      </c>
      <c r="K12" s="38">
        <v>9.7999999999999607E-12</v>
      </c>
      <c r="L12" s="27" t="s">
        <v>67</v>
      </c>
      <c r="R12" s="27"/>
    </row>
    <row r="13" spans="1:22" x14ac:dyDescent="0.25">
      <c r="A13" s="30" t="s">
        <v>98</v>
      </c>
      <c r="B13" s="1"/>
      <c r="C13" s="1" t="s">
        <v>16</v>
      </c>
      <c r="D13" s="2" t="s">
        <v>117</v>
      </c>
      <c r="E13" s="2"/>
      <c r="F13" s="2" t="s">
        <v>17</v>
      </c>
      <c r="G13" s="1" t="s">
        <v>7</v>
      </c>
      <c r="H13" s="38">
        <v>2.9399999999999898E-9</v>
      </c>
      <c r="I13" s="38">
        <v>2.9399999999999898E-9</v>
      </c>
      <c r="J13" s="38">
        <v>2.9399999999999898E-9</v>
      </c>
      <c r="K13" s="38">
        <v>2.9399999999999898E-9</v>
      </c>
      <c r="L13" s="27" t="s">
        <v>67</v>
      </c>
      <c r="R13" s="28"/>
      <c r="U13" s="16"/>
      <c r="V13" s="16"/>
    </row>
    <row r="14" spans="1:22" x14ac:dyDescent="0.25">
      <c r="A14" s="30" t="s">
        <v>75</v>
      </c>
      <c r="B14" s="2"/>
      <c r="C14" s="1" t="s">
        <v>16</v>
      </c>
      <c r="D14" s="1" t="s">
        <v>26</v>
      </c>
      <c r="E14" s="2"/>
      <c r="F14" s="2" t="s">
        <v>17</v>
      </c>
      <c r="G14" s="1" t="s">
        <v>7</v>
      </c>
      <c r="H14" s="38">
        <v>4.8999999999999796E-7</v>
      </c>
      <c r="I14" s="38">
        <v>4.8999999999999796E-7</v>
      </c>
      <c r="J14" s="38">
        <v>4.8999999999999796E-7</v>
      </c>
      <c r="K14" s="38">
        <v>4.8999999999999796E-7</v>
      </c>
      <c r="L14" s="27" t="s">
        <v>67</v>
      </c>
      <c r="R14" s="28"/>
      <c r="U14" s="16"/>
      <c r="V14" s="16"/>
    </row>
    <row r="15" spans="1:22" x14ac:dyDescent="0.25">
      <c r="A15" s="30" t="s">
        <v>99</v>
      </c>
      <c r="B15" s="2"/>
      <c r="C15" s="1" t="s">
        <v>16</v>
      </c>
      <c r="D15" s="1" t="s">
        <v>26</v>
      </c>
      <c r="E15" s="2"/>
      <c r="F15" s="2" t="s">
        <v>17</v>
      </c>
      <c r="G15" s="1" t="s">
        <v>7</v>
      </c>
      <c r="H15" s="38">
        <v>3.9199999999999901E-7</v>
      </c>
      <c r="I15" s="38">
        <v>3.9199999999999901E-7</v>
      </c>
      <c r="J15" s="38">
        <v>3.9199999999999901E-7</v>
      </c>
      <c r="K15" s="38">
        <v>3.9199999999999901E-7</v>
      </c>
      <c r="L15" s="27" t="s">
        <v>67</v>
      </c>
      <c r="R15" s="28"/>
    </row>
    <row r="16" spans="1:22" x14ac:dyDescent="0.25">
      <c r="A16" s="30" t="s">
        <v>100</v>
      </c>
      <c r="B16" s="2"/>
      <c r="C16" s="1" t="s">
        <v>16</v>
      </c>
      <c r="D16" s="2" t="s">
        <v>117</v>
      </c>
      <c r="E16" s="2"/>
      <c r="F16" s="2" t="s">
        <v>17</v>
      </c>
      <c r="G16" s="1" t="s">
        <v>7</v>
      </c>
      <c r="H16" s="38">
        <v>4.8999999999999797E-8</v>
      </c>
      <c r="I16" s="38">
        <v>4.8999999999999797E-8</v>
      </c>
      <c r="J16" s="38">
        <v>4.8999999999999797E-8</v>
      </c>
      <c r="K16" s="38">
        <v>4.8999999999999797E-8</v>
      </c>
      <c r="L16" s="27" t="s">
        <v>67</v>
      </c>
      <c r="R16" s="28"/>
    </row>
    <row r="17" spans="1:18" x14ac:dyDescent="0.25">
      <c r="A17" s="30" t="s">
        <v>101</v>
      </c>
      <c r="B17" s="2"/>
      <c r="C17" s="1" t="s">
        <v>16</v>
      </c>
      <c r="D17" s="1" t="s">
        <v>26</v>
      </c>
      <c r="E17" s="2"/>
      <c r="F17" s="2" t="s">
        <v>17</v>
      </c>
      <c r="G17" s="1" t="s">
        <v>7</v>
      </c>
      <c r="H17" s="38">
        <v>1.9599999999999901E-8</v>
      </c>
      <c r="I17" s="38">
        <v>1.9599999999999901E-8</v>
      </c>
      <c r="J17" s="38">
        <v>1.9599999999999901E-8</v>
      </c>
      <c r="K17" s="38">
        <v>1.9599999999999901E-8</v>
      </c>
      <c r="L17" s="27" t="s">
        <v>67</v>
      </c>
      <c r="R17" s="28"/>
    </row>
    <row r="18" spans="1:18" x14ac:dyDescent="0.25">
      <c r="A18" s="30" t="s">
        <v>102</v>
      </c>
      <c r="B18" s="2"/>
      <c r="C18" s="1" t="s">
        <v>16</v>
      </c>
      <c r="D18" s="1" t="s">
        <v>26</v>
      </c>
      <c r="E18" s="2"/>
      <c r="F18" s="2" t="s">
        <v>17</v>
      </c>
      <c r="G18" s="1" t="s">
        <v>7</v>
      </c>
      <c r="H18" s="38">
        <v>1.95999999999999E-7</v>
      </c>
      <c r="I18" s="38">
        <v>1.95999999999999E-7</v>
      </c>
      <c r="J18" s="38">
        <v>1.95999999999999E-7</v>
      </c>
      <c r="K18" s="38">
        <v>1.95999999999999E-7</v>
      </c>
      <c r="L18" s="27" t="s">
        <v>67</v>
      </c>
      <c r="R18" s="28"/>
    </row>
    <row r="19" spans="1:18" x14ac:dyDescent="0.25">
      <c r="A19" s="30" t="s">
        <v>103</v>
      </c>
      <c r="B19" s="2"/>
      <c r="C19" s="1" t="s">
        <v>16</v>
      </c>
      <c r="D19" s="1" t="s">
        <v>26</v>
      </c>
      <c r="E19" s="2"/>
      <c r="F19" s="2" t="s">
        <v>17</v>
      </c>
      <c r="G19" s="1" t="s">
        <v>7</v>
      </c>
      <c r="H19" s="38">
        <v>5.7819999999999804E-6</v>
      </c>
      <c r="I19" s="38">
        <v>5.7819999999999804E-6</v>
      </c>
      <c r="J19" s="38">
        <v>5.7819999999999804E-6</v>
      </c>
      <c r="K19" s="38">
        <v>5.7819999999999804E-6</v>
      </c>
      <c r="L19" s="27" t="s">
        <v>67</v>
      </c>
      <c r="R19" s="28"/>
    </row>
    <row r="20" spans="1:18" x14ac:dyDescent="0.25">
      <c r="A20" s="30" t="s">
        <v>104</v>
      </c>
      <c r="B20" s="2"/>
      <c r="C20" s="1" t="s">
        <v>16</v>
      </c>
      <c r="D20" s="1" t="s">
        <v>26</v>
      </c>
      <c r="E20" s="2"/>
      <c r="F20" s="2" t="s">
        <v>17</v>
      </c>
      <c r="G20" s="1" t="s">
        <v>7</v>
      </c>
      <c r="H20" s="38">
        <v>9.7999999999999594E-8</v>
      </c>
      <c r="I20" s="38">
        <v>9.7999999999999594E-8</v>
      </c>
      <c r="J20" s="38">
        <v>9.7999999999999594E-8</v>
      </c>
      <c r="K20" s="38">
        <v>9.7999999999999594E-8</v>
      </c>
      <c r="L20" s="27" t="s">
        <v>67</v>
      </c>
      <c r="R20" s="28"/>
    </row>
    <row r="21" spans="1:18" x14ac:dyDescent="0.25">
      <c r="A21" s="30" t="s">
        <v>105</v>
      </c>
      <c r="B21" s="2"/>
      <c r="C21" s="1" t="s">
        <v>16</v>
      </c>
      <c r="D21" s="2" t="s">
        <v>117</v>
      </c>
      <c r="E21" s="2"/>
      <c r="F21" s="2" t="s">
        <v>17</v>
      </c>
      <c r="G21" s="1" t="s">
        <v>7</v>
      </c>
      <c r="H21" s="38">
        <v>4.8999999999999797E-8</v>
      </c>
      <c r="I21" s="38">
        <v>4.8999999999999797E-8</v>
      </c>
      <c r="J21" s="38">
        <v>4.8999999999999797E-8</v>
      </c>
      <c r="K21" s="38">
        <v>4.8999999999999797E-8</v>
      </c>
      <c r="L21" s="27" t="s">
        <v>67</v>
      </c>
      <c r="R21" s="28"/>
    </row>
    <row r="22" spans="1:18" x14ac:dyDescent="0.25">
      <c r="A22" s="30" t="s">
        <v>106</v>
      </c>
      <c r="B22" s="2"/>
      <c r="C22" s="1" t="s">
        <v>16</v>
      </c>
      <c r="D22" s="1" t="s">
        <v>26</v>
      </c>
      <c r="E22" s="2"/>
      <c r="F22" s="2" t="s">
        <v>17</v>
      </c>
      <c r="G22" s="1" t="s">
        <v>7</v>
      </c>
      <c r="H22" s="38">
        <v>4.8999999999999796E-7</v>
      </c>
      <c r="I22" s="38">
        <v>4.8999999999999796E-7</v>
      </c>
      <c r="J22" s="38">
        <v>4.8999999999999796E-7</v>
      </c>
      <c r="K22" s="38">
        <v>4.8999999999999796E-7</v>
      </c>
      <c r="L22" s="27" t="s">
        <v>67</v>
      </c>
      <c r="R22" s="28"/>
    </row>
    <row r="23" spans="1:18" x14ac:dyDescent="0.25">
      <c r="A23" s="30" t="s">
        <v>107</v>
      </c>
      <c r="B23" s="2"/>
      <c r="C23" s="1" t="s">
        <v>16</v>
      </c>
      <c r="D23" s="1" t="s">
        <v>26</v>
      </c>
      <c r="E23" s="2"/>
      <c r="F23" s="2" t="s">
        <v>17</v>
      </c>
      <c r="G23" s="1" t="s">
        <v>7</v>
      </c>
      <c r="H23" s="38">
        <v>9.7999999999999594E-8</v>
      </c>
      <c r="I23" s="38">
        <v>9.7999999999999594E-8</v>
      </c>
      <c r="J23" s="38">
        <v>9.7999999999999594E-8</v>
      </c>
      <c r="K23" s="38">
        <v>9.7999999999999594E-8</v>
      </c>
      <c r="L23" s="27" t="s">
        <v>67</v>
      </c>
      <c r="R23" s="28"/>
    </row>
    <row r="24" spans="1:18" x14ac:dyDescent="0.25">
      <c r="A24" s="30" t="s">
        <v>108</v>
      </c>
      <c r="B24" s="2"/>
      <c r="C24" s="1" t="s">
        <v>16</v>
      </c>
      <c r="D24" s="1" t="s">
        <v>26</v>
      </c>
      <c r="E24" s="2"/>
      <c r="F24" s="2" t="s">
        <v>17</v>
      </c>
      <c r="G24" s="1" t="s">
        <v>7</v>
      </c>
      <c r="H24" s="38">
        <v>2.93999999999999E-11</v>
      </c>
      <c r="I24" s="38">
        <v>2.93999999999999E-11</v>
      </c>
      <c r="J24" s="38">
        <v>2.93999999999999E-11</v>
      </c>
      <c r="K24" s="38">
        <v>2.93999999999999E-11</v>
      </c>
      <c r="L24" s="27" t="s">
        <v>67</v>
      </c>
      <c r="R24" s="28"/>
    </row>
    <row r="25" spans="1:18" x14ac:dyDescent="0.25">
      <c r="A25" s="30" t="s">
        <v>109</v>
      </c>
      <c r="B25" s="2"/>
      <c r="C25" s="1" t="s">
        <v>16</v>
      </c>
      <c r="D25" s="1" t="s">
        <v>26</v>
      </c>
      <c r="E25" s="2"/>
      <c r="F25" s="2" t="s">
        <v>17</v>
      </c>
      <c r="G25" s="1" t="s">
        <v>7</v>
      </c>
      <c r="H25" s="38">
        <v>9.7019999999999606E-6</v>
      </c>
      <c r="I25" s="38">
        <v>9.7019999999999606E-6</v>
      </c>
      <c r="J25" s="38">
        <v>9.7019999999999606E-6</v>
      </c>
      <c r="K25" s="38">
        <v>9.7019999999999606E-6</v>
      </c>
      <c r="L25" s="27" t="s">
        <v>67</v>
      </c>
      <c r="R25" s="28"/>
    </row>
    <row r="26" spans="1:18" x14ac:dyDescent="0.25">
      <c r="A26" s="30" t="s">
        <v>110</v>
      </c>
      <c r="B26" s="2"/>
      <c r="C26" s="1" t="s">
        <v>16</v>
      </c>
      <c r="D26" s="1" t="s">
        <v>26</v>
      </c>
      <c r="E26" s="2"/>
      <c r="F26" s="2" t="s">
        <v>17</v>
      </c>
      <c r="G26" s="1" t="s">
        <v>7</v>
      </c>
      <c r="H26" s="38">
        <v>0</v>
      </c>
      <c r="I26" s="38">
        <v>0</v>
      </c>
      <c r="J26" s="38">
        <v>0</v>
      </c>
      <c r="K26" s="38">
        <v>0</v>
      </c>
      <c r="L26" s="27" t="s">
        <v>67</v>
      </c>
      <c r="R26" s="28"/>
    </row>
    <row r="27" spans="1:18" x14ac:dyDescent="0.25">
      <c r="A27" s="30" t="s">
        <v>111</v>
      </c>
      <c r="B27" s="2"/>
      <c r="C27" s="1" t="s">
        <v>16</v>
      </c>
      <c r="D27" s="1" t="s">
        <v>26</v>
      </c>
      <c r="E27" s="2"/>
      <c r="F27" s="2" t="s">
        <v>17</v>
      </c>
      <c r="G27" s="1" t="s">
        <v>7</v>
      </c>
      <c r="H27" s="38">
        <v>1.46999999999999E-7</v>
      </c>
      <c r="I27" s="38">
        <v>1.46999999999999E-7</v>
      </c>
      <c r="J27" s="38">
        <v>1.46999999999999E-7</v>
      </c>
      <c r="K27" s="38">
        <v>1.46999999999999E-7</v>
      </c>
      <c r="L27" s="27" t="s">
        <v>67</v>
      </c>
      <c r="R27" s="28"/>
    </row>
    <row r="28" spans="1:18" x14ac:dyDescent="0.25">
      <c r="A28" s="30" t="s">
        <v>112</v>
      </c>
      <c r="B28" s="2"/>
      <c r="C28" s="1" t="s">
        <v>16</v>
      </c>
      <c r="D28" s="1" t="s">
        <v>26</v>
      </c>
      <c r="E28" s="2"/>
      <c r="F28" s="2" t="s">
        <v>17</v>
      </c>
      <c r="G28" s="1" t="s">
        <v>7</v>
      </c>
      <c r="H28" s="38">
        <v>1.176E-6</v>
      </c>
      <c r="I28" s="38">
        <v>1.176E-6</v>
      </c>
      <c r="J28" s="38">
        <v>1.176E-6</v>
      </c>
      <c r="K28" s="38">
        <v>1.176E-6</v>
      </c>
      <c r="L28" s="27" t="s">
        <v>67</v>
      </c>
      <c r="R28" s="28"/>
    </row>
    <row r="29" spans="1:18" x14ac:dyDescent="0.25">
      <c r="A29" s="30" t="s">
        <v>113</v>
      </c>
      <c r="B29" s="2"/>
      <c r="C29" s="1" t="s">
        <v>16</v>
      </c>
      <c r="D29" s="1" t="s">
        <v>26</v>
      </c>
      <c r="E29" s="2"/>
      <c r="F29" s="2" t="s">
        <v>17</v>
      </c>
      <c r="G29" s="1" t="s">
        <v>7</v>
      </c>
      <c r="H29" s="38">
        <v>9.7999999999999604E-9</v>
      </c>
      <c r="I29" s="38">
        <v>9.7999999999999604E-9</v>
      </c>
      <c r="J29" s="38">
        <v>9.7999999999999604E-9</v>
      </c>
      <c r="K29" s="38">
        <v>9.7999999999999604E-9</v>
      </c>
      <c r="L29" s="27" t="s">
        <v>67</v>
      </c>
      <c r="R29" s="28"/>
    </row>
    <row r="30" spans="1:18" x14ac:dyDescent="0.25">
      <c r="A30" s="30" t="s">
        <v>114</v>
      </c>
      <c r="B30" s="2"/>
      <c r="C30" s="1" t="s">
        <v>16</v>
      </c>
      <c r="D30" s="1" t="s">
        <v>26</v>
      </c>
      <c r="E30" s="2"/>
      <c r="F30" s="2" t="s">
        <v>17</v>
      </c>
      <c r="G30" s="1" t="s">
        <v>7</v>
      </c>
      <c r="H30" s="38">
        <v>9.79999999999996E-10</v>
      </c>
      <c r="I30" s="38">
        <v>9.79999999999996E-10</v>
      </c>
      <c r="J30" s="38">
        <v>9.79999999999996E-10</v>
      </c>
      <c r="K30" s="38">
        <v>9.79999999999996E-10</v>
      </c>
      <c r="L30" s="27" t="s">
        <v>67</v>
      </c>
      <c r="R30" s="28"/>
    </row>
    <row r="31" spans="1:18" x14ac:dyDescent="0.25">
      <c r="A31" s="30" t="s">
        <v>115</v>
      </c>
      <c r="B31" s="2"/>
      <c r="C31" s="1" t="s">
        <v>16</v>
      </c>
      <c r="D31" s="1" t="s">
        <v>26</v>
      </c>
      <c r="E31" s="2"/>
      <c r="F31" s="2" t="s">
        <v>17</v>
      </c>
      <c r="G31" s="1" t="s">
        <v>7</v>
      </c>
      <c r="H31" s="38">
        <v>1.95999999999999E-7</v>
      </c>
      <c r="I31" s="38">
        <v>1.95999999999999E-7</v>
      </c>
      <c r="J31" s="38">
        <v>1.95999999999999E-7</v>
      </c>
      <c r="K31" s="38">
        <v>1.95999999999999E-7</v>
      </c>
      <c r="L31" s="27" t="s">
        <v>67</v>
      </c>
      <c r="R31" s="28"/>
    </row>
    <row r="32" spans="1:18" x14ac:dyDescent="0.25">
      <c r="A32" s="30" t="s">
        <v>116</v>
      </c>
      <c r="B32" s="2"/>
      <c r="C32" s="1" t="s">
        <v>16</v>
      </c>
      <c r="D32" s="1" t="s">
        <v>26</v>
      </c>
      <c r="E32" s="2"/>
      <c r="F32" s="2" t="s">
        <v>17</v>
      </c>
      <c r="G32" s="1" t="s">
        <v>7</v>
      </c>
      <c r="H32" s="38">
        <v>6.8599999999999701E-7</v>
      </c>
      <c r="I32" s="38">
        <v>6.8599999999999701E-7</v>
      </c>
      <c r="J32" s="38">
        <v>6.8599999999999701E-7</v>
      </c>
      <c r="K32" s="38">
        <v>6.8599999999999701E-7</v>
      </c>
      <c r="L32" s="27" t="s">
        <v>67</v>
      </c>
      <c r="R32" s="2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B081-8242-4E81-906A-D42305C1FC01}">
  <dimension ref="A1:W44"/>
  <sheetViews>
    <sheetView zoomScale="70" zoomScaleNormal="70" workbookViewId="0">
      <selection activeCell="G14" sqref="G14"/>
    </sheetView>
  </sheetViews>
  <sheetFormatPr defaultRowHeight="15" x14ac:dyDescent="0.25"/>
  <cols>
    <col min="1" max="1" width="82.7109375" customWidth="1"/>
    <col min="2" max="2" width="36" bestFit="1" customWidth="1"/>
    <col min="3" max="3" width="17.5703125" bestFit="1" customWidth="1"/>
    <col min="5" max="5" width="11.42578125" customWidth="1"/>
    <col min="6" max="6" width="12.28515625" bestFit="1" customWidth="1"/>
    <col min="7" max="7" width="13" bestFit="1" customWidth="1"/>
    <col min="8" max="8" width="13" customWidth="1"/>
    <col min="9" max="23" width="12.7109375" customWidth="1"/>
  </cols>
  <sheetData>
    <row r="1" spans="1:23" x14ac:dyDescent="0.25">
      <c r="A1" t="s">
        <v>174</v>
      </c>
    </row>
    <row r="2" spans="1:23" ht="60" x14ac:dyDescent="0.25">
      <c r="A2" s="10" t="s">
        <v>9</v>
      </c>
      <c r="B2" s="10" t="s">
        <v>10</v>
      </c>
      <c r="C2" s="10" t="s">
        <v>12</v>
      </c>
      <c r="D2" s="10" t="s">
        <v>13</v>
      </c>
      <c r="E2" s="10" t="s">
        <v>3</v>
      </c>
      <c r="F2" s="10" t="s">
        <v>5</v>
      </c>
      <c r="G2" s="10" t="s">
        <v>6</v>
      </c>
      <c r="H2" s="34" t="s">
        <v>234</v>
      </c>
      <c r="I2" s="34" t="s">
        <v>235</v>
      </c>
      <c r="J2" s="34" t="s">
        <v>236</v>
      </c>
      <c r="K2" s="34" t="s">
        <v>218</v>
      </c>
      <c r="L2" s="34" t="s">
        <v>217</v>
      </c>
      <c r="M2" s="34" t="s">
        <v>2</v>
      </c>
      <c r="N2" s="34"/>
      <c r="O2" s="34"/>
      <c r="P2" s="34"/>
      <c r="Q2" s="34"/>
      <c r="R2" s="34"/>
      <c r="S2" s="34"/>
      <c r="T2" s="34"/>
      <c r="U2" s="34"/>
      <c r="V2" s="34"/>
      <c r="W2" s="34"/>
    </row>
    <row r="3" spans="1:23" x14ac:dyDescent="0.25">
      <c r="A3" s="8" t="s">
        <v>199</v>
      </c>
      <c r="B3" s="1" t="s">
        <v>22</v>
      </c>
      <c r="C3" s="1" t="s">
        <v>20</v>
      </c>
      <c r="D3" s="8"/>
      <c r="E3" s="1" t="s">
        <v>15</v>
      </c>
      <c r="F3" s="2" t="s">
        <v>14</v>
      </c>
      <c r="G3" s="1" t="s">
        <v>7</v>
      </c>
      <c r="H3" s="37">
        <v>1</v>
      </c>
      <c r="I3" s="37"/>
      <c r="J3" s="37"/>
      <c r="K3" s="37"/>
      <c r="L3" s="37"/>
      <c r="U3" s="1"/>
      <c r="V3" s="24"/>
      <c r="W3" s="24"/>
    </row>
    <row r="4" spans="1:23" x14ac:dyDescent="0.25">
      <c r="A4" s="8" t="s">
        <v>199</v>
      </c>
      <c r="B4" s="1" t="s">
        <v>22</v>
      </c>
      <c r="C4" s="1" t="s">
        <v>20</v>
      </c>
      <c r="D4" s="8"/>
      <c r="E4" s="1" t="s">
        <v>55</v>
      </c>
      <c r="F4" s="2" t="s">
        <v>14</v>
      </c>
      <c r="G4" s="1" t="s">
        <v>7</v>
      </c>
      <c r="H4" s="37"/>
      <c r="I4" s="37">
        <v>1</v>
      </c>
      <c r="J4" s="37">
        <v>1</v>
      </c>
      <c r="K4" s="37">
        <v>1</v>
      </c>
      <c r="L4" s="37">
        <v>1</v>
      </c>
      <c r="U4" s="1"/>
      <c r="V4" s="24"/>
      <c r="W4" s="24"/>
    </row>
    <row r="5" spans="1:23" x14ac:dyDescent="0.25">
      <c r="A5" s="2" t="s">
        <v>201</v>
      </c>
      <c r="B5" s="2" t="s">
        <v>200</v>
      </c>
      <c r="C5" s="2" t="s">
        <v>23</v>
      </c>
      <c r="D5" s="2"/>
      <c r="E5" s="2" t="s">
        <v>15</v>
      </c>
      <c r="F5" s="2" t="s">
        <v>24</v>
      </c>
      <c r="G5" s="2" t="s">
        <v>28</v>
      </c>
      <c r="H5" s="35">
        <v>0.65179487179487094</v>
      </c>
      <c r="I5" s="2"/>
      <c r="J5" s="2"/>
      <c r="K5" s="2"/>
      <c r="L5" s="2"/>
      <c r="M5" s="27" t="s">
        <v>67</v>
      </c>
      <c r="N5" s="29"/>
    </row>
    <row r="6" spans="1:23" x14ac:dyDescent="0.25">
      <c r="A6" s="2" t="s">
        <v>32</v>
      </c>
      <c r="B6" s="2" t="s">
        <v>31</v>
      </c>
      <c r="C6" s="1" t="s">
        <v>20</v>
      </c>
      <c r="D6" s="2"/>
      <c r="E6" s="2" t="s">
        <v>55</v>
      </c>
      <c r="F6" s="2" t="s">
        <v>24</v>
      </c>
      <c r="G6" s="2" t="s">
        <v>28</v>
      </c>
      <c r="H6" s="35"/>
      <c r="I6" s="35">
        <v>0.65179487179487094</v>
      </c>
      <c r="J6" s="2"/>
      <c r="K6" s="35">
        <v>0.65179487179487094</v>
      </c>
      <c r="L6" s="2"/>
      <c r="M6" s="27" t="s">
        <v>67</v>
      </c>
      <c r="N6" s="29"/>
    </row>
    <row r="7" spans="1:23" x14ac:dyDescent="0.25">
      <c r="A7" s="2" t="s">
        <v>219</v>
      </c>
      <c r="B7" s="2" t="s">
        <v>31</v>
      </c>
      <c r="C7" s="1" t="s">
        <v>20</v>
      </c>
      <c r="D7" s="2"/>
      <c r="E7" s="2" t="s">
        <v>55</v>
      </c>
      <c r="F7" s="2" t="s">
        <v>24</v>
      </c>
      <c r="G7" s="2" t="s">
        <v>28</v>
      </c>
      <c r="H7" s="35"/>
      <c r="I7" s="2"/>
      <c r="J7" s="35">
        <v>0.65179487179487094</v>
      </c>
      <c r="K7" s="2"/>
      <c r="L7" s="35">
        <v>0.65179487179487094</v>
      </c>
      <c r="M7" s="27" t="s">
        <v>67</v>
      </c>
      <c r="N7" s="29"/>
    </row>
    <row r="8" spans="1:23" x14ac:dyDescent="0.25">
      <c r="A8" s="2" t="s">
        <v>230</v>
      </c>
      <c r="B8" s="2" t="s">
        <v>202</v>
      </c>
      <c r="C8" s="2" t="s">
        <v>20</v>
      </c>
      <c r="D8" s="8"/>
      <c r="E8" s="2" t="s">
        <v>15</v>
      </c>
      <c r="F8" s="2" t="s">
        <v>24</v>
      </c>
      <c r="G8" s="2" t="s">
        <v>73</v>
      </c>
      <c r="H8" s="35">
        <v>6.93</v>
      </c>
      <c r="I8" s="2"/>
      <c r="J8" s="2"/>
      <c r="K8" s="2"/>
      <c r="L8" s="2"/>
      <c r="M8" s="27" t="s">
        <v>67</v>
      </c>
      <c r="N8" s="2"/>
    </row>
    <row r="9" spans="1:23" x14ac:dyDescent="0.25">
      <c r="A9" s="2" t="s">
        <v>237</v>
      </c>
      <c r="B9" s="2" t="s">
        <v>82</v>
      </c>
      <c r="C9" s="2" t="s">
        <v>20</v>
      </c>
      <c r="D9" s="8"/>
      <c r="E9" s="2" t="s">
        <v>55</v>
      </c>
      <c r="F9" s="2" t="s">
        <v>24</v>
      </c>
      <c r="G9" s="2" t="s">
        <v>73</v>
      </c>
      <c r="H9" s="35"/>
      <c r="I9" s="35">
        <v>6.93</v>
      </c>
      <c r="J9" s="2"/>
      <c r="K9" s="2"/>
      <c r="L9" s="2"/>
      <c r="M9" s="27" t="s">
        <v>67</v>
      </c>
      <c r="N9" s="2"/>
    </row>
    <row r="10" spans="1:23" x14ac:dyDescent="0.25">
      <c r="A10" s="2" t="s">
        <v>239</v>
      </c>
      <c r="B10" s="2" t="s">
        <v>82</v>
      </c>
      <c r="C10" s="2" t="s">
        <v>20</v>
      </c>
      <c r="D10" s="8"/>
      <c r="E10" s="2" t="s">
        <v>55</v>
      </c>
      <c r="F10" s="2" t="s">
        <v>24</v>
      </c>
      <c r="G10" s="2" t="s">
        <v>73</v>
      </c>
      <c r="H10" s="35"/>
      <c r="I10" s="2"/>
      <c r="J10" s="35">
        <v>6.93</v>
      </c>
      <c r="K10" s="2"/>
      <c r="L10" s="2"/>
      <c r="M10" s="27" t="s">
        <v>67</v>
      </c>
      <c r="N10" s="2"/>
    </row>
    <row r="11" spans="1:23" x14ac:dyDescent="0.25">
      <c r="A11" s="2" t="s">
        <v>238</v>
      </c>
      <c r="B11" s="2" t="s">
        <v>82</v>
      </c>
      <c r="C11" s="2" t="s">
        <v>20</v>
      </c>
      <c r="D11" s="8"/>
      <c r="E11" s="2" t="s">
        <v>55</v>
      </c>
      <c r="F11" s="2" t="s">
        <v>24</v>
      </c>
      <c r="G11" s="2" t="s">
        <v>73</v>
      </c>
      <c r="H11" s="35"/>
      <c r="I11" s="2"/>
      <c r="J11" s="2"/>
      <c r="K11" s="35">
        <v>6.93</v>
      </c>
      <c r="L11" s="2"/>
      <c r="M11" s="27" t="s">
        <v>67</v>
      </c>
      <c r="N11" s="2"/>
    </row>
    <row r="12" spans="1:23" x14ac:dyDescent="0.25">
      <c r="A12" s="2" t="s">
        <v>240</v>
      </c>
      <c r="B12" s="2" t="s">
        <v>82</v>
      </c>
      <c r="C12" s="2" t="s">
        <v>20</v>
      </c>
      <c r="D12" s="8"/>
      <c r="E12" s="2" t="s">
        <v>55</v>
      </c>
      <c r="F12" s="2" t="s">
        <v>24</v>
      </c>
      <c r="G12" s="2" t="s">
        <v>73</v>
      </c>
      <c r="H12" s="35"/>
      <c r="I12" s="2"/>
      <c r="J12" s="2"/>
      <c r="K12" s="2"/>
      <c r="L12" s="35">
        <v>6.93</v>
      </c>
      <c r="M12" s="27" t="s">
        <v>67</v>
      </c>
      <c r="N12" s="2"/>
    </row>
    <row r="13" spans="1:23" x14ac:dyDescent="0.25">
      <c r="A13" s="2" t="s">
        <v>63</v>
      </c>
      <c r="B13" s="2" t="s">
        <v>61</v>
      </c>
      <c r="C13" s="2" t="s">
        <v>23</v>
      </c>
      <c r="D13" s="8"/>
      <c r="E13" s="2" t="s">
        <v>15</v>
      </c>
      <c r="F13" s="2" t="s">
        <v>24</v>
      </c>
      <c r="G13" s="2" t="s">
        <v>62</v>
      </c>
      <c r="H13" s="2">
        <v>7.3999999999999996E-2</v>
      </c>
      <c r="I13" s="2"/>
      <c r="J13" s="2"/>
      <c r="K13" s="2"/>
      <c r="L13" s="2"/>
      <c r="M13" s="27" t="s">
        <v>67</v>
      </c>
      <c r="N13" s="29"/>
    </row>
    <row r="14" spans="1:23" x14ac:dyDescent="0.25">
      <c r="A14" s="2" t="s">
        <v>63</v>
      </c>
      <c r="B14" s="2" t="s">
        <v>61</v>
      </c>
      <c r="C14" s="2" t="s">
        <v>23</v>
      </c>
      <c r="D14" s="8"/>
      <c r="E14" s="2" t="s">
        <v>55</v>
      </c>
      <c r="F14" s="2" t="s">
        <v>24</v>
      </c>
      <c r="G14" s="2" t="s">
        <v>62</v>
      </c>
      <c r="H14" s="2"/>
      <c r="I14" s="2">
        <v>7.3999999999999996E-2</v>
      </c>
      <c r="J14" s="2">
        <v>7.3999999999999996E-2</v>
      </c>
      <c r="K14" s="2">
        <v>7.3999999999999996E-2</v>
      </c>
      <c r="L14" s="2">
        <v>7.3999999999999996E-2</v>
      </c>
      <c r="M14" s="27" t="s">
        <v>67</v>
      </c>
      <c r="N14" s="29"/>
    </row>
    <row r="15" spans="1:23" x14ac:dyDescent="0.25">
      <c r="A15" s="2" t="s">
        <v>126</v>
      </c>
      <c r="B15" s="2" t="s">
        <v>125</v>
      </c>
      <c r="C15" s="2" t="s">
        <v>23</v>
      </c>
      <c r="D15" s="8"/>
      <c r="E15" s="2" t="s">
        <v>15</v>
      </c>
      <c r="F15" s="2" t="s">
        <v>24</v>
      </c>
      <c r="G15" s="2" t="s">
        <v>7</v>
      </c>
      <c r="H15" s="5">
        <v>3.0000000000000001E-5</v>
      </c>
      <c r="I15" s="5">
        <v>3.0000000000000001E-5</v>
      </c>
      <c r="J15" s="5">
        <v>3.0000000000000001E-5</v>
      </c>
      <c r="K15" s="5">
        <v>3.0000000000000001E-5</v>
      </c>
      <c r="L15" s="5">
        <v>3.0000000000000001E-5</v>
      </c>
      <c r="M15" s="27" t="s">
        <v>67</v>
      </c>
      <c r="N15" s="2"/>
    </row>
    <row r="16" spans="1:23" x14ac:dyDescent="0.25">
      <c r="A16" s="2" t="s">
        <v>128</v>
      </c>
      <c r="B16" s="2" t="s">
        <v>127</v>
      </c>
      <c r="C16" s="2" t="s">
        <v>23</v>
      </c>
      <c r="D16" s="8"/>
      <c r="E16" s="2" t="s">
        <v>15</v>
      </c>
      <c r="F16" s="2" t="s">
        <v>24</v>
      </c>
      <c r="G16" s="2" t="s">
        <v>7</v>
      </c>
      <c r="H16" s="5">
        <v>1.0000000000000001E-5</v>
      </c>
      <c r="I16" s="5">
        <v>1.0000000000000001E-5</v>
      </c>
      <c r="J16" s="5">
        <v>1.0000000000000001E-5</v>
      </c>
      <c r="K16" s="5">
        <v>1.0000000000000001E-5</v>
      </c>
      <c r="L16" s="5">
        <v>1.0000000000000001E-5</v>
      </c>
      <c r="M16" s="27" t="s">
        <v>67</v>
      </c>
      <c r="N16" s="29"/>
    </row>
    <row r="17" spans="1:23" x14ac:dyDescent="0.25">
      <c r="A17" s="2" t="s">
        <v>130</v>
      </c>
      <c r="B17" s="2" t="s">
        <v>129</v>
      </c>
      <c r="C17" s="2" t="s">
        <v>23</v>
      </c>
      <c r="D17" s="2"/>
      <c r="E17" s="2" t="s">
        <v>15</v>
      </c>
      <c r="F17" s="2" t="s">
        <v>24</v>
      </c>
      <c r="G17" s="2" t="s">
        <v>7</v>
      </c>
      <c r="H17" s="5">
        <v>9.0000000000000006E-5</v>
      </c>
      <c r="I17" s="5">
        <v>9.0000000000000006E-5</v>
      </c>
      <c r="J17" s="5">
        <v>9.0000000000000006E-5</v>
      </c>
      <c r="K17" s="5">
        <v>9.0000000000000006E-5</v>
      </c>
      <c r="L17" s="5">
        <v>9.0000000000000006E-5</v>
      </c>
      <c r="M17" s="27" t="s">
        <v>67</v>
      </c>
      <c r="N17" s="2"/>
      <c r="S17" s="1"/>
    </row>
    <row r="18" spans="1:23" x14ac:dyDescent="0.25">
      <c r="A18" s="2" t="s">
        <v>132</v>
      </c>
      <c r="B18" s="2" t="s">
        <v>131</v>
      </c>
      <c r="C18" s="2" t="s">
        <v>23</v>
      </c>
      <c r="D18" s="12"/>
      <c r="E18" s="2" t="s">
        <v>15</v>
      </c>
      <c r="F18" s="2" t="s">
        <v>24</v>
      </c>
      <c r="G18" s="2" t="s">
        <v>6</v>
      </c>
      <c r="H18" s="5">
        <v>3.7199999999999998E-11</v>
      </c>
      <c r="I18" s="5">
        <v>3.7199999999999998E-11</v>
      </c>
      <c r="J18" s="5">
        <v>3.7199999999999998E-11</v>
      </c>
      <c r="K18" s="5">
        <v>3.7199999999999998E-11</v>
      </c>
      <c r="L18" s="5">
        <v>3.7199999999999998E-11</v>
      </c>
      <c r="M18" s="27" t="s">
        <v>67</v>
      </c>
      <c r="N18" s="2"/>
      <c r="S18" s="2"/>
      <c r="V18" s="16"/>
      <c r="W18" s="16"/>
    </row>
    <row r="19" spans="1:23" x14ac:dyDescent="0.25">
      <c r="A19" s="2" t="s">
        <v>134</v>
      </c>
      <c r="B19" s="2" t="s">
        <v>133</v>
      </c>
      <c r="C19" s="2" t="s">
        <v>23</v>
      </c>
      <c r="D19" s="2"/>
      <c r="E19" s="2" t="s">
        <v>15</v>
      </c>
      <c r="F19" s="2" t="s">
        <v>24</v>
      </c>
      <c r="G19" s="2" t="s">
        <v>7</v>
      </c>
      <c r="H19" s="5">
        <v>2.0000000000000002E-5</v>
      </c>
      <c r="I19" s="5">
        <v>2.0000000000000002E-5</v>
      </c>
      <c r="J19" s="5">
        <v>2.0000000000000002E-5</v>
      </c>
      <c r="K19" s="5">
        <v>2.0000000000000002E-5</v>
      </c>
      <c r="L19" s="5">
        <v>2.0000000000000002E-5</v>
      </c>
      <c r="M19" s="27" t="s">
        <v>67</v>
      </c>
      <c r="N19" s="2"/>
      <c r="S19" s="27"/>
    </row>
    <row r="20" spans="1:23" x14ac:dyDescent="0.25">
      <c r="A20" s="2" t="s">
        <v>136</v>
      </c>
      <c r="B20" s="2" t="s">
        <v>135</v>
      </c>
      <c r="C20" s="2" t="s">
        <v>23</v>
      </c>
      <c r="D20" s="1"/>
      <c r="E20" s="2" t="s">
        <v>124</v>
      </c>
      <c r="F20" s="2" t="s">
        <v>24</v>
      </c>
      <c r="G20" s="2" t="s">
        <v>7</v>
      </c>
      <c r="H20" s="35">
        <v>0.20000395371517399</v>
      </c>
      <c r="I20" s="35">
        <f>SUM($H$20:$H$22)</f>
        <v>0.84999999999999942</v>
      </c>
      <c r="J20" s="35">
        <f>SUM($H$20:$H$22)</f>
        <v>0.84999999999999942</v>
      </c>
      <c r="K20" s="35">
        <f>SUM($H$20:$H$22)</f>
        <v>0.84999999999999942</v>
      </c>
      <c r="L20" s="35">
        <f>SUM($H$20:$H$22)</f>
        <v>0.84999999999999942</v>
      </c>
      <c r="M20" s="27" t="s">
        <v>67</v>
      </c>
      <c r="N20" s="2"/>
      <c r="S20" s="27"/>
    </row>
    <row r="21" spans="1:23" x14ac:dyDescent="0.25">
      <c r="A21" s="2" t="s">
        <v>136</v>
      </c>
      <c r="B21" s="2" t="s">
        <v>135</v>
      </c>
      <c r="C21" s="2" t="s">
        <v>23</v>
      </c>
      <c r="D21" s="2"/>
      <c r="E21" s="2" t="s">
        <v>27</v>
      </c>
      <c r="F21" s="2" t="s">
        <v>24</v>
      </c>
      <c r="G21" s="2" t="s">
        <v>7</v>
      </c>
      <c r="H21" s="5">
        <v>7.1996494372545403E-4</v>
      </c>
      <c r="I21" s="2"/>
      <c r="J21" s="2"/>
      <c r="K21" s="2"/>
      <c r="L21" s="2"/>
      <c r="M21" s="27" t="s">
        <v>67</v>
      </c>
      <c r="N21" s="28"/>
      <c r="S21" s="28"/>
      <c r="V21" s="16"/>
      <c r="W21" s="16"/>
    </row>
    <row r="22" spans="1:23" x14ac:dyDescent="0.25">
      <c r="A22" s="2" t="s">
        <v>136</v>
      </c>
      <c r="B22" s="2" t="s">
        <v>135</v>
      </c>
      <c r="C22" s="2" t="s">
        <v>23</v>
      </c>
      <c r="D22" s="1"/>
      <c r="E22" s="2" t="s">
        <v>83</v>
      </c>
      <c r="F22" s="2" t="s">
        <v>24</v>
      </c>
      <c r="G22" s="2" t="s">
        <v>7</v>
      </c>
      <c r="H22" s="35">
        <v>0.64927608134110004</v>
      </c>
      <c r="I22" s="2"/>
      <c r="J22" s="2"/>
      <c r="K22" s="2"/>
      <c r="L22" s="2"/>
      <c r="M22" s="27" t="s">
        <v>67</v>
      </c>
      <c r="N22" s="28"/>
      <c r="S22" s="28"/>
      <c r="V22" s="16"/>
      <c r="W22" s="16"/>
    </row>
    <row r="23" spans="1:23" x14ac:dyDescent="0.25">
      <c r="A23" s="2" t="s">
        <v>138</v>
      </c>
      <c r="B23" s="2" t="s">
        <v>137</v>
      </c>
      <c r="C23" s="2" t="s">
        <v>23</v>
      </c>
      <c r="D23" s="1"/>
      <c r="E23" s="2" t="s">
        <v>83</v>
      </c>
      <c r="F23" s="2" t="s">
        <v>24</v>
      </c>
      <c r="G23" s="2" t="s">
        <v>7</v>
      </c>
      <c r="H23" s="5">
        <v>2.0525110451113999E-4</v>
      </c>
      <c r="I23" s="2"/>
      <c r="J23" s="2"/>
      <c r="K23" s="2"/>
      <c r="L23" s="2"/>
      <c r="M23" s="27" t="s">
        <v>67</v>
      </c>
      <c r="N23" s="28"/>
      <c r="S23" s="28"/>
    </row>
    <row r="24" spans="1:23" x14ac:dyDescent="0.25">
      <c r="A24" s="2" t="s">
        <v>138</v>
      </c>
      <c r="B24" s="2" t="s">
        <v>137</v>
      </c>
      <c r="C24" s="2" t="s">
        <v>23</v>
      </c>
      <c r="D24" s="2"/>
      <c r="E24" s="2" t="s">
        <v>139</v>
      </c>
      <c r="F24" s="2" t="s">
        <v>24</v>
      </c>
      <c r="G24" s="2" t="s">
        <v>7</v>
      </c>
      <c r="H24" s="5">
        <v>3.47488954888601E-5</v>
      </c>
      <c r="I24" s="5">
        <f>SUM($H$23:$H$24)</f>
        <v>2.4000000000000009E-4</v>
      </c>
      <c r="J24" s="5">
        <f>SUM($H$23:$H$24)</f>
        <v>2.4000000000000009E-4</v>
      </c>
      <c r="K24" s="5">
        <f>SUM($H$23:$H$24)</f>
        <v>2.4000000000000009E-4</v>
      </c>
      <c r="L24" s="5">
        <f>SUM($H$23:$H$24)</f>
        <v>2.4000000000000009E-4</v>
      </c>
      <c r="M24" s="27" t="s">
        <v>67</v>
      </c>
      <c r="N24" s="28"/>
      <c r="S24" s="28"/>
    </row>
    <row r="25" spans="1:23" x14ac:dyDescent="0.25">
      <c r="A25" s="30" t="s">
        <v>204</v>
      </c>
      <c r="B25" s="2"/>
      <c r="C25" s="1" t="s">
        <v>16</v>
      </c>
      <c r="D25" s="8" t="s">
        <v>26</v>
      </c>
      <c r="E25" s="2"/>
      <c r="F25" s="2" t="s">
        <v>17</v>
      </c>
      <c r="G25" s="1" t="s">
        <v>7</v>
      </c>
      <c r="H25" s="2">
        <v>9.7999999999999997E-4</v>
      </c>
      <c r="I25" s="2"/>
      <c r="J25" s="2"/>
      <c r="K25" s="2"/>
      <c r="L25" s="2"/>
      <c r="M25" s="27" t="s">
        <v>67</v>
      </c>
      <c r="O25" s="27"/>
      <c r="S25" s="28"/>
    </row>
    <row r="26" spans="1:23" x14ac:dyDescent="0.25">
      <c r="A26" s="30" t="s">
        <v>54</v>
      </c>
      <c r="B26" s="2"/>
      <c r="C26" s="1" t="s">
        <v>16</v>
      </c>
      <c r="D26" s="8" t="s">
        <v>26</v>
      </c>
      <c r="E26" s="2"/>
      <c r="F26" s="2" t="s">
        <v>17</v>
      </c>
      <c r="G26" s="1" t="s">
        <v>7</v>
      </c>
      <c r="H26" s="2"/>
      <c r="I26" s="2">
        <v>9.7999999999999997E-4</v>
      </c>
      <c r="J26" s="2">
        <v>9.7999999999999997E-4</v>
      </c>
      <c r="K26" s="2">
        <v>9.7999999999999997E-4</v>
      </c>
      <c r="L26" s="2">
        <v>9.7999999999999997E-4</v>
      </c>
      <c r="M26" s="27" t="s">
        <v>67</v>
      </c>
      <c r="O26" s="27"/>
      <c r="S26" s="28"/>
    </row>
    <row r="27" spans="1:23" x14ac:dyDescent="0.25">
      <c r="A27" s="2" t="s">
        <v>145</v>
      </c>
      <c r="B27" s="2"/>
      <c r="C27" s="2" t="s">
        <v>16</v>
      </c>
      <c r="D27" s="2" t="s">
        <v>158</v>
      </c>
      <c r="E27" s="2"/>
      <c r="F27" s="2" t="s">
        <v>17</v>
      </c>
      <c r="G27" s="2" t="s">
        <v>28</v>
      </c>
      <c r="H27" s="2">
        <v>8.1600000000000006E-3</v>
      </c>
      <c r="I27" s="2">
        <v>8.1600000000000006E-3</v>
      </c>
      <c r="J27" s="2">
        <v>8.1600000000000006E-3</v>
      </c>
      <c r="K27" s="2">
        <v>8.1600000000000006E-3</v>
      </c>
      <c r="L27" s="2">
        <v>8.1600000000000006E-3</v>
      </c>
      <c r="M27" s="27" t="s">
        <v>67</v>
      </c>
      <c r="O27" s="28"/>
      <c r="S27" s="28"/>
    </row>
    <row r="28" spans="1:23" x14ac:dyDescent="0.25">
      <c r="A28" s="2" t="s">
        <v>146</v>
      </c>
      <c r="B28" s="2"/>
      <c r="C28" s="2" t="s">
        <v>16</v>
      </c>
      <c r="D28" s="2" t="s">
        <v>147</v>
      </c>
      <c r="E28" s="2"/>
      <c r="F28" s="2" t="s">
        <v>17</v>
      </c>
      <c r="G28" s="2" t="s">
        <v>7</v>
      </c>
      <c r="H28" s="5">
        <v>1.9999999999999999E-6</v>
      </c>
      <c r="I28" s="5">
        <v>1.9999999999999999E-6</v>
      </c>
      <c r="J28" s="5">
        <v>1.9999999999999999E-6</v>
      </c>
      <c r="K28" s="5">
        <v>1.9999999999999999E-6</v>
      </c>
      <c r="L28" s="5">
        <v>1.9999999999999999E-6</v>
      </c>
      <c r="M28" s="27" t="s">
        <v>67</v>
      </c>
      <c r="O28" s="28"/>
      <c r="S28" s="28"/>
    </row>
    <row r="29" spans="1:23" x14ac:dyDescent="0.25">
      <c r="A29" s="2" t="s">
        <v>109</v>
      </c>
      <c r="B29" s="2"/>
      <c r="C29" s="2" t="s">
        <v>16</v>
      </c>
      <c r="D29" s="8" t="s">
        <v>26</v>
      </c>
      <c r="E29" s="2"/>
      <c r="F29" s="2" t="s">
        <v>17</v>
      </c>
      <c r="G29" s="2" t="s">
        <v>7</v>
      </c>
      <c r="H29" s="2">
        <v>1.4999999999999999E-4</v>
      </c>
      <c r="I29" s="2">
        <v>1.4999999999999999E-4</v>
      </c>
      <c r="J29" s="2">
        <v>1.4999999999999999E-4</v>
      </c>
      <c r="K29" s="2">
        <v>1.4999999999999999E-4</v>
      </c>
      <c r="L29" s="2">
        <v>1.4999999999999999E-4</v>
      </c>
      <c r="M29" s="27" t="s">
        <v>67</v>
      </c>
      <c r="O29" s="28"/>
      <c r="S29" s="28"/>
    </row>
    <row r="30" spans="1:23" x14ac:dyDescent="0.25">
      <c r="A30" s="2" t="s">
        <v>148</v>
      </c>
      <c r="B30" s="2"/>
      <c r="C30" s="2" t="s">
        <v>16</v>
      </c>
      <c r="D30" s="2" t="s">
        <v>147</v>
      </c>
      <c r="E30" s="2"/>
      <c r="F30" s="2" t="s">
        <v>17</v>
      </c>
      <c r="G30" s="2" t="s">
        <v>28</v>
      </c>
      <c r="H30" s="2">
        <v>5.67375E-3</v>
      </c>
      <c r="I30" s="2">
        <v>5.67375E-3</v>
      </c>
      <c r="J30" s="2">
        <v>5.67375E-3</v>
      </c>
      <c r="K30" s="2">
        <v>5.67375E-3</v>
      </c>
      <c r="L30" s="2">
        <v>5.67375E-3</v>
      </c>
      <c r="M30" s="27" t="s">
        <v>67</v>
      </c>
      <c r="O30" s="28"/>
      <c r="S30" s="28"/>
    </row>
    <row r="31" spans="1:23" x14ac:dyDescent="0.25">
      <c r="A31" s="2" t="s">
        <v>149</v>
      </c>
      <c r="B31" s="2"/>
      <c r="C31" s="2" t="s">
        <v>16</v>
      </c>
      <c r="D31" s="2" t="s">
        <v>147</v>
      </c>
      <c r="E31" s="2"/>
      <c r="F31" s="2" t="s">
        <v>17</v>
      </c>
      <c r="G31" s="2" t="s">
        <v>7</v>
      </c>
      <c r="H31" s="2">
        <v>1.8000000000000001E-4</v>
      </c>
      <c r="I31" s="2">
        <v>1.8000000000000001E-4</v>
      </c>
      <c r="J31" s="2">
        <v>1.8000000000000001E-4</v>
      </c>
      <c r="K31" s="2">
        <v>1.8000000000000001E-4</v>
      </c>
      <c r="L31" s="2">
        <v>1.8000000000000001E-4</v>
      </c>
      <c r="M31" s="27" t="s">
        <v>67</v>
      </c>
      <c r="O31" s="28"/>
      <c r="S31" s="28"/>
    </row>
    <row r="32" spans="1:23" x14ac:dyDescent="0.25">
      <c r="A32" s="2" t="s">
        <v>150</v>
      </c>
      <c r="B32" s="2"/>
      <c r="C32" s="2" t="s">
        <v>16</v>
      </c>
      <c r="D32" s="2" t="s">
        <v>147</v>
      </c>
      <c r="E32" s="2"/>
      <c r="F32" s="2" t="s">
        <v>17</v>
      </c>
      <c r="G32" s="2" t="s">
        <v>7</v>
      </c>
      <c r="H32" s="5">
        <v>3.0000000000000001E-5</v>
      </c>
      <c r="I32" s="5">
        <v>3.0000000000000001E-5</v>
      </c>
      <c r="J32" s="5">
        <v>3.0000000000000001E-5</v>
      </c>
      <c r="K32" s="5">
        <v>3.0000000000000001E-5</v>
      </c>
      <c r="L32" s="5">
        <v>3.0000000000000001E-5</v>
      </c>
      <c r="M32" s="27" t="s">
        <v>67</v>
      </c>
      <c r="O32" s="28"/>
      <c r="S32" s="28"/>
    </row>
    <row r="33" spans="1:19" x14ac:dyDescent="0.25">
      <c r="A33" s="30" t="s">
        <v>151</v>
      </c>
      <c r="B33" s="2"/>
      <c r="C33" s="1" t="s">
        <v>16</v>
      </c>
      <c r="D33" s="1" t="s">
        <v>147</v>
      </c>
      <c r="E33" s="2"/>
      <c r="F33" s="2" t="s">
        <v>17</v>
      </c>
      <c r="G33" s="1" t="s">
        <v>7</v>
      </c>
      <c r="H33" s="2">
        <v>2.4000000000000001E-4</v>
      </c>
      <c r="I33" s="2">
        <v>2.4000000000000001E-4</v>
      </c>
      <c r="J33" s="2">
        <v>2.4000000000000001E-4</v>
      </c>
      <c r="K33" s="2">
        <v>2.4000000000000001E-4</v>
      </c>
      <c r="L33" s="2">
        <v>2.4000000000000001E-4</v>
      </c>
      <c r="M33" s="27" t="s">
        <v>67</v>
      </c>
      <c r="O33" s="28"/>
      <c r="S33" s="28"/>
    </row>
    <row r="34" spans="1:19" x14ac:dyDescent="0.25">
      <c r="A34" s="30" t="s">
        <v>152</v>
      </c>
      <c r="B34" s="2"/>
      <c r="C34" s="1" t="s">
        <v>16</v>
      </c>
      <c r="D34" s="1" t="s">
        <v>147</v>
      </c>
      <c r="E34" s="2"/>
      <c r="F34" s="2" t="s">
        <v>17</v>
      </c>
      <c r="G34" s="1" t="s">
        <v>7</v>
      </c>
      <c r="H34" s="5">
        <v>9.9999999999999995E-7</v>
      </c>
      <c r="I34" s="5">
        <v>9.9999999999999995E-7</v>
      </c>
      <c r="J34" s="5">
        <v>9.9999999999999995E-7</v>
      </c>
      <c r="K34" s="5">
        <v>9.9999999999999995E-7</v>
      </c>
      <c r="L34" s="5">
        <v>9.9999999999999995E-7</v>
      </c>
      <c r="M34" s="27" t="s">
        <v>67</v>
      </c>
      <c r="O34" s="27"/>
      <c r="S34" s="28"/>
    </row>
    <row r="35" spans="1:19" x14ac:dyDescent="0.25">
      <c r="A35" s="30" t="s">
        <v>150</v>
      </c>
      <c r="B35" s="2"/>
      <c r="C35" s="1" t="s">
        <v>16</v>
      </c>
      <c r="D35" s="8" t="s">
        <v>26</v>
      </c>
      <c r="E35" s="2"/>
      <c r="F35" s="2" t="s">
        <v>17</v>
      </c>
      <c r="G35" s="1" t="s">
        <v>7</v>
      </c>
      <c r="H35" s="2">
        <v>5.2999999999999998E-4</v>
      </c>
      <c r="I35" s="2">
        <v>5.2999999999999998E-4</v>
      </c>
      <c r="J35" s="2">
        <v>5.2999999999999998E-4</v>
      </c>
      <c r="K35" s="2">
        <v>5.2999999999999998E-4</v>
      </c>
      <c r="L35" s="2">
        <v>5.2999999999999998E-4</v>
      </c>
      <c r="M35" s="27" t="s">
        <v>67</v>
      </c>
      <c r="O35" s="27"/>
      <c r="S35" s="28"/>
    </row>
    <row r="36" spans="1:19" x14ac:dyDescent="0.25">
      <c r="A36" s="30" t="s">
        <v>148</v>
      </c>
      <c r="B36" s="2"/>
      <c r="C36" s="1" t="s">
        <v>16</v>
      </c>
      <c r="D36" s="1" t="s">
        <v>30</v>
      </c>
      <c r="E36" s="2"/>
      <c r="F36" s="2" t="s">
        <v>17</v>
      </c>
      <c r="G36" s="1" t="s">
        <v>28</v>
      </c>
      <c r="H36" s="2">
        <v>3.3362499999999998E-3</v>
      </c>
      <c r="I36" s="2">
        <v>3.3362499999999998E-3</v>
      </c>
      <c r="J36" s="2">
        <v>3.3362499999999998E-3</v>
      </c>
      <c r="K36" s="2">
        <v>3.3362499999999998E-3</v>
      </c>
      <c r="L36" s="2">
        <v>3.3362499999999998E-3</v>
      </c>
      <c r="M36" s="27" t="s">
        <v>67</v>
      </c>
      <c r="O36" s="27"/>
      <c r="S36" s="28"/>
    </row>
    <row r="37" spans="1:19" x14ac:dyDescent="0.25">
      <c r="A37" s="30" t="s">
        <v>153</v>
      </c>
      <c r="B37" s="2"/>
      <c r="C37" s="1" t="s">
        <v>16</v>
      </c>
      <c r="D37" s="1" t="s">
        <v>147</v>
      </c>
      <c r="E37" s="2"/>
      <c r="F37" s="2" t="s">
        <v>17</v>
      </c>
      <c r="G37" s="1" t="s">
        <v>7</v>
      </c>
      <c r="H37" s="5">
        <v>2.0000000000000002E-5</v>
      </c>
      <c r="I37" s="5">
        <v>2.0000000000000002E-5</v>
      </c>
      <c r="J37" s="5">
        <v>2.0000000000000002E-5</v>
      </c>
      <c r="K37" s="5">
        <v>2.0000000000000002E-5</v>
      </c>
      <c r="L37" s="5">
        <v>2.0000000000000002E-5</v>
      </c>
      <c r="M37" s="27" t="s">
        <v>67</v>
      </c>
      <c r="O37" s="27"/>
      <c r="S37" s="28"/>
    </row>
    <row r="38" spans="1:19" x14ac:dyDescent="0.25">
      <c r="A38" s="30" t="s">
        <v>154</v>
      </c>
      <c r="B38" s="2"/>
      <c r="C38" s="1" t="s">
        <v>16</v>
      </c>
      <c r="D38" s="1" t="s">
        <v>147</v>
      </c>
      <c r="E38" s="2"/>
      <c r="F38" s="2" t="s">
        <v>17</v>
      </c>
      <c r="G38" s="1" t="s">
        <v>7</v>
      </c>
      <c r="H38" s="2">
        <v>2.4000000000000001E-4</v>
      </c>
      <c r="I38" s="2">
        <v>2.4000000000000001E-4</v>
      </c>
      <c r="J38" s="2">
        <v>2.4000000000000001E-4</v>
      </c>
      <c r="K38" s="2">
        <v>2.4000000000000001E-4</v>
      </c>
      <c r="L38" s="2">
        <v>2.4000000000000001E-4</v>
      </c>
      <c r="M38" s="27" t="s">
        <v>67</v>
      </c>
      <c r="O38" s="27"/>
      <c r="S38" s="28"/>
    </row>
    <row r="39" spans="1:19" x14ac:dyDescent="0.25">
      <c r="A39" s="30" t="s">
        <v>75</v>
      </c>
      <c r="B39" s="2"/>
      <c r="C39" s="1" t="s">
        <v>16</v>
      </c>
      <c r="D39" s="8" t="s">
        <v>26</v>
      </c>
      <c r="E39" s="2"/>
      <c r="F39" s="2" t="s">
        <v>17</v>
      </c>
      <c r="G39" s="1" t="s">
        <v>7</v>
      </c>
      <c r="H39" s="5">
        <v>1.38E-5</v>
      </c>
      <c r="I39" s="5">
        <v>1.38E-5</v>
      </c>
      <c r="J39" s="5">
        <v>1.38E-5</v>
      </c>
      <c r="K39" s="5">
        <v>1.38E-5</v>
      </c>
      <c r="L39" s="5">
        <v>1.38E-5</v>
      </c>
      <c r="M39" s="27" t="s">
        <v>67</v>
      </c>
      <c r="O39" s="27"/>
      <c r="S39" s="28"/>
    </row>
    <row r="40" spans="1:19" x14ac:dyDescent="0.25">
      <c r="A40" s="30" t="s">
        <v>107</v>
      </c>
      <c r="B40" s="2"/>
      <c r="C40" s="1" t="s">
        <v>16</v>
      </c>
      <c r="D40" s="1" t="s">
        <v>147</v>
      </c>
      <c r="E40" s="2"/>
      <c r="F40" s="2" t="s">
        <v>17</v>
      </c>
      <c r="G40" s="1" t="s">
        <v>7</v>
      </c>
      <c r="H40" s="2">
        <v>1E-4</v>
      </c>
      <c r="I40" s="2">
        <v>1E-4</v>
      </c>
      <c r="J40" s="2">
        <v>1E-4</v>
      </c>
      <c r="K40" s="2">
        <v>1E-4</v>
      </c>
      <c r="L40" s="2">
        <v>1E-4</v>
      </c>
      <c r="M40" s="27" t="s">
        <v>67</v>
      </c>
      <c r="O40" s="27"/>
      <c r="S40" s="28"/>
    </row>
    <row r="41" spans="1:19" x14ac:dyDescent="0.25">
      <c r="A41" s="30" t="s">
        <v>155</v>
      </c>
      <c r="B41" s="2"/>
      <c r="C41" s="1" t="s">
        <v>16</v>
      </c>
      <c r="D41" s="1" t="s">
        <v>147</v>
      </c>
      <c r="E41" s="2"/>
      <c r="F41" s="2" t="s">
        <v>17</v>
      </c>
      <c r="G41" s="1" t="s">
        <v>7</v>
      </c>
      <c r="H41" s="5">
        <v>1.0000000000000001E-5</v>
      </c>
      <c r="I41" s="5">
        <v>1.0000000000000001E-5</v>
      </c>
      <c r="J41" s="5">
        <v>1.0000000000000001E-5</v>
      </c>
      <c r="K41" s="5">
        <v>1.0000000000000001E-5</v>
      </c>
      <c r="L41" s="5">
        <v>1.0000000000000001E-5</v>
      </c>
      <c r="M41" s="27" t="s">
        <v>67</v>
      </c>
      <c r="O41" s="27"/>
      <c r="S41" s="28"/>
    </row>
    <row r="42" spans="1:19" x14ac:dyDescent="0.25">
      <c r="A42" s="30" t="s">
        <v>156</v>
      </c>
      <c r="B42" s="2"/>
      <c r="C42" s="1" t="s">
        <v>16</v>
      </c>
      <c r="D42" s="1" t="s">
        <v>147</v>
      </c>
      <c r="E42" s="2"/>
      <c r="F42" s="2" t="s">
        <v>17</v>
      </c>
      <c r="G42" s="1" t="s">
        <v>7</v>
      </c>
      <c r="H42" s="2">
        <v>4.8999999999999998E-4</v>
      </c>
      <c r="I42" s="2">
        <v>4.8999999999999998E-4</v>
      </c>
      <c r="J42" s="2">
        <v>4.8999999999999998E-4</v>
      </c>
      <c r="K42" s="2">
        <v>4.8999999999999998E-4</v>
      </c>
      <c r="L42" s="2">
        <v>4.8999999999999998E-4</v>
      </c>
      <c r="M42" s="27" t="s">
        <v>67</v>
      </c>
      <c r="O42" s="27"/>
    </row>
    <row r="43" spans="1:19" x14ac:dyDescent="0.25">
      <c r="A43" s="30" t="s">
        <v>157</v>
      </c>
      <c r="B43" s="2"/>
      <c r="C43" s="1" t="s">
        <v>16</v>
      </c>
      <c r="D43" s="1" t="s">
        <v>147</v>
      </c>
      <c r="E43" s="2"/>
      <c r="F43" s="2" t="s">
        <v>17</v>
      </c>
      <c r="G43" s="1" t="s">
        <v>7</v>
      </c>
      <c r="H43" s="5">
        <v>1.0000000000000001E-5</v>
      </c>
      <c r="I43" s="5">
        <v>1.0000000000000001E-5</v>
      </c>
      <c r="J43" s="5">
        <v>1.0000000000000001E-5</v>
      </c>
      <c r="K43" s="5">
        <v>1.0000000000000001E-5</v>
      </c>
      <c r="L43" s="5">
        <v>1.0000000000000001E-5</v>
      </c>
      <c r="M43" s="27" t="s">
        <v>67</v>
      </c>
      <c r="O43" s="27"/>
    </row>
    <row r="44" spans="1:19" x14ac:dyDescent="0.25">
      <c r="A44" s="2"/>
      <c r="B44" s="2"/>
      <c r="C44" s="2"/>
      <c r="D44" s="2"/>
      <c r="E44" s="2"/>
      <c r="F44" s="2"/>
      <c r="G44" s="2"/>
      <c r="H44" s="2"/>
      <c r="I44" s="2"/>
      <c r="J44" s="2"/>
      <c r="K44" s="2"/>
      <c r="L44" s="2"/>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AB785-2DAA-4A86-B95F-186B01E9E5A0}">
  <dimension ref="A1:AK15"/>
  <sheetViews>
    <sheetView zoomScale="85" zoomScaleNormal="85" workbookViewId="0">
      <pane xSplit="2" ySplit="2" topLeftCell="J3" activePane="bottomRight" state="frozen"/>
      <selection pane="topRight" activeCell="C1" sqref="C1"/>
      <selection pane="bottomLeft" activeCell="A3" sqref="A3"/>
      <selection pane="bottomRight" activeCell="A52" sqref="A52"/>
    </sheetView>
  </sheetViews>
  <sheetFormatPr defaultRowHeight="15" x14ac:dyDescent="0.25"/>
  <cols>
    <col min="1" max="1" width="41.28515625" customWidth="1"/>
    <col min="2" max="2" width="23.5703125" bestFit="1" customWidth="1"/>
    <col min="3" max="3" width="17.5703125" bestFit="1" customWidth="1"/>
    <col min="5" max="5" width="7.5703125" bestFit="1" customWidth="1"/>
    <col min="6" max="6" width="12.28515625" bestFit="1" customWidth="1"/>
    <col min="7" max="7" width="11.85546875" bestFit="1" customWidth="1"/>
    <col min="8" max="37" width="10.5703125" customWidth="1"/>
  </cols>
  <sheetData>
    <row r="1" spans="1:37" x14ac:dyDescent="0.25">
      <c r="A1" t="s">
        <v>174</v>
      </c>
    </row>
    <row r="2" spans="1:37" ht="105" x14ac:dyDescent="0.25">
      <c r="A2" s="10" t="s">
        <v>9</v>
      </c>
      <c r="B2" s="10" t="s">
        <v>10</v>
      </c>
      <c r="C2" s="10" t="s">
        <v>12</v>
      </c>
      <c r="D2" s="10" t="s">
        <v>13</v>
      </c>
      <c r="E2" s="10" t="s">
        <v>3</v>
      </c>
      <c r="F2" s="10" t="s">
        <v>5</v>
      </c>
      <c r="G2" s="10" t="s">
        <v>6</v>
      </c>
      <c r="H2" s="34" t="s">
        <v>299</v>
      </c>
      <c r="I2" s="34" t="s">
        <v>319</v>
      </c>
      <c r="J2" s="34" t="s">
        <v>300</v>
      </c>
      <c r="K2" s="34" t="s">
        <v>315</v>
      </c>
      <c r="L2" s="34" t="s">
        <v>301</v>
      </c>
      <c r="M2" s="34" t="s">
        <v>302</v>
      </c>
      <c r="N2" s="34" t="s">
        <v>303</v>
      </c>
      <c r="O2" s="34" t="s">
        <v>320</v>
      </c>
      <c r="P2" s="34" t="s">
        <v>304</v>
      </c>
      <c r="Q2" s="34" t="s">
        <v>316</v>
      </c>
      <c r="R2" s="34" t="s">
        <v>305</v>
      </c>
      <c r="S2" s="34" t="s">
        <v>306</v>
      </c>
      <c r="T2" s="34" t="s">
        <v>307</v>
      </c>
      <c r="U2" s="34" t="s">
        <v>321</v>
      </c>
      <c r="V2" s="34" t="s">
        <v>308</v>
      </c>
      <c r="W2" s="34" t="s">
        <v>317</v>
      </c>
      <c r="X2" s="34" t="s">
        <v>309</v>
      </c>
      <c r="Y2" s="34" t="s">
        <v>310</v>
      </c>
      <c r="Z2" s="34" t="s">
        <v>311</v>
      </c>
      <c r="AA2" s="34" t="s">
        <v>322</v>
      </c>
      <c r="AB2" s="34" t="s">
        <v>312</v>
      </c>
      <c r="AC2" s="34" t="s">
        <v>318</v>
      </c>
      <c r="AD2" s="34" t="s">
        <v>313</v>
      </c>
      <c r="AE2" s="34" t="s">
        <v>314</v>
      </c>
      <c r="AF2" s="34" t="s">
        <v>323</v>
      </c>
      <c r="AG2" s="34" t="s">
        <v>324</v>
      </c>
      <c r="AH2" s="34" t="s">
        <v>325</v>
      </c>
      <c r="AI2" s="34" t="s">
        <v>326</v>
      </c>
      <c r="AJ2" s="34" t="s">
        <v>327</v>
      </c>
      <c r="AK2" s="34" t="s">
        <v>328</v>
      </c>
    </row>
    <row r="3" spans="1:37" x14ac:dyDescent="0.25">
      <c r="A3" t="s">
        <v>165</v>
      </c>
      <c r="B3" t="s">
        <v>164</v>
      </c>
      <c r="C3" t="s">
        <v>20</v>
      </c>
      <c r="E3" t="s">
        <v>55</v>
      </c>
      <c r="F3" t="s">
        <v>14</v>
      </c>
      <c r="G3" t="s">
        <v>7</v>
      </c>
      <c r="H3" s="24">
        <v>1</v>
      </c>
      <c r="I3" s="24">
        <v>1</v>
      </c>
      <c r="J3" s="24">
        <v>1</v>
      </c>
      <c r="K3" s="24">
        <v>1</v>
      </c>
      <c r="L3" s="24">
        <v>1</v>
      </c>
      <c r="M3" s="24">
        <v>1</v>
      </c>
      <c r="N3" s="24"/>
      <c r="O3" s="24"/>
      <c r="P3" s="24"/>
      <c r="Q3" s="24"/>
      <c r="R3" s="24"/>
      <c r="S3" s="24"/>
      <c r="T3" s="24"/>
      <c r="U3" s="24"/>
      <c r="V3" s="24"/>
      <c r="W3" s="24"/>
      <c r="X3" s="24"/>
      <c r="Y3" s="24"/>
      <c r="Z3" s="24"/>
      <c r="AA3" s="24"/>
      <c r="AB3" s="24"/>
      <c r="AC3" s="24"/>
      <c r="AD3" s="24"/>
      <c r="AE3" s="24"/>
      <c r="AF3" s="24"/>
      <c r="AG3" s="24"/>
      <c r="AH3" s="24"/>
      <c r="AI3" s="24"/>
      <c r="AJ3" s="24"/>
      <c r="AK3" s="24"/>
    </row>
    <row r="4" spans="1:37" x14ac:dyDescent="0.25">
      <c r="A4" t="s">
        <v>166</v>
      </c>
      <c r="B4" t="s">
        <v>167</v>
      </c>
      <c r="C4" t="s">
        <v>20</v>
      </c>
      <c r="E4" t="s">
        <v>55</v>
      </c>
      <c r="F4" t="s">
        <v>14</v>
      </c>
      <c r="G4" t="s">
        <v>7</v>
      </c>
      <c r="N4" s="24">
        <v>1</v>
      </c>
      <c r="O4" s="24">
        <v>1</v>
      </c>
      <c r="P4" s="24">
        <v>1</v>
      </c>
      <c r="Q4" s="24">
        <v>1</v>
      </c>
      <c r="R4" s="24">
        <v>1</v>
      </c>
      <c r="S4" s="24">
        <v>1</v>
      </c>
    </row>
    <row r="5" spans="1:37" x14ac:dyDescent="0.25">
      <c r="A5" t="s">
        <v>168</v>
      </c>
      <c r="B5" t="s">
        <v>169</v>
      </c>
      <c r="C5" t="s">
        <v>20</v>
      </c>
      <c r="E5" t="s">
        <v>55</v>
      </c>
      <c r="F5" t="s">
        <v>14</v>
      </c>
      <c r="G5" t="s">
        <v>7</v>
      </c>
      <c r="T5" s="24">
        <v>1</v>
      </c>
      <c r="U5" s="24">
        <v>1</v>
      </c>
      <c r="V5" s="24">
        <v>1</v>
      </c>
      <c r="W5" s="24">
        <v>1</v>
      </c>
      <c r="X5" s="24">
        <v>1</v>
      </c>
      <c r="Y5" s="24">
        <v>1</v>
      </c>
    </row>
    <row r="6" spans="1:37" x14ac:dyDescent="0.25">
      <c r="A6" t="s">
        <v>170</v>
      </c>
      <c r="B6" t="s">
        <v>171</v>
      </c>
      <c r="C6" t="s">
        <v>20</v>
      </c>
      <c r="E6" t="s">
        <v>55</v>
      </c>
      <c r="F6" t="s">
        <v>14</v>
      </c>
      <c r="G6" t="s">
        <v>7</v>
      </c>
      <c r="Z6" s="24">
        <v>1</v>
      </c>
      <c r="AA6" s="24">
        <v>1</v>
      </c>
      <c r="AB6" s="24">
        <v>1</v>
      </c>
      <c r="AC6" s="24">
        <v>1</v>
      </c>
      <c r="AD6" s="24">
        <v>1</v>
      </c>
      <c r="AE6" s="24">
        <v>1</v>
      </c>
    </row>
    <row r="7" spans="1:37" x14ac:dyDescent="0.25">
      <c r="A7" t="s">
        <v>172</v>
      </c>
      <c r="B7" t="s">
        <v>173</v>
      </c>
      <c r="C7" t="s">
        <v>20</v>
      </c>
      <c r="E7" t="s">
        <v>55</v>
      </c>
      <c r="F7" t="s">
        <v>14</v>
      </c>
      <c r="G7" t="s">
        <v>7</v>
      </c>
      <c r="AA7" s="24"/>
      <c r="AF7" s="24">
        <v>1</v>
      </c>
      <c r="AG7" s="24">
        <v>1</v>
      </c>
      <c r="AH7" s="24">
        <v>1</v>
      </c>
      <c r="AI7" s="24">
        <v>1</v>
      </c>
      <c r="AJ7" s="24">
        <v>1</v>
      </c>
      <c r="AK7" s="24">
        <v>1</v>
      </c>
    </row>
    <row r="8" spans="1:37" x14ac:dyDescent="0.25">
      <c r="A8" t="s">
        <v>298</v>
      </c>
      <c r="B8" t="s">
        <v>22</v>
      </c>
      <c r="C8" t="s">
        <v>20</v>
      </c>
      <c r="E8" t="s">
        <v>15</v>
      </c>
      <c r="F8" t="s">
        <v>24</v>
      </c>
      <c r="G8" t="s">
        <v>7</v>
      </c>
      <c r="H8" s="16">
        <v>2.48</v>
      </c>
      <c r="I8" s="16"/>
      <c r="J8" s="16"/>
      <c r="K8" s="16"/>
      <c r="L8" s="16"/>
      <c r="M8" s="16"/>
      <c r="N8" s="16">
        <v>2.2999999999999998</v>
      </c>
      <c r="O8" s="16"/>
      <c r="P8" s="16"/>
      <c r="Q8" s="16"/>
      <c r="R8" s="16"/>
      <c r="S8" s="16"/>
      <c r="T8" s="16">
        <v>2.56</v>
      </c>
      <c r="U8" s="16"/>
      <c r="V8" s="16"/>
      <c r="W8" s="16"/>
      <c r="X8" s="16"/>
      <c r="Y8" s="16"/>
      <c r="Z8" s="16">
        <v>2.9</v>
      </c>
      <c r="AA8" s="16"/>
      <c r="AB8" s="16"/>
      <c r="AC8" s="16"/>
      <c r="AD8" s="16"/>
      <c r="AE8" s="16"/>
      <c r="AF8" s="16">
        <v>3.11</v>
      </c>
      <c r="AG8" s="16"/>
      <c r="AH8" s="16"/>
      <c r="AI8" s="16"/>
      <c r="AJ8" s="16"/>
      <c r="AK8" s="16"/>
    </row>
    <row r="9" spans="1:37" x14ac:dyDescent="0.25">
      <c r="A9" t="s">
        <v>220</v>
      </c>
      <c r="B9" t="s">
        <v>22</v>
      </c>
      <c r="C9" t="s">
        <v>20</v>
      </c>
      <c r="E9" t="s">
        <v>55</v>
      </c>
      <c r="F9" t="s">
        <v>24</v>
      </c>
      <c r="G9" t="s">
        <v>7</v>
      </c>
      <c r="H9" s="16"/>
      <c r="I9" s="16">
        <v>2.48</v>
      </c>
      <c r="J9" s="16"/>
      <c r="K9" s="16"/>
      <c r="L9" s="16"/>
      <c r="M9" s="16"/>
      <c r="N9" s="16"/>
      <c r="O9" s="16">
        <v>2.2999999999999998</v>
      </c>
      <c r="P9" s="16"/>
      <c r="Q9" s="16"/>
      <c r="R9" s="16"/>
      <c r="S9" s="16"/>
      <c r="T9" s="16"/>
      <c r="U9" s="16">
        <v>2.56</v>
      </c>
      <c r="V9" s="16"/>
      <c r="W9" s="16"/>
      <c r="X9" s="16"/>
      <c r="Y9" s="16"/>
      <c r="Z9" s="16"/>
      <c r="AA9" s="16">
        <v>2.9</v>
      </c>
      <c r="AB9" s="16"/>
      <c r="AC9" s="16"/>
      <c r="AD9" s="16"/>
      <c r="AE9" s="16"/>
      <c r="AF9" s="16"/>
      <c r="AG9" s="16">
        <v>3.11</v>
      </c>
      <c r="AH9" s="16"/>
      <c r="AI9" s="16"/>
      <c r="AJ9" s="16"/>
      <c r="AK9" s="16"/>
    </row>
    <row r="10" spans="1:37" x14ac:dyDescent="0.25">
      <c r="A10" t="s">
        <v>294</v>
      </c>
      <c r="B10" t="s">
        <v>22</v>
      </c>
      <c r="C10" t="s">
        <v>20</v>
      </c>
      <c r="E10" t="s">
        <v>55</v>
      </c>
      <c r="F10" t="s">
        <v>24</v>
      </c>
      <c r="G10" t="s">
        <v>7</v>
      </c>
      <c r="J10">
        <v>2.48</v>
      </c>
      <c r="P10">
        <v>2.2999999999999998</v>
      </c>
      <c r="V10">
        <v>2.56</v>
      </c>
      <c r="AB10" s="16">
        <v>2.9</v>
      </c>
      <c r="AH10">
        <v>3.11</v>
      </c>
    </row>
    <row r="11" spans="1:37" x14ac:dyDescent="0.25">
      <c r="A11" t="s">
        <v>295</v>
      </c>
      <c r="B11" t="s">
        <v>22</v>
      </c>
      <c r="C11" t="s">
        <v>20</v>
      </c>
      <c r="E11" t="s">
        <v>55</v>
      </c>
      <c r="F11" t="s">
        <v>24</v>
      </c>
      <c r="G11" t="s">
        <v>7</v>
      </c>
      <c r="K11">
        <v>2.48</v>
      </c>
      <c r="Q11">
        <v>2.2999999999999998</v>
      </c>
      <c r="W11">
        <v>2.56</v>
      </c>
      <c r="AC11" s="16">
        <v>2.9</v>
      </c>
      <c r="AI11">
        <v>3.11</v>
      </c>
    </row>
    <row r="12" spans="1:37" x14ac:dyDescent="0.25">
      <c r="A12" t="s">
        <v>296</v>
      </c>
      <c r="B12" t="s">
        <v>22</v>
      </c>
      <c r="C12" t="s">
        <v>20</v>
      </c>
      <c r="E12" t="s">
        <v>55</v>
      </c>
      <c r="F12" t="s">
        <v>24</v>
      </c>
      <c r="G12" t="s">
        <v>7</v>
      </c>
      <c r="L12">
        <v>2.48</v>
      </c>
      <c r="R12">
        <v>2.2999999999999998</v>
      </c>
      <c r="X12">
        <v>2.56</v>
      </c>
      <c r="AD12" s="16">
        <v>2.9</v>
      </c>
      <c r="AJ12">
        <v>3.11</v>
      </c>
    </row>
    <row r="13" spans="1:37" x14ac:dyDescent="0.25">
      <c r="A13" t="s">
        <v>297</v>
      </c>
      <c r="B13" t="s">
        <v>22</v>
      </c>
      <c r="C13" t="s">
        <v>20</v>
      </c>
      <c r="E13" t="s">
        <v>55</v>
      </c>
      <c r="F13" t="s">
        <v>24</v>
      </c>
      <c r="G13" t="s">
        <v>7</v>
      </c>
      <c r="M13">
        <v>2.48</v>
      </c>
      <c r="S13">
        <v>2.2999999999999998</v>
      </c>
      <c r="Y13">
        <v>2.56</v>
      </c>
      <c r="AE13" s="16">
        <v>2.9</v>
      </c>
      <c r="AK13">
        <v>3.11</v>
      </c>
    </row>
    <row r="14" spans="1:37" x14ac:dyDescent="0.25">
      <c r="A14" t="s">
        <v>63</v>
      </c>
      <c r="B14" t="s">
        <v>61</v>
      </c>
      <c r="C14" t="s">
        <v>23</v>
      </c>
      <c r="E14" t="s">
        <v>55</v>
      </c>
      <c r="F14" t="s">
        <v>24</v>
      </c>
      <c r="G14" t="s">
        <v>62</v>
      </c>
      <c r="H14" s="16">
        <v>1.1200000000000001</v>
      </c>
      <c r="I14" s="16">
        <v>1.1200000000000001</v>
      </c>
      <c r="J14" s="16">
        <v>1.1200000000000001</v>
      </c>
      <c r="K14" s="16">
        <v>1.1200000000000001</v>
      </c>
      <c r="L14" s="16">
        <v>1.1200000000000001</v>
      </c>
      <c r="M14" s="16">
        <v>1.1200000000000001</v>
      </c>
      <c r="N14" s="16">
        <v>1.04</v>
      </c>
      <c r="O14" s="16">
        <v>1.04</v>
      </c>
      <c r="P14" s="16">
        <v>1.04</v>
      </c>
      <c r="Q14" s="16">
        <v>1.04</v>
      </c>
      <c r="R14" s="16">
        <v>1.04</v>
      </c>
      <c r="S14" s="16">
        <v>1.04</v>
      </c>
      <c r="T14" s="16">
        <v>0.28999999999999998</v>
      </c>
      <c r="U14" s="16">
        <v>0.28999999999999998</v>
      </c>
      <c r="V14" s="16">
        <v>0.28999999999999998</v>
      </c>
      <c r="W14" s="16">
        <v>0.28999999999999998</v>
      </c>
      <c r="X14" s="16">
        <v>0.28999999999999998</v>
      </c>
      <c r="Y14" s="16">
        <v>0.28999999999999998</v>
      </c>
      <c r="Z14" s="16">
        <v>0.33</v>
      </c>
      <c r="AA14" s="16">
        <v>0.33</v>
      </c>
      <c r="AB14" s="16">
        <v>0.33</v>
      </c>
      <c r="AC14" s="16">
        <v>0.33</v>
      </c>
      <c r="AD14" s="16">
        <v>0.33</v>
      </c>
      <c r="AE14" s="16">
        <v>0.33</v>
      </c>
      <c r="AF14" s="16">
        <v>0.35</v>
      </c>
      <c r="AG14" s="16">
        <v>0.35</v>
      </c>
      <c r="AH14" s="16">
        <v>0.35</v>
      </c>
      <c r="AI14" s="16">
        <v>0.35</v>
      </c>
      <c r="AJ14" s="16">
        <v>0.35</v>
      </c>
      <c r="AK14" s="16">
        <v>0.35</v>
      </c>
    </row>
    <row r="15" spans="1:37" x14ac:dyDescent="0.25">
      <c r="A15" t="s">
        <v>162</v>
      </c>
      <c r="B15" t="s">
        <v>163</v>
      </c>
      <c r="C15" t="s">
        <v>23</v>
      </c>
      <c r="E15" t="s">
        <v>55</v>
      </c>
      <c r="F15" t="s">
        <v>24</v>
      </c>
      <c r="G15" t="s">
        <v>73</v>
      </c>
      <c r="H15" s="16">
        <v>0.59</v>
      </c>
      <c r="I15" s="16">
        <v>0.59</v>
      </c>
      <c r="J15" s="16">
        <v>0.59</v>
      </c>
      <c r="K15" s="16">
        <v>0.59</v>
      </c>
      <c r="L15" s="16">
        <v>0.59</v>
      </c>
      <c r="M15" s="16">
        <v>0.59</v>
      </c>
      <c r="N15" s="16">
        <v>0.54</v>
      </c>
      <c r="O15" s="16">
        <v>0.54</v>
      </c>
      <c r="P15" s="16">
        <v>0.54</v>
      </c>
      <c r="Q15" s="16">
        <v>0.54</v>
      </c>
      <c r="R15" s="16">
        <v>0.54</v>
      </c>
      <c r="S15" s="16">
        <v>0.54</v>
      </c>
      <c r="T15" s="16">
        <v>2.35</v>
      </c>
      <c r="U15" s="16">
        <v>2.35</v>
      </c>
      <c r="V15" s="16">
        <v>2.35</v>
      </c>
      <c r="W15" s="16">
        <v>2.35</v>
      </c>
      <c r="X15" s="16">
        <v>2.35</v>
      </c>
      <c r="Y15" s="16">
        <v>2.35</v>
      </c>
      <c r="Z15" s="16">
        <v>2.66</v>
      </c>
      <c r="AA15" s="16">
        <v>2.66</v>
      </c>
      <c r="AB15" s="16">
        <v>2.66</v>
      </c>
      <c r="AC15" s="16">
        <v>2.66</v>
      </c>
      <c r="AD15" s="16">
        <v>2.66</v>
      </c>
      <c r="AE15" s="16">
        <v>2.66</v>
      </c>
      <c r="AF15" s="16">
        <v>2.85</v>
      </c>
      <c r="AG15" s="16">
        <v>2.85</v>
      </c>
      <c r="AH15" s="16">
        <v>2.85</v>
      </c>
      <c r="AI15" s="16">
        <v>2.85</v>
      </c>
      <c r="AJ15" s="16">
        <v>2.85</v>
      </c>
      <c r="AK15" s="16">
        <v>2.85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17B1D-8865-45AC-8D14-60DF88C57369}">
  <dimension ref="A1:L47"/>
  <sheetViews>
    <sheetView zoomScaleNormal="100" workbookViewId="0">
      <selection activeCell="K10" sqref="K10"/>
    </sheetView>
  </sheetViews>
  <sheetFormatPr defaultRowHeight="15" x14ac:dyDescent="0.25"/>
  <cols>
    <col min="1" max="1" width="41.140625" bestFit="1" customWidth="1"/>
    <col min="2" max="6" width="12.5703125" customWidth="1"/>
    <col min="7" max="7" width="22.42578125" bestFit="1" customWidth="1"/>
    <col min="8" max="8" width="16.5703125" customWidth="1"/>
    <col min="9" max="9" width="14.5703125" bestFit="1" customWidth="1"/>
    <col min="10" max="10" width="14.5703125" customWidth="1"/>
    <col min="11" max="11" width="21.28515625" bestFit="1" customWidth="1"/>
    <col min="12" max="12" width="54.140625" bestFit="1" customWidth="1"/>
  </cols>
  <sheetData>
    <row r="1" spans="1:12" x14ac:dyDescent="0.25">
      <c r="A1" t="s">
        <v>174</v>
      </c>
    </row>
    <row r="2" spans="1:12" ht="30" x14ac:dyDescent="0.25">
      <c r="B2" s="55" t="s">
        <v>333</v>
      </c>
      <c r="C2" s="56" t="s">
        <v>334</v>
      </c>
      <c r="D2" s="56" t="s">
        <v>358</v>
      </c>
      <c r="E2" s="55" t="s">
        <v>335</v>
      </c>
      <c r="F2" s="55" t="s">
        <v>343</v>
      </c>
    </row>
    <row r="3" spans="1:12" ht="32.25" x14ac:dyDescent="0.25">
      <c r="A3" s="57"/>
      <c r="B3" s="65"/>
      <c r="C3" s="65"/>
      <c r="D3" s="65"/>
      <c r="E3" s="65"/>
      <c r="F3" s="65"/>
      <c r="G3" s="49" t="s">
        <v>44</v>
      </c>
      <c r="H3" s="58" t="s">
        <v>41</v>
      </c>
      <c r="I3" s="59" t="s">
        <v>89</v>
      </c>
      <c r="J3" s="59" t="s">
        <v>91</v>
      </c>
    </row>
    <row r="4" spans="1:12" x14ac:dyDescent="0.25">
      <c r="A4" s="51" t="s">
        <v>39</v>
      </c>
      <c r="B4" s="52">
        <v>1</v>
      </c>
      <c r="C4" s="52">
        <v>1</v>
      </c>
      <c r="D4" s="52">
        <v>1</v>
      </c>
      <c r="E4" s="52">
        <v>1</v>
      </c>
      <c r="F4" s="52">
        <v>1</v>
      </c>
      <c r="G4" s="50">
        <f>D5*H5+D6*H6</f>
        <v>1.2290000000000001</v>
      </c>
      <c r="H4" s="51">
        <f>D5*H5+D6*H6</f>
        <v>1.2290000000000001</v>
      </c>
      <c r="I4" s="53">
        <f>D5*I5</f>
        <v>21.479999999999997</v>
      </c>
      <c r="J4" s="53">
        <f>I4/H4</f>
        <v>17.477624084621638</v>
      </c>
    </row>
    <row r="5" spans="1:12" ht="18" x14ac:dyDescent="0.35">
      <c r="A5" s="51" t="s">
        <v>35</v>
      </c>
      <c r="B5" s="52">
        <v>0.6</v>
      </c>
      <c r="C5" s="52">
        <v>0.6</v>
      </c>
      <c r="D5" s="52">
        <v>0.6</v>
      </c>
      <c r="E5" s="52">
        <v>0.6</v>
      </c>
      <c r="F5" s="52">
        <v>0.6</v>
      </c>
      <c r="G5" s="54">
        <f>D5*H5</f>
        <v>0.43019999999999997</v>
      </c>
      <c r="H5" s="52">
        <v>0.71699999999999997</v>
      </c>
      <c r="I5" s="50">
        <v>35.799999999999997</v>
      </c>
      <c r="J5" s="50">
        <v>50</v>
      </c>
      <c r="K5" s="18" t="s">
        <v>90</v>
      </c>
      <c r="L5" s="48" t="s">
        <v>42</v>
      </c>
    </row>
    <row r="6" spans="1:12" ht="18" x14ac:dyDescent="0.35">
      <c r="A6" s="51" t="s">
        <v>36</v>
      </c>
      <c r="B6" s="52">
        <v>0.4</v>
      </c>
      <c r="C6" s="52">
        <v>0.4</v>
      </c>
      <c r="D6" s="52">
        <v>0.4</v>
      </c>
      <c r="E6" s="52">
        <v>0.4</v>
      </c>
      <c r="F6" s="52">
        <v>0.4</v>
      </c>
      <c r="G6" s="54">
        <f>D6*H6</f>
        <v>0.79880000000000007</v>
      </c>
      <c r="H6" s="52">
        <v>1.9970000000000001</v>
      </c>
      <c r="I6" s="51" t="s">
        <v>43</v>
      </c>
      <c r="J6" s="51" t="s">
        <v>43</v>
      </c>
      <c r="K6" s="18" t="s">
        <v>90</v>
      </c>
      <c r="L6" s="48" t="s">
        <v>42</v>
      </c>
    </row>
    <row r="7" spans="1:12" x14ac:dyDescent="0.25">
      <c r="A7" s="51" t="s">
        <v>329</v>
      </c>
      <c r="B7" s="52"/>
      <c r="C7" s="52"/>
      <c r="D7" s="52"/>
      <c r="E7" s="52"/>
      <c r="F7" s="52"/>
      <c r="G7" s="54"/>
      <c r="H7" s="52"/>
      <c r="I7" s="51">
        <v>36.6</v>
      </c>
      <c r="J7" s="51"/>
      <c r="K7" s="18"/>
      <c r="L7" s="48" t="s">
        <v>42</v>
      </c>
    </row>
    <row r="8" spans="1:12" x14ac:dyDescent="0.25">
      <c r="B8" s="66"/>
      <c r="C8" s="66"/>
      <c r="D8" s="66"/>
      <c r="E8" s="66"/>
      <c r="F8" s="67"/>
      <c r="G8" s="49" t="s">
        <v>38</v>
      </c>
      <c r="H8" s="24"/>
      <c r="I8" s="13"/>
      <c r="J8" s="13"/>
      <c r="K8" s="18"/>
      <c r="L8" s="19"/>
    </row>
    <row r="9" spans="1:12" ht="17.25" x14ac:dyDescent="0.25">
      <c r="A9" s="51" t="s">
        <v>161</v>
      </c>
      <c r="B9" s="52">
        <f>((B5*$H$5*12/16)+(B6*$H$6*12/44))</f>
        <v>0.54050454545454552</v>
      </c>
      <c r="C9" s="52">
        <f>((C5*$H$5*12/16)+(C6*$H$6*12/44))</f>
        <v>0.54050454545454552</v>
      </c>
      <c r="D9" s="52">
        <f>((D5*$H$5*12/16)+(D6*$H$6*12/44))</f>
        <v>0.54050454545454552</v>
      </c>
      <c r="E9" s="52">
        <f>((E5*$H$5*12/16)+(E6*$H$6*12/44))</f>
        <v>0.54050454545454552</v>
      </c>
      <c r="F9" s="52">
        <f>((F5*$H$5*12/16)+(F6*$H$6*12/44))</f>
        <v>0.54050454545454552</v>
      </c>
      <c r="G9" s="52" t="s">
        <v>159</v>
      </c>
      <c r="I9" s="13"/>
      <c r="J9" s="13"/>
      <c r="K9" s="18"/>
      <c r="L9" s="19"/>
    </row>
    <row r="10" spans="1:12" ht="18.75" x14ac:dyDescent="0.35">
      <c r="A10" s="51" t="s">
        <v>40</v>
      </c>
      <c r="B10" s="60">
        <f t="shared" ref="B10:F10" si="0">B9*44/12</f>
        <v>1.9818500000000003</v>
      </c>
      <c r="C10" s="60">
        <f t="shared" si="0"/>
        <v>1.9818500000000003</v>
      </c>
      <c r="D10" s="60">
        <f>D9*44/12</f>
        <v>1.9818500000000003</v>
      </c>
      <c r="E10" s="60">
        <f t="shared" si="0"/>
        <v>1.9818500000000003</v>
      </c>
      <c r="F10" s="60">
        <f t="shared" si="0"/>
        <v>1.9818500000000003</v>
      </c>
      <c r="G10" s="52" t="s">
        <v>160</v>
      </c>
      <c r="I10" s="13"/>
      <c r="J10" s="13"/>
      <c r="K10" s="18"/>
      <c r="L10" s="19"/>
    </row>
    <row r="11" spans="1:12" x14ac:dyDescent="0.25">
      <c r="A11" s="13"/>
      <c r="B11" s="24"/>
      <c r="C11" s="24"/>
      <c r="D11" s="24"/>
      <c r="E11" s="24"/>
      <c r="F11" s="24"/>
      <c r="G11" s="24"/>
      <c r="I11" s="13"/>
      <c r="J11" s="13"/>
      <c r="K11" s="18"/>
      <c r="L11" s="61"/>
    </row>
    <row r="12" spans="1:12" x14ac:dyDescent="0.25">
      <c r="A12" s="13"/>
      <c r="B12" s="24"/>
      <c r="C12" s="24"/>
      <c r="D12" s="24"/>
      <c r="E12" s="24"/>
      <c r="F12" s="24"/>
      <c r="G12" s="24"/>
      <c r="I12" s="13"/>
      <c r="J12" s="13"/>
      <c r="K12" s="18"/>
      <c r="L12" s="61"/>
    </row>
    <row r="13" spans="1:12" x14ac:dyDescent="0.25">
      <c r="A13" s="13"/>
      <c r="B13" s="24"/>
      <c r="C13" s="24"/>
      <c r="D13" s="24"/>
      <c r="E13" s="24"/>
      <c r="F13" s="24"/>
      <c r="G13" s="24"/>
      <c r="I13" s="13"/>
      <c r="J13" s="13"/>
      <c r="K13" s="18"/>
      <c r="L13" s="61"/>
    </row>
    <row r="14" spans="1:12" x14ac:dyDescent="0.25">
      <c r="A14" s="13"/>
      <c r="B14" s="24"/>
      <c r="C14" s="24"/>
      <c r="D14" s="24"/>
      <c r="E14" s="24"/>
      <c r="F14" s="24"/>
      <c r="G14" s="24"/>
      <c r="I14" s="13"/>
      <c r="J14" s="13"/>
      <c r="K14" s="18"/>
      <c r="L14" s="61"/>
    </row>
    <row r="15" spans="1:12" x14ac:dyDescent="0.25">
      <c r="A15" s="13"/>
      <c r="B15" s="24"/>
      <c r="C15" s="24"/>
      <c r="D15" s="24"/>
      <c r="E15" s="24"/>
      <c r="F15" s="24"/>
      <c r="G15" s="24"/>
      <c r="I15" s="13"/>
      <c r="J15" s="13"/>
      <c r="K15" s="18"/>
      <c r="L15" s="61"/>
    </row>
    <row r="16" spans="1:12" x14ac:dyDescent="0.25">
      <c r="A16" s="13"/>
      <c r="B16" s="24"/>
      <c r="C16" s="24"/>
      <c r="D16" s="24"/>
      <c r="E16" s="24"/>
      <c r="F16" s="24"/>
      <c r="G16" s="24"/>
      <c r="I16" s="13"/>
      <c r="J16" s="13"/>
      <c r="K16" s="18"/>
      <c r="L16" s="61"/>
    </row>
    <row r="17" spans="1:7" x14ac:dyDescent="0.25">
      <c r="A17" s="21" t="s">
        <v>49</v>
      </c>
      <c r="B17" s="22" t="s">
        <v>37</v>
      </c>
      <c r="G17" s="22" t="s">
        <v>38</v>
      </c>
    </row>
    <row r="18" spans="1:7" ht="18" x14ac:dyDescent="0.35">
      <c r="A18" t="s">
        <v>47</v>
      </c>
      <c r="B18" s="24">
        <v>0.02</v>
      </c>
      <c r="G18" s="23" t="s">
        <v>48</v>
      </c>
    </row>
    <row r="19" spans="1:7" ht="18" x14ac:dyDescent="0.35">
      <c r="A19" t="s">
        <v>45</v>
      </c>
      <c r="B19" s="24">
        <v>0.98</v>
      </c>
      <c r="G19" s="23" t="s">
        <v>50</v>
      </c>
    </row>
    <row r="20" spans="1:7" ht="17.25" x14ac:dyDescent="0.25">
      <c r="A20" s="44" t="s">
        <v>51</v>
      </c>
      <c r="B20" s="25">
        <f>B19/D5*(1+B18)</f>
        <v>1.6659999999999999</v>
      </c>
      <c r="G20" s="23" t="s">
        <v>46</v>
      </c>
    </row>
    <row r="21" spans="1:7" ht="18" x14ac:dyDescent="0.35">
      <c r="A21" s="45" t="s">
        <v>52</v>
      </c>
      <c r="B21" s="26">
        <f>(B20*D5*B18)*H5</f>
        <v>1.4334263999999999E-2</v>
      </c>
      <c r="G21" s="23" t="s">
        <v>53</v>
      </c>
    </row>
    <row r="22" spans="1:7" ht="18" x14ac:dyDescent="0.35">
      <c r="A22" s="44" t="s">
        <v>56</v>
      </c>
      <c r="B22" s="25">
        <f>B20*D6*B19*H6</f>
        <v>1.304184784</v>
      </c>
      <c r="G22" s="23" t="s">
        <v>60</v>
      </c>
    </row>
    <row r="23" spans="1:7" ht="18" x14ac:dyDescent="0.35">
      <c r="A23" s="44" t="s">
        <v>80</v>
      </c>
      <c r="B23" s="25">
        <f>B22*B18</f>
        <v>2.6083695680000001E-2</v>
      </c>
      <c r="G23" s="23" t="s">
        <v>60</v>
      </c>
    </row>
    <row r="24" spans="1:7" ht="18" x14ac:dyDescent="0.35">
      <c r="A24" s="44" t="s">
        <v>79</v>
      </c>
      <c r="B24" s="25">
        <f>B22*(1-B18)</f>
        <v>1.2781010883199999</v>
      </c>
      <c r="G24" s="23" t="s">
        <v>60</v>
      </c>
    </row>
    <row r="25" spans="1:7" ht="17.25" x14ac:dyDescent="0.25">
      <c r="A25" t="s">
        <v>143</v>
      </c>
      <c r="B25" s="16">
        <f>B19*H5+(1-B19)*H6</f>
        <v>0.74260000000000004</v>
      </c>
      <c r="G25" s="23" t="s">
        <v>144</v>
      </c>
    </row>
    <row r="26" spans="1:7" ht="17.25" x14ac:dyDescent="0.25">
      <c r="A26" t="s">
        <v>140</v>
      </c>
      <c r="B26" s="14">
        <f>B19*I5</f>
        <v>35.083999999999996</v>
      </c>
      <c r="G26" s="23" t="s">
        <v>141</v>
      </c>
    </row>
    <row r="27" spans="1:7" x14ac:dyDescent="0.25">
      <c r="A27" t="s">
        <v>140</v>
      </c>
      <c r="B27" s="14">
        <f>B26/B25</f>
        <v>47.244815513062207</v>
      </c>
      <c r="G27" s="23" t="s">
        <v>142</v>
      </c>
    </row>
    <row r="28" spans="1:7" x14ac:dyDescent="0.25">
      <c r="A28" s="21" t="s">
        <v>88</v>
      </c>
      <c r="B28" s="22" t="s">
        <v>37</v>
      </c>
      <c r="G28" s="22" t="s">
        <v>38</v>
      </c>
    </row>
    <row r="29" spans="1:7" ht="18" x14ac:dyDescent="0.35">
      <c r="A29" s="23" t="s">
        <v>92</v>
      </c>
      <c r="B29" s="16">
        <f>'LCI_Heat-NG-CCS'!C11*'Carbon balance'!I7</f>
        <v>0.98849455679999954</v>
      </c>
      <c r="C29" s="15" t="s">
        <v>277</v>
      </c>
      <c r="D29" s="15"/>
      <c r="G29" s="23" t="s">
        <v>93</v>
      </c>
    </row>
    <row r="30" spans="1:7" ht="18" x14ac:dyDescent="0.35">
      <c r="A30" t="s">
        <v>231</v>
      </c>
      <c r="B30" s="43">
        <v>0.99990000000000001</v>
      </c>
      <c r="G30" s="23" t="s">
        <v>48</v>
      </c>
    </row>
    <row r="31" spans="1:7" ht="18.75" x14ac:dyDescent="0.35">
      <c r="A31" t="s">
        <v>94</v>
      </c>
      <c r="B31" s="31">
        <f>B19*I5*B29*B30</f>
        <v>34.676874996468101</v>
      </c>
      <c r="G31" s="23" t="s">
        <v>95</v>
      </c>
    </row>
    <row r="32" spans="1:7" ht="18.75" x14ac:dyDescent="0.35">
      <c r="A32" s="44" t="s">
        <v>118</v>
      </c>
      <c r="B32" s="25">
        <f>1/B31</f>
        <v>2.8837661989491607E-2</v>
      </c>
      <c r="G32" s="23" t="s">
        <v>119</v>
      </c>
    </row>
    <row r="35" spans="1:9" x14ac:dyDescent="0.25">
      <c r="A35" s="21" t="s">
        <v>279</v>
      </c>
      <c r="B35" s="22" t="s">
        <v>37</v>
      </c>
      <c r="G35" s="22" t="s">
        <v>38</v>
      </c>
    </row>
    <row r="36" spans="1:9" x14ac:dyDescent="0.25">
      <c r="A36" t="s">
        <v>280</v>
      </c>
      <c r="B36" s="16">
        <v>0.9</v>
      </c>
      <c r="G36" s="13" t="s">
        <v>281</v>
      </c>
    </row>
    <row r="37" spans="1:9" x14ac:dyDescent="0.25">
      <c r="A37" s="15" t="s">
        <v>284</v>
      </c>
    </row>
    <row r="38" spans="1:9" ht="18" x14ac:dyDescent="0.35">
      <c r="A38" t="s">
        <v>56</v>
      </c>
      <c r="B38" s="16">
        <v>5.4901960784313697E-2</v>
      </c>
      <c r="C38" s="15" t="s">
        <v>285</v>
      </c>
      <c r="D38" s="15"/>
      <c r="G38" t="s">
        <v>121</v>
      </c>
    </row>
    <row r="39" spans="1:9" ht="18" x14ac:dyDescent="0.35">
      <c r="A39" s="44" t="s">
        <v>287</v>
      </c>
      <c r="B39" s="25">
        <f>B38*B36</f>
        <v>4.9411764705882329E-2</v>
      </c>
      <c r="G39" t="s">
        <v>121</v>
      </c>
    </row>
    <row r="40" spans="1:9" ht="18" x14ac:dyDescent="0.35">
      <c r="A40" s="44" t="s">
        <v>288</v>
      </c>
      <c r="B40" s="33">
        <f>B38*(1-B36)</f>
        <v>5.4901960784313683E-3</v>
      </c>
      <c r="G40" t="s">
        <v>121</v>
      </c>
    </row>
    <row r="41" spans="1:9" x14ac:dyDescent="0.25">
      <c r="A41" s="15" t="s">
        <v>286</v>
      </c>
      <c r="B41" s="28"/>
    </row>
    <row r="42" spans="1:9" ht="18" x14ac:dyDescent="0.35">
      <c r="A42" s="44" t="s">
        <v>56</v>
      </c>
      <c r="B42" s="25">
        <f>(B32*(1-B19)*H6)+(B32*B19*B30*H5*44/16)</f>
        <v>5.6869650702402054E-2</v>
      </c>
      <c r="C42" s="15" t="s">
        <v>123</v>
      </c>
      <c r="D42" s="15"/>
      <c r="G42" s="23" t="s">
        <v>121</v>
      </c>
    </row>
    <row r="43" spans="1:9" ht="18" x14ac:dyDescent="0.35">
      <c r="A43" s="45" t="s">
        <v>232</v>
      </c>
      <c r="B43" s="33">
        <f>B32*B19*(1-B30)</f>
        <v>2.8260908749698663E-6</v>
      </c>
      <c r="G43" s="23" t="s">
        <v>120</v>
      </c>
    </row>
    <row r="44" spans="1:9" ht="18" x14ac:dyDescent="0.35">
      <c r="A44" s="44" t="s">
        <v>287</v>
      </c>
      <c r="B44" s="25">
        <f>B42*B36</f>
        <v>5.1182685632161849E-2</v>
      </c>
      <c r="G44" t="s">
        <v>121</v>
      </c>
    </row>
    <row r="45" spans="1:9" ht="18" x14ac:dyDescent="0.35">
      <c r="A45" s="44" t="s">
        <v>288</v>
      </c>
      <c r="B45" s="33">
        <f>B42*(1-B36)</f>
        <v>5.6869650702402038E-3</v>
      </c>
      <c r="G45" t="s">
        <v>121</v>
      </c>
    </row>
    <row r="47" spans="1:9" x14ac:dyDescent="0.25">
      <c r="B47" s="28"/>
      <c r="C47" s="28"/>
      <c r="D47" s="28"/>
      <c r="E47" s="28"/>
      <c r="F47" s="28"/>
      <c r="H47" s="20"/>
      <c r="I47" s="14"/>
    </row>
  </sheetData>
  <mergeCells count="2">
    <mergeCell ref="B3:F3"/>
    <mergeCell ref="B8:F8"/>
  </mergeCells>
  <hyperlinks>
    <hyperlink ref="L6" r:id="rId1" xr:uid="{2B0F2579-9737-425F-9CE2-D4B95E25B3B2}"/>
    <hyperlink ref="L5" r:id="rId2" xr:uid="{47EC41BF-24AE-4A17-8C74-16C21AC6E553}"/>
    <hyperlink ref="L7" r:id="rId3" xr:uid="{47D3C6C0-0519-451E-9AC8-B7C11294F6C3}"/>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9ED3-97AD-40F1-AE22-49681FA85DD5}">
  <dimension ref="A1:B9"/>
  <sheetViews>
    <sheetView workbookViewId="0">
      <selection activeCell="I13" sqref="I13"/>
    </sheetView>
  </sheetViews>
  <sheetFormatPr defaultRowHeight="15" x14ac:dyDescent="0.25"/>
  <cols>
    <col min="1" max="1" width="35.140625" customWidth="1"/>
    <col min="2" max="2" width="12.7109375" customWidth="1"/>
  </cols>
  <sheetData>
    <row r="1" spans="1:2" x14ac:dyDescent="0.25">
      <c r="A1" t="s">
        <v>174</v>
      </c>
    </row>
    <row r="2" spans="1:2" ht="18.75" x14ac:dyDescent="0.3">
      <c r="A2" s="47" t="s">
        <v>270</v>
      </c>
    </row>
    <row r="3" spans="1:2" x14ac:dyDescent="0.25">
      <c r="A3" t="s">
        <v>271</v>
      </c>
      <c r="B3" s="10" t="s">
        <v>273</v>
      </c>
    </row>
    <row r="4" spans="1:2" x14ac:dyDescent="0.25">
      <c r="A4" t="s">
        <v>272</v>
      </c>
      <c r="B4" t="s">
        <v>274</v>
      </c>
    </row>
    <row r="5" spans="1:2" x14ac:dyDescent="0.25">
      <c r="B5" t="s">
        <v>275</v>
      </c>
    </row>
    <row r="6" spans="1:2" x14ac:dyDescent="0.25">
      <c r="A6" t="s">
        <v>276</v>
      </c>
      <c r="B6" t="s">
        <v>278</v>
      </c>
    </row>
    <row r="7" spans="1:2" x14ac:dyDescent="0.25">
      <c r="A7" t="s">
        <v>282</v>
      </c>
      <c r="B7" t="s">
        <v>278</v>
      </c>
    </row>
    <row r="8" spans="1:2" x14ac:dyDescent="0.25">
      <c r="B8" t="s">
        <v>283</v>
      </c>
    </row>
    <row r="9" spans="1:2" x14ac:dyDescent="0.25">
      <c r="B9" t="s">
        <v>274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LCI_Biogas</vt:lpstr>
      <vt:lpstr>LCI_Biomethane_2</vt:lpstr>
      <vt:lpstr>LCI_Biomethane</vt:lpstr>
      <vt:lpstr>LCI_e-MeOH</vt:lpstr>
      <vt:lpstr>LCI_Heat-NG-CCS</vt:lpstr>
      <vt:lpstr>LCI_Heat-Biomethane</vt:lpstr>
      <vt:lpstr>LCI_MeOH</vt:lpstr>
      <vt:lpstr>LCI_MTO_MTA</vt:lpstr>
      <vt:lpstr>Carbon balance</vt:lpstr>
      <vt:lpstr>LCI_Prospective_Foreground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2022-10-11T12:08:02Z</dcterms:modified>
</cp:coreProperties>
</file>