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Carbon dioxide to propanol\Data\"/>
    </mc:Choice>
  </mc:AlternateContent>
  <xr:revisionPtr revIDLastSave="0" documentId="13_ncr:1_{0980A478-8561-417C-97B5-81ED1492C72A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Aspen data" sheetId="1" r:id="rId1"/>
    <sheet name="LCA results - cradle to gate" sheetId="2" r:id="rId2"/>
    <sheet name="LCA contri - cradle to gate" sheetId="4" r:id="rId3"/>
    <sheet name="Economic resul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5" l="1"/>
  <c r="B5" i="5"/>
  <c r="F30" i="1" l="1"/>
  <c r="F25" i="1"/>
  <c r="F27" i="1" s="1"/>
  <c r="F20" i="1"/>
  <c r="F22" i="1" l="1"/>
  <c r="F32" i="1"/>
  <c r="A68" i="4"/>
  <c r="A67" i="4"/>
  <c r="A66" i="4"/>
  <c r="A65" i="4"/>
  <c r="A60" i="4"/>
  <c r="A59" i="4"/>
  <c r="A58" i="4"/>
  <c r="A57" i="4"/>
  <c r="A52" i="4"/>
  <c r="A51" i="4"/>
  <c r="A50" i="4"/>
  <c r="A49" i="4"/>
  <c r="A33" i="4"/>
  <c r="A32" i="4"/>
  <c r="A31" i="4"/>
  <c r="A30" i="4"/>
  <c r="A25" i="4"/>
  <c r="A24" i="4"/>
  <c r="A23" i="4"/>
  <c r="A22" i="4"/>
  <c r="A17" i="4"/>
  <c r="A16" i="4"/>
  <c r="A15" i="4"/>
  <c r="A14" i="4"/>
  <c r="B16" i="1" l="1"/>
  <c r="D8" i="1"/>
  <c r="D7" i="1"/>
  <c r="D6" i="1"/>
  <c r="C6" i="1" s="1"/>
  <c r="D5" i="1"/>
  <c r="C5" i="1" s="1"/>
  <c r="D4" i="1"/>
  <c r="C4" i="1" s="1"/>
  <c r="B10" i="1"/>
  <c r="B11" i="1" s="1"/>
  <c r="B12" i="1" s="1"/>
  <c r="B13" i="1" s="1"/>
  <c r="F21" i="1" l="1"/>
  <c r="C11" i="5" s="1"/>
  <c r="F11" i="5" s="1"/>
  <c r="F12" i="5" s="1"/>
  <c r="D11" i="5" s="1"/>
  <c r="F26" i="1"/>
  <c r="F31" i="1"/>
  <c r="E8" i="1"/>
  <c r="B14" i="1"/>
  <c r="C10" i="5" s="1"/>
  <c r="D10" i="5" s="1"/>
  <c r="E7" i="1"/>
  <c r="C7" i="1"/>
  <c r="E4" i="1"/>
  <c r="C4" i="5" s="1"/>
  <c r="G4" i="1"/>
  <c r="D4" i="5" l="1"/>
  <c r="C5" i="5"/>
  <c r="D5" i="5" s="1"/>
  <c r="G5" i="1"/>
  <c r="E5" i="1"/>
  <c r="C6" i="5" s="1"/>
  <c r="D6" i="5" s="1"/>
  <c r="E6" i="1"/>
  <c r="C7" i="5" s="1"/>
  <c r="G6" i="1"/>
  <c r="D7" i="5" l="1"/>
  <c r="B15" i="5" s="1"/>
  <c r="C8" i="5"/>
  <c r="C9" i="5"/>
  <c r="D9" i="5" s="1"/>
  <c r="D15" i="5" l="1"/>
  <c r="B17" i="5"/>
  <c r="D17" i="5" s="1"/>
  <c r="B18" i="5"/>
  <c r="D18" i="5" s="1"/>
  <c r="D8" i="5"/>
  <c r="B16" i="5" l="1"/>
  <c r="D16" i="5" s="1"/>
</calcChain>
</file>

<file path=xl/sharedStrings.xml><?xml version="1.0" encoding="utf-8"?>
<sst xmlns="http://schemas.openxmlformats.org/spreadsheetml/2006/main" count="285" uniqueCount="132">
  <si>
    <t>Propanol (99.7 %wt)</t>
  </si>
  <si>
    <t>M. Wt.</t>
  </si>
  <si>
    <t>kmol/hr</t>
  </si>
  <si>
    <t>kg/hr</t>
  </si>
  <si>
    <t>kg/kg of propanol</t>
  </si>
  <si>
    <t>Type</t>
  </si>
  <si>
    <t>Molar ratio</t>
  </si>
  <si>
    <t>Stoichiometric ratio</t>
  </si>
  <si>
    <t>Carbon dioxide</t>
  </si>
  <si>
    <t>Feed</t>
  </si>
  <si>
    <t xml:space="preserve">Hydrogen </t>
  </si>
  <si>
    <t>Ethylene</t>
  </si>
  <si>
    <t>Propanol</t>
  </si>
  <si>
    <t>Output</t>
  </si>
  <si>
    <t>Electricity</t>
  </si>
  <si>
    <t>Emissions</t>
  </si>
  <si>
    <t>TJ/a</t>
  </si>
  <si>
    <t>TJ/hr</t>
  </si>
  <si>
    <t>Ws/hr</t>
  </si>
  <si>
    <t>kWh/hr</t>
  </si>
  <si>
    <t>kWh/kg propanol</t>
  </si>
  <si>
    <t>Global warming</t>
  </si>
  <si>
    <t>Stratospheric ozone depletion</t>
  </si>
  <si>
    <t>Ionizing radiation</t>
  </si>
  <si>
    <t>Ozone formation, Human health</t>
  </si>
  <si>
    <t>Fine particulate matter formation</t>
  </si>
  <si>
    <t>Ozone formation, Terrestrial ecosystems</t>
  </si>
  <si>
    <t>Terrestrial acidification</t>
  </si>
  <si>
    <t>Freshwater eutrophication</t>
  </si>
  <si>
    <t>Marine eutrophication</t>
  </si>
  <si>
    <t>Terrestrial ecotoxicity</t>
  </si>
  <si>
    <t>Freshwater ecotoxicity</t>
  </si>
  <si>
    <t>Marine ecotoxicity</t>
  </si>
  <si>
    <t>Human carcinogenic toxicity</t>
  </si>
  <si>
    <t>Human non-carcinogenic toxicity</t>
  </si>
  <si>
    <t>Land use</t>
  </si>
  <si>
    <t>Mineral resource scarcity</t>
  </si>
  <si>
    <t>Fossil resource scarcity</t>
  </si>
  <si>
    <t>Water consumption</t>
  </si>
  <si>
    <t>Process</t>
  </si>
  <si>
    <t>kg CO2 eq</t>
  </si>
  <si>
    <t>kg CFC11 eq</t>
  </si>
  <si>
    <t>kBq Co-60 eq</t>
  </si>
  <si>
    <t>kg NOx eq</t>
  </si>
  <si>
    <t>kg PM2.5 eq</t>
  </si>
  <si>
    <t>kg SO2 eq</t>
  </si>
  <si>
    <t>kg P eq</t>
  </si>
  <si>
    <t>kg N eq</t>
  </si>
  <si>
    <t>kg 1,4-DCB</t>
  </si>
  <si>
    <t>m2a crop eq</t>
  </si>
  <si>
    <t>kg Cu eq</t>
  </si>
  <si>
    <t>kg oil eq</t>
  </si>
  <si>
    <t>m3</t>
  </si>
  <si>
    <t>1-propanol {GLO}| market for | Cut-off, S</t>
  </si>
  <si>
    <t>BAU</t>
  </si>
  <si>
    <t>Propanol; carbon dioxide from DAC; hydrogen from wind-powered water electrolysis; BAU ethylene; intermediate conversions; Abhi</t>
  </si>
  <si>
    <t>DAC + wind</t>
  </si>
  <si>
    <t>Propanol; carbon dioxide from DAC; hydrogen from wind-powered water electrolysis; ethylene from gMeOH; intermediate conversions; Abhi</t>
  </si>
  <si>
    <t>DAC + wind + gE</t>
  </si>
  <si>
    <t>Propanol; carbon dioxide from NG power-plant; hydrogen from wind-powered water electrolysis; BAU ethylene; intermediate conversions; Abhi</t>
  </si>
  <si>
    <t>NG + wind</t>
  </si>
  <si>
    <t>Propanol; carbon dioxide from NG power-plant; hydrogen from wind-powered water electrolysis; ethylene from gMeOH; intermediate conversions; Abhi</t>
  </si>
  <si>
    <t>NG + wind + gE</t>
  </si>
  <si>
    <t>Wind scenario</t>
  </si>
  <si>
    <t>Global warming in kg CO2 eq</t>
  </si>
  <si>
    <t xml:space="preserve">Case </t>
  </si>
  <si>
    <t>Label</t>
  </si>
  <si>
    <t>Total</t>
  </si>
  <si>
    <t>Hydrogen</t>
  </si>
  <si>
    <t>Human health in DALY</t>
  </si>
  <si>
    <t>Ecosystems in species.yr</t>
  </si>
  <si>
    <t>Resources in USD2013</t>
  </si>
  <si>
    <t>DAC + grid</t>
  </si>
  <si>
    <t>DAC + grid + gE</t>
  </si>
  <si>
    <t>NG + grid</t>
  </si>
  <si>
    <t>NG + grid + gE</t>
  </si>
  <si>
    <t>Grid scenario</t>
  </si>
  <si>
    <t xml:space="preserve">Cooler 1: 74.63 to 45 (cooling water 35 to 40) </t>
  </si>
  <si>
    <t>Cooler 2: 113.8 to 45 (cooling water 35 to 40)</t>
  </si>
  <si>
    <t>Cooler 3: 115.8 to 45 (cooling water 35 to 40)  </t>
  </si>
  <si>
    <t>Cooler 4: 117 to 45 (cooling water 35 to 40)  </t>
  </si>
  <si>
    <t>Cooler 5: 112.6 to 45 (cooling water 35 to 40)  </t>
  </si>
  <si>
    <t>TEG regenerator cooler: maintain the temperature at 101.7 (cooling water 35 to 40)</t>
  </si>
  <si>
    <t>HFM reactor cooler: maintain the temperature at 100 (cooling water 35 to 40)  </t>
  </si>
  <si>
    <t>Cooler 6: 100 to 45 (cooling water 35 to 40)  </t>
  </si>
  <si>
    <t>Cooler 7: 45 to 5 (ammonia refrigerant -36.71 to -7.673)</t>
  </si>
  <si>
    <t>Distillation condenser: maintain the temperature at 19.24 (chilled water 10 to 15)</t>
  </si>
  <si>
    <t>Hydrogenation reactor cooler: maintain the temperature at 175 (cooling water 35 to 40)  </t>
  </si>
  <si>
    <t>Product cooler: 97.15 to 45 (cooling water 35 to 40)  </t>
  </si>
  <si>
    <t xml:space="preserve">Cooler 1: 50,797,892.70 </t>
  </si>
  <si>
    <t xml:space="preserve">Cooler 2: 16,353,214.85 </t>
  </si>
  <si>
    <t xml:space="preserve">Cooler 3: 14,308,128.36 </t>
  </si>
  <si>
    <t xml:space="preserve">Cooler 4: 12,886,014.83 </t>
  </si>
  <si>
    <t xml:space="preserve">Cooler 5: 12,759,029.65 </t>
  </si>
  <si>
    <t xml:space="preserve">TEG regenerator cooler: 65,294.12 </t>
  </si>
  <si>
    <t xml:space="preserve">HFM reactor cooler: 236,766,366.64 </t>
  </si>
  <si>
    <t xml:space="preserve">Cooler 6: 56,170,876.50 </t>
  </si>
  <si>
    <t xml:space="preserve">Cooler 7: 19,726,067.94 </t>
  </si>
  <si>
    <t xml:space="preserve">Distillation condenser: 52,741,568.80 </t>
  </si>
  <si>
    <t xml:space="preserve">Hydrogenation reactor cooler: 125,270,450.40 </t>
  </si>
  <si>
    <t>Product cooler: 46,320,513.66</t>
  </si>
  <si>
    <t>Data from mail</t>
  </si>
  <si>
    <t>Cooling water</t>
  </si>
  <si>
    <t>kJ/hr</t>
  </si>
  <si>
    <t>Chilled water</t>
  </si>
  <si>
    <t>MJ/kg propanol</t>
  </si>
  <si>
    <t>Total cooling</t>
  </si>
  <si>
    <t>Ammonia</t>
  </si>
  <si>
    <t>Propanol; carbon dioxide from DAC; hydrogen from wind-powered water electrolysis; BAU ethylene; intermediate conversions with utilities; Abhi</t>
  </si>
  <si>
    <t>Cooling</t>
  </si>
  <si>
    <t>Propanol; carbon dioxide from DAC; hydrogen from wind-powered water electrolysis; ethylene from gMeOH; intermediate conversions with utilities; Abhi</t>
  </si>
  <si>
    <t>Propanol; carbon dioxide from NG power-plant; hydrogen from wind-powered water electrolysis; BAU ethylene; intermediate conversions with utilities; Abhi</t>
  </si>
  <si>
    <t>Propanol; carbon dioxide from NG power-plant; hydrogen from wind-powered water electrolysis; ethylene from gMeOH; intermediate conversions with utilities; Abhi</t>
  </si>
  <si>
    <t>Propanol; carbon dioxide from DAC; hydrogen from grid-powered water electrolysis; BAU ethylene; intermediate conversions with utilities; Abhi</t>
  </si>
  <si>
    <t>Propanol; carbon dioxide from DAC; hydrogen from grid-powered water electrolysis; ethylene from gMeOH; intermediate conversions with utilities; Abhi</t>
  </si>
  <si>
    <t>Propanol; carbon dioxide from NG power-plant; hydrogen from grid-powered water electrolysis; BAU ethylene; intermediate conversions with utilities; Abhi</t>
  </si>
  <si>
    <t>Propanol; carbon dioxide from NG power-plant; hydrogen from grid-powered water electrolysis; ethylene from gMeOH; intermediate conversions with utilities; Abhi</t>
  </si>
  <si>
    <t>Cost of production assuming reaction efficiencies with recycle and only raw material costs</t>
  </si>
  <si>
    <t>Amount [$/t propanol]</t>
  </si>
  <si>
    <t>Carbon dioxide from NG</t>
  </si>
  <si>
    <t>Carbon dioxide from DAC</t>
  </si>
  <si>
    <t>Hydrogen from wind</t>
  </si>
  <si>
    <t>Ethylene BAU</t>
  </si>
  <si>
    <t>Ethylene - gMeOH - NG</t>
  </si>
  <si>
    <t>Ethylene - gMeOH - DAC</t>
  </si>
  <si>
    <t>Market price</t>
  </si>
  <si>
    <t>$/t propanol</t>
  </si>
  <si>
    <t>Price [$/unit]</t>
  </si>
  <si>
    <t>Input [unit/t propanol]</t>
  </si>
  <si>
    <t>kWh/t</t>
  </si>
  <si>
    <t>MJ/t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</si>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</sst>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57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0" fontId="3" fillId="0" borderId="1" xfId="1" applyBorder="1" applyAlignment="1">
      <alignment horizontal="center"/>
    </xf>
    <xf numFmtId="2" fontId="3" fillId="0" borderId="1" xfId="1" applyNumberFormat="1" applyBorder="1" applyAlignment="1">
      <alignment horizontal="center"/>
    </xf>
    <xf numFmtId="164" fontId="3" fillId="0" borderId="1" xfId="1" applyNumberFormat="1" applyBorder="1" applyAlignment="1">
      <alignment horizontal="center"/>
    </xf>
    <xf numFmtId="0" fontId="3" fillId="2" borderId="1" xfId="1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164" fontId="3" fillId="0" borderId="0" xfId="1" applyNumberFormat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0" fillId="0" borderId="1" xfId="0" applyBorder="1" applyAlignment="1">
      <alignment horizontal="center"/>
    </xf>
    <xf numFmtId="11" fontId="3" fillId="0" borderId="1" xfId="1" applyNumberFormat="1" applyBorder="1" applyAlignment="1">
      <alignment horizontal="center"/>
    </xf>
    <xf numFmtId="0" fontId="3" fillId="0" borderId="2" xfId="1" applyBorder="1" applyAlignment="1">
      <alignment horizontal="center"/>
    </xf>
    <xf numFmtId="11" fontId="3" fillId="0" borderId="2" xfId="1" applyNumberFormat="1" applyBorder="1" applyAlignment="1">
      <alignment horizontal="center"/>
    </xf>
    <xf numFmtId="11" fontId="3" fillId="0" borderId="0" xfId="1" applyNumberFormat="1"/>
    <xf numFmtId="0" fontId="1" fillId="0" borderId="0" xfId="2"/>
    <xf numFmtId="0" fontId="1" fillId="0" borderId="1" xfId="2" applyBorder="1" applyAlignment="1">
      <alignment horizontal="center"/>
    </xf>
    <xf numFmtId="0" fontId="1" fillId="0" borderId="0" xfId="2" applyAlignment="1">
      <alignment horizontal="center"/>
    </xf>
    <xf numFmtId="11" fontId="1" fillId="0" borderId="0" xfId="2" applyNumberFormat="1"/>
    <xf numFmtId="0" fontId="1" fillId="0" borderId="1" xfId="2" applyBorder="1"/>
    <xf numFmtId="0" fontId="4" fillId="0" borderId="1" xfId="0" applyFont="1" applyBorder="1" applyAlignment="1">
      <alignment horizontal="left" vertical="center" indent="1"/>
    </xf>
    <xf numFmtId="0" fontId="3" fillId="0" borderId="5" xfId="1" applyBorder="1" applyAlignment="1">
      <alignment horizontal="center" vertical="center"/>
    </xf>
    <xf numFmtId="0" fontId="3" fillId="5" borderId="1" xfId="1" applyFill="1" applyBorder="1" applyAlignment="1">
      <alignment horizontal="center"/>
    </xf>
    <xf numFmtId="0" fontId="3" fillId="6" borderId="1" xfId="1" applyFill="1" applyBorder="1" applyAlignment="1">
      <alignment horizontal="center"/>
    </xf>
    <xf numFmtId="11" fontId="1" fillId="0" borderId="1" xfId="2" applyNumberFormat="1" applyBorder="1" applyAlignment="1">
      <alignment horizontal="center"/>
    </xf>
    <xf numFmtId="0" fontId="0" fillId="0" borderId="1" xfId="2" applyFont="1" applyBorder="1" applyAlignment="1">
      <alignment horizontal="center"/>
    </xf>
    <xf numFmtId="165" fontId="3" fillId="0" borderId="0" xfId="1" applyNumberFormat="1"/>
    <xf numFmtId="0" fontId="3" fillId="0" borderId="0" xfId="3"/>
    <xf numFmtId="0" fontId="3" fillId="0" borderId="5" xfId="3" applyBorder="1"/>
    <xf numFmtId="0" fontId="3" fillId="0" borderId="1" xfId="3" applyBorder="1" applyAlignment="1">
      <alignment horizontal="center"/>
    </xf>
    <xf numFmtId="2" fontId="3" fillId="0" borderId="1" xfId="3" applyNumberFormat="1" applyBorder="1" applyAlignment="1">
      <alignment horizontal="center"/>
    </xf>
    <xf numFmtId="164" fontId="3" fillId="0" borderId="1" xfId="3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3" applyAlignment="1">
      <alignment horizontal="center"/>
    </xf>
    <xf numFmtId="2" fontId="3" fillId="0" borderId="0" xfId="3" applyNumberFormat="1" applyAlignment="1">
      <alignment horizontal="center"/>
    </xf>
    <xf numFmtId="10" fontId="3" fillId="0" borderId="1" xfId="3" applyNumberFormat="1" applyBorder="1" applyAlignment="1">
      <alignment horizontal="center"/>
    </xf>
    <xf numFmtId="166" fontId="0" fillId="0" borderId="0" xfId="0" applyNumberFormat="1"/>
    <xf numFmtId="2" fontId="3" fillId="0" borderId="0" xfId="3" applyNumberForma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7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4" borderId="4" xfId="2" applyFont="1" applyFill="1" applyBorder="1" applyAlignment="1">
      <alignment horizontal="center"/>
    </xf>
    <xf numFmtId="0" fontId="2" fillId="4" borderId="7" xfId="2" applyFont="1" applyFill="1" applyBorder="1" applyAlignment="1">
      <alignment horizontal="center"/>
    </xf>
    <xf numFmtId="0" fontId="2" fillId="4" borderId="2" xfId="2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3" xr:uid="{71D78074-7673-41A8-8720-1ED4DFC5E784}"/>
    <cellStyle name="Normal 3" xfId="2" xr:uid="{00000000-0005-0000-0000-000002000000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Global warming [kg CO2 eq]</a:t>
            </a:r>
            <a:r>
              <a:rPr lang="de-CH" sz="1400" b="0" i="0" u="none" strike="noStrike" baseline="0"/>
              <a:t> 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gate'!$C$3:$C$7</c:f>
              <c:numCache>
                <c:formatCode>0.0000</c:formatCode>
                <c:ptCount val="5"/>
                <c:pt idx="0">
                  <c:v>4.6039285999999997</c:v>
                </c:pt>
                <c:pt idx="1">
                  <c:v>0.77515016000000003</c:v>
                </c:pt>
                <c:pt idx="2">
                  <c:v>-0.99427577</c:v>
                </c:pt>
                <c:pt idx="3">
                  <c:v>1.4688386</c:v>
                </c:pt>
                <c:pt idx="4">
                  <c:v>1.3048446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4-4D4A-8A53-F125096C1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Stratospheric ozone depletion</a:t>
            </a:r>
            <a:r>
              <a:rPr lang="de-CH" sz="1400" b="0" i="0" u="none" strike="noStrike" baseline="0"/>
              <a:t> [kg CFC11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gate'!$D$3:$D$7</c:f>
              <c:numCache>
                <c:formatCode>0.00E+00</c:formatCode>
                <c:ptCount val="5"/>
                <c:pt idx="0">
                  <c:v>1.4640390000000001E-6</c:v>
                </c:pt>
                <c:pt idx="1">
                  <c:v>1.2052460999999999E-7</c:v>
                </c:pt>
                <c:pt idx="2">
                  <c:v>3.2029477000000001E-7</c:v>
                </c:pt>
                <c:pt idx="3">
                  <c:v>1.2534162000000001E-7</c:v>
                </c:pt>
                <c:pt idx="4">
                  <c:v>3.3625998E-7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A-483C-905B-6C3F96AA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Ionizing radiation [kBq Co-60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gate'!$E$3:$E$7</c:f>
              <c:numCache>
                <c:formatCode>0.0000</c:formatCode>
                <c:ptCount val="5"/>
                <c:pt idx="0">
                  <c:v>0.25496323999999998</c:v>
                </c:pt>
                <c:pt idx="1">
                  <c:v>1.7079358999999999E-2</c:v>
                </c:pt>
                <c:pt idx="2">
                  <c:v>3.3160056E-2</c:v>
                </c:pt>
                <c:pt idx="3">
                  <c:v>1.7720513E-2</c:v>
                </c:pt>
                <c:pt idx="4">
                  <c:v>3.5285059000000001E-2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B-4210-9E75-EB20C9AEC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Human health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gate'!$F$3:$F$7</c:f>
              <c:numCache>
                <c:formatCode>0.0000</c:formatCode>
                <c:ptCount val="5"/>
                <c:pt idx="0">
                  <c:v>1.6488507999999999E-2</c:v>
                </c:pt>
                <c:pt idx="1">
                  <c:v>2.0352655999999998E-3</c:v>
                </c:pt>
                <c:pt idx="2">
                  <c:v>2.4447384999999999E-3</c:v>
                </c:pt>
                <c:pt idx="3">
                  <c:v>2.4099274000000002E-3</c:v>
                </c:pt>
                <c:pt idx="4">
                  <c:v>3.6864955999999999E-3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9-4683-B034-A24A01D3C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Fine particulate matter formation</a:t>
            </a:r>
            <a:r>
              <a:rPr lang="de-CH" sz="1400" b="0" i="0" u="none" strike="noStrike" baseline="0"/>
              <a:t> [kg PM2.5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gate'!$G$3:$G$7</c:f>
              <c:numCache>
                <c:formatCode>0.0000</c:formatCode>
                <c:ptCount val="5"/>
                <c:pt idx="0">
                  <c:v>8.4093069999999995E-3</c:v>
                </c:pt>
                <c:pt idx="1">
                  <c:v>1.0995192E-3</c:v>
                </c:pt>
                <c:pt idx="2">
                  <c:v>1.4566704999999999E-3</c:v>
                </c:pt>
                <c:pt idx="3">
                  <c:v>1.1404611E-3</c:v>
                </c:pt>
                <c:pt idx="4">
                  <c:v>1.5923659E-3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4-45EE-B51E-BA1FB8353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Ozone formation, Terrestrial ecosystems</a:t>
            </a:r>
            <a:r>
              <a:rPr lang="de-CH" sz="1400" b="0" i="0" u="none" strike="noStrike" baseline="0"/>
              <a:t> [kg NOx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gate'!$H$3:$H$7</c:f>
              <c:numCache>
                <c:formatCode>0.0000</c:formatCode>
                <c:ptCount val="5"/>
                <c:pt idx="0">
                  <c:v>2.0628871E-2</c:v>
                </c:pt>
                <c:pt idx="1">
                  <c:v>2.1916726000000002E-3</c:v>
                </c:pt>
                <c:pt idx="2">
                  <c:v>2.9259137999999999E-3</c:v>
                </c:pt>
                <c:pt idx="3">
                  <c:v>2.5632828999999999E-3</c:v>
                </c:pt>
                <c:pt idx="4">
                  <c:v>4.1575570000000001E-3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3-4A25-8267-CC2DFECD1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acidification</a:t>
            </a:r>
            <a:r>
              <a:rPr lang="de-CH" sz="1400" b="0" i="0" u="none" strike="noStrike" baseline="0"/>
              <a:t> [kg SO2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gate'!$I$3:$I$7</c:f>
              <c:numCache>
                <c:formatCode>0.0000</c:formatCode>
                <c:ptCount val="5"/>
                <c:pt idx="0">
                  <c:v>1.8631587000000002E-2</c:v>
                </c:pt>
                <c:pt idx="1">
                  <c:v>2.6430354999999999E-3</c:v>
                </c:pt>
                <c:pt idx="2">
                  <c:v>2.6653103999999999E-3</c:v>
                </c:pt>
                <c:pt idx="3">
                  <c:v>2.7807188E-3</c:v>
                </c:pt>
                <c:pt idx="4">
                  <c:v>3.1216400000000002E-3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0-4A75-ACDA-D87DB433C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eutrophication</a:t>
            </a:r>
            <a:r>
              <a:rPr lang="de-CH" sz="1400" b="0" i="0" u="none" strike="noStrike" baseline="0"/>
              <a:t> [kg 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gate'!$J$3:$J$7</c:f>
              <c:numCache>
                <c:formatCode>0.00E+00</c:formatCode>
                <c:ptCount val="5"/>
                <c:pt idx="0">
                  <c:v>1.6225464E-3</c:v>
                </c:pt>
                <c:pt idx="1">
                  <c:v>1.4724734999999999E-4</c:v>
                </c:pt>
                <c:pt idx="2">
                  <c:v>3.8153948E-4</c:v>
                </c:pt>
                <c:pt idx="3">
                  <c:v>1.4563314E-4</c:v>
                </c:pt>
                <c:pt idx="4">
                  <c:v>3.7618945000000002E-4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E-4D1F-B43A-EE251C687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eutrophication</a:t>
            </a:r>
            <a:r>
              <a:rPr lang="de-CH" sz="1400" b="0" i="0" u="none" strike="noStrike" baseline="0"/>
              <a:t> [kg N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gate'!$K$3:$K$7</c:f>
              <c:numCache>
                <c:formatCode>0.00E+00</c:formatCode>
                <c:ptCount val="5"/>
                <c:pt idx="0">
                  <c:v>1.0706915E-4</c:v>
                </c:pt>
                <c:pt idx="1">
                  <c:v>1.5539617999999999E-5</c:v>
                </c:pt>
                <c:pt idx="2">
                  <c:v>4.315051E-5</c:v>
                </c:pt>
                <c:pt idx="3">
                  <c:v>1.8796805999999999E-5</c:v>
                </c:pt>
                <c:pt idx="4">
                  <c:v>5.3945941E-5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1-43CE-8588-B6DFADEB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Terrestrial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gate'!$L$3:$L$7</c:f>
              <c:numCache>
                <c:formatCode>0.0000</c:formatCode>
                <c:ptCount val="5"/>
                <c:pt idx="0">
                  <c:v>8.8305188999999995</c:v>
                </c:pt>
                <c:pt idx="1">
                  <c:v>1.9303644</c:v>
                </c:pt>
                <c:pt idx="2">
                  <c:v>6.4912593999999997</c:v>
                </c:pt>
                <c:pt idx="3">
                  <c:v>1.9598838000000001</c:v>
                </c:pt>
                <c:pt idx="4">
                  <c:v>6.5890966000000004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3-47B9-B8E2-2FCA7618E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Freshwater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gate'!$M$3:$M$7</c:f>
              <c:numCache>
                <c:formatCode>0.0000</c:formatCode>
                <c:ptCount val="5"/>
                <c:pt idx="0">
                  <c:v>0.10247449</c:v>
                </c:pt>
                <c:pt idx="1">
                  <c:v>5.7326190999999999E-2</c:v>
                </c:pt>
                <c:pt idx="2">
                  <c:v>0.19152076000000001</c:v>
                </c:pt>
                <c:pt idx="3">
                  <c:v>5.5277245000000003E-2</c:v>
                </c:pt>
                <c:pt idx="4">
                  <c:v>0.18472985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3-4A94-BF92-222C50B0C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Marine ecotoxicity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gate'!$N$3:$N$7</c:f>
              <c:numCache>
                <c:formatCode>0.0000</c:formatCode>
                <c:ptCount val="5"/>
                <c:pt idx="0">
                  <c:v>0.14484010999999999</c:v>
                </c:pt>
                <c:pt idx="1">
                  <c:v>7.2184925999999996E-2</c:v>
                </c:pt>
                <c:pt idx="2">
                  <c:v>0.24003074999999999</c:v>
                </c:pt>
                <c:pt idx="3">
                  <c:v>6.9555054000000005E-2</c:v>
                </c:pt>
                <c:pt idx="4">
                  <c:v>0.23131445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E-4639-A437-34D2088B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gate'!$O$3:$O$7</c:f>
              <c:numCache>
                <c:formatCode>0.0000</c:formatCode>
                <c:ptCount val="5"/>
                <c:pt idx="0">
                  <c:v>0.14768858000000001</c:v>
                </c:pt>
                <c:pt idx="1">
                  <c:v>6.0129152999999998E-2</c:v>
                </c:pt>
                <c:pt idx="2">
                  <c:v>0.17084890999999999</c:v>
                </c:pt>
                <c:pt idx="3">
                  <c:v>5.8457364999999997E-2</c:v>
                </c:pt>
                <c:pt idx="4">
                  <c:v>0.16530803999999999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B-4533-99BC-BF3668C2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Human non-carcinogenic toxicity</a:t>
            </a:r>
            <a:r>
              <a:rPr lang="de-CH" sz="1400" b="0" i="0" u="none" strike="noStrike" baseline="0"/>
              <a:t> [kg 1,4-DCB]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gate'!$P$3:$P$7</c:f>
              <c:numCache>
                <c:formatCode>0.0000</c:formatCode>
                <c:ptCount val="5"/>
                <c:pt idx="0">
                  <c:v>4.5199340000000001</c:v>
                </c:pt>
                <c:pt idx="1">
                  <c:v>0.66978841</c:v>
                </c:pt>
                <c:pt idx="2">
                  <c:v>2.0563254999999998</c:v>
                </c:pt>
                <c:pt idx="3">
                  <c:v>0.63833125999999996</c:v>
                </c:pt>
                <c:pt idx="4">
                  <c:v>1.9520658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B-4400-9BD8-FF7D42D09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Land use</a:t>
            </a:r>
            <a:r>
              <a:rPr lang="de-CH" sz="1400" b="0" i="0" u="none" strike="noStrike" baseline="0"/>
              <a:t> [m2a crop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gate'!$Q$3:$Q$7</c:f>
              <c:numCache>
                <c:formatCode>0.0000</c:formatCode>
                <c:ptCount val="5"/>
                <c:pt idx="0">
                  <c:v>0.10146991</c:v>
                </c:pt>
                <c:pt idx="1">
                  <c:v>1.1814994000000001E-2</c:v>
                </c:pt>
                <c:pt idx="2">
                  <c:v>3.8278504999999997E-2</c:v>
                </c:pt>
                <c:pt idx="3">
                  <c:v>1.1283984E-2</c:v>
                </c:pt>
                <c:pt idx="4">
                  <c:v>3.6518556000000001E-2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1-47EF-84F3-49944FE2D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Mineral resource scarcity</a:t>
            </a:r>
            <a:r>
              <a:rPr lang="de-CH" sz="1400" b="0" i="0" u="none" strike="noStrike" baseline="0"/>
              <a:t> [kg Cu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gate'!$R$3:$R$7</c:f>
              <c:numCache>
                <c:formatCode>0.0000</c:formatCode>
                <c:ptCount val="5"/>
                <c:pt idx="0">
                  <c:v>7.6205869000000002E-3</c:v>
                </c:pt>
                <c:pt idx="1">
                  <c:v>4.8725239999999996E-3</c:v>
                </c:pt>
                <c:pt idx="2">
                  <c:v>1.6750944E-2</c:v>
                </c:pt>
                <c:pt idx="3">
                  <c:v>4.6800790000000002E-3</c:v>
                </c:pt>
                <c:pt idx="4">
                  <c:v>1.6113115000000001E-2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6-4BF7-8A5C-6501850A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Fossil resource scarcity</a:t>
            </a:r>
            <a:r>
              <a:rPr lang="de-CH" sz="1400" b="0" i="0" u="none" strike="noStrike" baseline="0"/>
              <a:t> [kg oil eq]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gate'!$S$3:$S$7</c:f>
              <c:numCache>
                <c:formatCode>0.0000</c:formatCode>
                <c:ptCount val="5"/>
                <c:pt idx="0">
                  <c:v>2.0455138000000002</c:v>
                </c:pt>
                <c:pt idx="1">
                  <c:v>0.93335975999999998</c:v>
                </c:pt>
                <c:pt idx="2">
                  <c:v>0.47854584</c:v>
                </c:pt>
                <c:pt idx="3">
                  <c:v>0.91481069999999998</c:v>
                </c:pt>
                <c:pt idx="4">
                  <c:v>0.41706789999999999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4-4FE5-8D56-EFAAE5969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400" b="0" i="0" u="none" strike="noStrike" baseline="0">
                <a:effectLst/>
              </a:rPr>
              <a:t>Water consumption</a:t>
            </a:r>
            <a:r>
              <a:rPr lang="de-CH" sz="1400" b="0" i="0" u="none" strike="noStrike" baseline="0"/>
              <a:t> [m3]</a:t>
            </a:r>
            <a:endParaRPr lang="de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'LCA results - cradle to gate'!$B$3:$B$7</c:f>
              <c:strCache>
                <c:ptCount val="5"/>
                <c:pt idx="0">
                  <c:v>BAU</c:v>
                </c:pt>
                <c:pt idx="1">
                  <c:v>DAC + wind</c:v>
                </c:pt>
                <c:pt idx="2">
                  <c:v>DAC + wind + gE</c:v>
                </c:pt>
                <c:pt idx="3">
                  <c:v>NG + wind</c:v>
                </c:pt>
                <c:pt idx="4">
                  <c:v>NG + wind + gE</c:v>
                </c:pt>
              </c:strCache>
            </c:strRef>
          </c:cat>
          <c:val>
            <c:numRef>
              <c:f>'LCA results - cradle to gate'!$T$3:$T$7</c:f>
              <c:numCache>
                <c:formatCode>0.0000</c:formatCode>
                <c:ptCount val="5"/>
                <c:pt idx="0">
                  <c:v>8.0522865999999998E-2</c:v>
                </c:pt>
                <c:pt idx="1">
                  <c:v>1.1605987E-2</c:v>
                </c:pt>
                <c:pt idx="2">
                  <c:v>1.6696453999999999E-2</c:v>
                </c:pt>
                <c:pt idx="3">
                  <c:v>9.9969158000000006E-3</c:v>
                </c:pt>
                <c:pt idx="4">
                  <c:v>1.1363443000000001E-2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D-41F9-B7C2-E66A209D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6547696"/>
        <c:axId val="876545616"/>
      </c:barChart>
      <c:catAx>
        <c:axId val="87654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5616"/>
        <c:crosses val="autoZero"/>
        <c:auto val="1"/>
        <c:lblAlgn val="ctr"/>
        <c:lblOffset val="100"/>
        <c:noMultiLvlLbl val="0"/>
      </c:catAx>
      <c:valAx>
        <c:axId val="87654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4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8</xdr:row>
      <xdr:rowOff>171449</xdr:rowOff>
    </xdr:from>
    <xdr:to>
      <xdr:col>0</xdr:col>
      <xdr:colOff>4705350</xdr:colOff>
      <xdr:row>22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28878-9E8B-476B-BEB9-92838937D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4762500</xdr:colOff>
      <xdr:row>8</xdr:row>
      <xdr:rowOff>180975</xdr:rowOff>
    </xdr:from>
    <xdr:to>
      <xdr:col>1</xdr:col>
      <xdr:colOff>1247775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E3A72D-BD0C-4474-A13A-9B946C060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133350</xdr:colOff>
      <xdr:row>23</xdr:row>
      <xdr:rowOff>9525</xdr:rowOff>
    </xdr:from>
    <xdr:to>
      <xdr:col>0</xdr:col>
      <xdr:colOff>4705350</xdr:colOff>
      <xdr:row>36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378FC2-8792-489B-9AC8-676613A8A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4905375</xdr:colOff>
      <xdr:row>23</xdr:row>
      <xdr:rowOff>9525</xdr:rowOff>
    </xdr:from>
    <xdr:to>
      <xdr:col>1</xdr:col>
      <xdr:colOff>742950</xdr:colOff>
      <xdr:row>36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136461-6153-4FA1-AB11-179D5A1E1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36</xdr:row>
      <xdr:rowOff>190500</xdr:rowOff>
    </xdr:from>
    <xdr:to>
      <xdr:col>0</xdr:col>
      <xdr:colOff>4676775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8F654B-6E25-4E15-8006-221A167A0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4914900</xdr:colOff>
      <xdr:row>37</xdr:row>
      <xdr:rowOff>0</xdr:rowOff>
    </xdr:from>
    <xdr:to>
      <xdr:col>1</xdr:col>
      <xdr:colOff>752475</xdr:colOff>
      <xdr:row>50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CB0590-7413-4863-88EB-294E6DF2B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104775</xdr:colOff>
      <xdr:row>50</xdr:row>
      <xdr:rowOff>180975</xdr:rowOff>
    </xdr:from>
    <xdr:to>
      <xdr:col>0</xdr:col>
      <xdr:colOff>4676775</xdr:colOff>
      <xdr:row>64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82078-494E-4840-8AC5-47BE0F882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4924424</xdr:colOff>
      <xdr:row>50</xdr:row>
      <xdr:rowOff>180975</xdr:rowOff>
    </xdr:from>
    <xdr:to>
      <xdr:col>2</xdr:col>
      <xdr:colOff>333374</xdr:colOff>
      <xdr:row>64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23B87E-44D4-403A-AC90-A6CCD2799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95250</xdr:colOff>
      <xdr:row>65</xdr:row>
      <xdr:rowOff>9525</xdr:rowOff>
    </xdr:from>
    <xdr:to>
      <xdr:col>0</xdr:col>
      <xdr:colOff>4667250</xdr:colOff>
      <xdr:row>78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E7666A6-A5BB-476A-87C2-B8665C6D2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4905375</xdr:colOff>
      <xdr:row>65</xdr:row>
      <xdr:rowOff>9525</xdr:rowOff>
    </xdr:from>
    <xdr:to>
      <xdr:col>1</xdr:col>
      <xdr:colOff>742950</xdr:colOff>
      <xdr:row>78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1262C0-FF67-479A-B673-A8F591C59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79</xdr:row>
      <xdr:rowOff>19050</xdr:rowOff>
    </xdr:from>
    <xdr:to>
      <xdr:col>0</xdr:col>
      <xdr:colOff>4686300</xdr:colOff>
      <xdr:row>92</xdr:row>
      <xdr:rowOff>161925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B86202D-8865-495F-B66E-2C962E61A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4905375</xdr:colOff>
      <xdr:row>79</xdr:row>
      <xdr:rowOff>28575</xdr:rowOff>
    </xdr:from>
    <xdr:to>
      <xdr:col>1</xdr:col>
      <xdr:colOff>742950</xdr:colOff>
      <xdr:row>92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7CBFA2-3617-45EF-A721-11CDB5A1E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95250</xdr:colOff>
      <xdr:row>93</xdr:row>
      <xdr:rowOff>28575</xdr:rowOff>
    </xdr:from>
    <xdr:to>
      <xdr:col>0</xdr:col>
      <xdr:colOff>4667250</xdr:colOff>
      <xdr:row>106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F60813-11C6-4838-8975-A5CCEE338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4905375</xdr:colOff>
      <xdr:row>93</xdr:row>
      <xdr:rowOff>38100</xdr:rowOff>
    </xdr:from>
    <xdr:to>
      <xdr:col>1</xdr:col>
      <xdr:colOff>742950</xdr:colOff>
      <xdr:row>106</xdr:row>
      <xdr:rowOff>180975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981615-AEE4-4845-A351-1EDF2022F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104775</xdr:colOff>
      <xdr:row>107</xdr:row>
      <xdr:rowOff>38100</xdr:rowOff>
    </xdr:from>
    <xdr:to>
      <xdr:col>0</xdr:col>
      <xdr:colOff>4676775</xdr:colOff>
      <xdr:row>120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85FB77-8A57-4531-B59D-A448534E11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4905375</xdr:colOff>
      <xdr:row>107</xdr:row>
      <xdr:rowOff>19050</xdr:rowOff>
    </xdr:from>
    <xdr:to>
      <xdr:col>1</xdr:col>
      <xdr:colOff>742950</xdr:colOff>
      <xdr:row>120</xdr:row>
      <xdr:rowOff>161925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3213B22-5617-4E20-A8AA-BBC208DEA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104775</xdr:colOff>
      <xdr:row>121</xdr:row>
      <xdr:rowOff>38100</xdr:rowOff>
    </xdr:from>
    <xdr:to>
      <xdr:col>0</xdr:col>
      <xdr:colOff>4676775</xdr:colOff>
      <xdr:row>134</xdr:row>
      <xdr:rowOff>180975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A50E04-CEAF-4DED-B15B-2A2E6955D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4914900</xdr:colOff>
      <xdr:row>121</xdr:row>
      <xdr:rowOff>28575</xdr:rowOff>
    </xdr:from>
    <xdr:to>
      <xdr:col>1</xdr:col>
      <xdr:colOff>752475</xdr:colOff>
      <xdr:row>134</xdr:row>
      <xdr:rowOff>171450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86B5C8A-1271-4477-8623-968883B0C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="110" zoomScaleNormal="110" workbookViewId="0">
      <selection activeCell="D7" sqref="D7"/>
    </sheetView>
  </sheetViews>
  <sheetFormatPr defaultColWidth="12.5703125" defaultRowHeight="15.75" x14ac:dyDescent="0.25"/>
  <cols>
    <col min="1" max="1" width="21" style="1" bestFit="1" customWidth="1"/>
    <col min="2" max="2" width="14.140625" style="1" bestFit="1" customWidth="1"/>
    <col min="3" max="3" width="17.7109375" style="1" bestFit="1" customWidth="1"/>
    <col min="4" max="4" width="11.140625" style="1" bestFit="1" customWidth="1"/>
    <col min="5" max="5" width="17.85546875" style="1" bestFit="1" customWidth="1"/>
    <col min="6" max="6" width="14.85546875" style="1" bestFit="1" customWidth="1"/>
    <col min="7" max="7" width="16.140625" style="1" bestFit="1" customWidth="1"/>
    <col min="8" max="8" width="20.28515625" style="1" bestFit="1" customWidth="1"/>
    <col min="9" max="9" width="12.5703125" style="1"/>
    <col min="10" max="10" width="41" style="1" customWidth="1"/>
    <col min="11" max="11" width="78.42578125" style="1" bestFit="1" customWidth="1"/>
    <col min="12" max="16384" width="12.5703125" style="1"/>
  </cols>
  <sheetData>
    <row r="1" spans="1:11" x14ac:dyDescent="0.25">
      <c r="A1" s="1" t="s">
        <v>0</v>
      </c>
    </row>
    <row r="3" spans="1:11" x14ac:dyDescent="0.25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11" x14ac:dyDescent="0.25">
      <c r="A4" s="3" t="s">
        <v>8</v>
      </c>
      <c r="B4" s="3">
        <v>44</v>
      </c>
      <c r="C4" s="4">
        <f>D4/B4</f>
        <v>2000</v>
      </c>
      <c r="D4" s="4">
        <f>0.704*10^9/8000</f>
        <v>88000</v>
      </c>
      <c r="E4" s="5">
        <f>D4/$D$8</f>
        <v>0.8471728158416697</v>
      </c>
      <c r="F4" s="6" t="s">
        <v>9</v>
      </c>
      <c r="G4" s="5">
        <f>C4/$C$8</f>
        <v>1.1552356579659131</v>
      </c>
      <c r="H4" s="5">
        <v>1</v>
      </c>
      <c r="I4" s="26"/>
    </row>
    <row r="5" spans="1:11" x14ac:dyDescent="0.25">
      <c r="A5" s="3" t="s">
        <v>10</v>
      </c>
      <c r="B5" s="3">
        <v>2</v>
      </c>
      <c r="C5" s="4">
        <f>D5/B5</f>
        <v>5562.5</v>
      </c>
      <c r="D5" s="4">
        <f>0.089*10^9/8000</f>
        <v>11125</v>
      </c>
      <c r="E5" s="5">
        <f>D5/$D$8</f>
        <v>0.10709997245725653</v>
      </c>
      <c r="F5" s="6" t="s">
        <v>9</v>
      </c>
      <c r="G5" s="5">
        <f>C5/$C$8</f>
        <v>3.2129991737176957</v>
      </c>
      <c r="H5" s="5">
        <v>3</v>
      </c>
      <c r="I5" s="26"/>
    </row>
    <row r="6" spans="1:11" x14ac:dyDescent="0.25">
      <c r="A6" s="3" t="s">
        <v>11</v>
      </c>
      <c r="B6" s="3">
        <v>28</v>
      </c>
      <c r="C6" s="4">
        <f>D6/B6</f>
        <v>2008.9285714285713</v>
      </c>
      <c r="D6" s="4">
        <f>0.45*10^9/8000</f>
        <v>56250</v>
      </c>
      <c r="E6" s="5">
        <f>D6/$D$8</f>
        <v>0.54151671467152185</v>
      </c>
      <c r="F6" s="6" t="s">
        <v>9</v>
      </c>
      <c r="G6" s="5">
        <f>C6/$C$8</f>
        <v>1.1603929600104037</v>
      </c>
      <c r="H6" s="5">
        <v>1</v>
      </c>
    </row>
    <row r="7" spans="1:11" x14ac:dyDescent="0.25">
      <c r="A7" s="3" t="s">
        <v>8</v>
      </c>
      <c r="B7" s="3">
        <v>44</v>
      </c>
      <c r="C7" s="4">
        <f>D7/B7</f>
        <v>823.86363636363637</v>
      </c>
      <c r="D7" s="4">
        <f>0.29*10^9/8000</f>
        <v>36250</v>
      </c>
      <c r="E7" s="5">
        <f>D7/$D$8</f>
        <v>0.34897743834386963</v>
      </c>
      <c r="F7" s="9" t="s">
        <v>15</v>
      </c>
      <c r="G7" s="8"/>
      <c r="H7" s="8"/>
    </row>
    <row r="8" spans="1:11" x14ac:dyDescent="0.25">
      <c r="A8" s="3" t="s">
        <v>12</v>
      </c>
      <c r="B8" s="3">
        <v>60</v>
      </c>
      <c r="C8" s="4">
        <v>1731.2484999999999</v>
      </c>
      <c r="D8" s="4">
        <f t="shared" ref="D8" si="0">B8*C8</f>
        <v>103874.90999999999</v>
      </c>
      <c r="E8" s="5">
        <f>D8/$D$8</f>
        <v>1</v>
      </c>
      <c r="F8" s="7" t="s">
        <v>13</v>
      </c>
    </row>
    <row r="10" spans="1:11" x14ac:dyDescent="0.25">
      <c r="A10" s="45" t="s">
        <v>14</v>
      </c>
      <c r="B10" s="3">
        <f>353</f>
        <v>353</v>
      </c>
      <c r="C10" s="3" t="s">
        <v>16</v>
      </c>
      <c r="E10" s="42" t="s">
        <v>102</v>
      </c>
      <c r="F10" s="4">
        <v>50797892.700000003</v>
      </c>
      <c r="G10" s="3"/>
      <c r="J10" s="46" t="s">
        <v>101</v>
      </c>
      <c r="K10" s="47"/>
    </row>
    <row r="11" spans="1:11" x14ac:dyDescent="0.25">
      <c r="A11" s="45"/>
      <c r="B11" s="3">
        <f>B10/8000</f>
        <v>4.4124999999999998E-2</v>
      </c>
      <c r="C11" s="3" t="s">
        <v>17</v>
      </c>
      <c r="E11" s="43"/>
      <c r="F11" s="4">
        <v>16353214.85</v>
      </c>
      <c r="G11" s="3"/>
      <c r="J11" s="20" t="s">
        <v>89</v>
      </c>
      <c r="K11" s="20" t="s">
        <v>77</v>
      </c>
    </row>
    <row r="12" spans="1:11" x14ac:dyDescent="0.25">
      <c r="A12" s="45"/>
      <c r="B12" s="3">
        <f>B11*10^12</f>
        <v>44125000000</v>
      </c>
      <c r="C12" s="3" t="s">
        <v>18</v>
      </c>
      <c r="E12" s="43"/>
      <c r="F12" s="4">
        <v>14308128.359999999</v>
      </c>
      <c r="G12" s="3"/>
      <c r="J12" s="20" t="s">
        <v>90</v>
      </c>
      <c r="K12" s="20" t="s">
        <v>78</v>
      </c>
    </row>
    <row r="13" spans="1:11" x14ac:dyDescent="0.25">
      <c r="A13" s="45"/>
      <c r="B13" s="3">
        <f>B12/1000/3600</f>
        <v>12256.944444444445</v>
      </c>
      <c r="C13" s="3" t="s">
        <v>19</v>
      </c>
      <c r="E13" s="43"/>
      <c r="F13" s="4">
        <v>12886014.83</v>
      </c>
      <c r="G13" s="3"/>
      <c r="J13" s="20" t="s">
        <v>91</v>
      </c>
      <c r="K13" s="20" t="s">
        <v>79</v>
      </c>
    </row>
    <row r="14" spans="1:11" x14ac:dyDescent="0.25">
      <c r="A14" s="45"/>
      <c r="B14" s="22">
        <f>B13/$D$8</f>
        <v>0.11799716066607852</v>
      </c>
      <c r="C14" s="3" t="s">
        <v>20</v>
      </c>
      <c r="E14" s="43"/>
      <c r="F14" s="4">
        <v>12759029.65</v>
      </c>
      <c r="G14" s="3"/>
      <c r="J14" s="20" t="s">
        <v>92</v>
      </c>
      <c r="K14" s="20" t="s">
        <v>80</v>
      </c>
    </row>
    <row r="15" spans="1:11" x14ac:dyDescent="0.25">
      <c r="E15" s="43"/>
      <c r="F15" s="4">
        <v>65294.12</v>
      </c>
      <c r="G15" s="3"/>
      <c r="J15" s="20" t="s">
        <v>93</v>
      </c>
      <c r="K15" s="20" t="s">
        <v>81</v>
      </c>
    </row>
    <row r="16" spans="1:11" x14ac:dyDescent="0.25">
      <c r="A16" s="3" t="s">
        <v>106</v>
      </c>
      <c r="B16" s="23">
        <f>F22+F27+F32</f>
        <v>5153.3233475999996</v>
      </c>
      <c r="C16" s="3" t="s">
        <v>16</v>
      </c>
      <c r="E16" s="43"/>
      <c r="F16" s="4">
        <v>236766366.63999999</v>
      </c>
      <c r="G16" s="3"/>
      <c r="J16" s="20" t="s">
        <v>94</v>
      </c>
      <c r="K16" s="20" t="s">
        <v>82</v>
      </c>
    </row>
    <row r="17" spans="5:11" x14ac:dyDescent="0.25">
      <c r="E17" s="43"/>
      <c r="F17" s="4">
        <v>56170876.5</v>
      </c>
      <c r="G17" s="3"/>
      <c r="J17" s="20" t="s">
        <v>95</v>
      </c>
      <c r="K17" s="20" t="s">
        <v>83</v>
      </c>
    </row>
    <row r="18" spans="5:11" x14ac:dyDescent="0.25">
      <c r="E18" s="43"/>
      <c r="F18" s="4">
        <v>125270450.40000001</v>
      </c>
      <c r="G18" s="3"/>
      <c r="J18" s="20" t="s">
        <v>96</v>
      </c>
      <c r="K18" s="20" t="s">
        <v>84</v>
      </c>
    </row>
    <row r="19" spans="5:11" x14ac:dyDescent="0.25">
      <c r="E19" s="44"/>
      <c r="F19" s="4">
        <v>46320513.659999996</v>
      </c>
      <c r="G19" s="3"/>
      <c r="J19" s="20" t="s">
        <v>97</v>
      </c>
      <c r="K19" s="20" t="s">
        <v>85</v>
      </c>
    </row>
    <row r="20" spans="5:11" x14ac:dyDescent="0.25">
      <c r="E20" s="42" t="s">
        <v>67</v>
      </c>
      <c r="F20" s="4">
        <f>SUM(F10:F19)</f>
        <v>571697781.70999992</v>
      </c>
      <c r="G20" s="3" t="s">
        <v>103</v>
      </c>
      <c r="J20" s="20" t="s">
        <v>98</v>
      </c>
      <c r="K20" s="20" t="s">
        <v>86</v>
      </c>
    </row>
    <row r="21" spans="5:11" x14ac:dyDescent="0.25">
      <c r="E21" s="43"/>
      <c r="F21" s="22">
        <f>F20/1000/$D$8</f>
        <v>5.5037138584283731</v>
      </c>
      <c r="G21" s="3" t="s">
        <v>105</v>
      </c>
      <c r="J21" s="20" t="s">
        <v>99</v>
      </c>
      <c r="K21" s="20" t="s">
        <v>87</v>
      </c>
    </row>
    <row r="22" spans="5:11" x14ac:dyDescent="0.25">
      <c r="E22" s="44"/>
      <c r="F22" s="3">
        <f>F20/10^9*8000</f>
        <v>4573.5822536799997</v>
      </c>
      <c r="G22" s="3" t="s">
        <v>16</v>
      </c>
      <c r="J22" s="20" t="s">
        <v>100</v>
      </c>
      <c r="K22" s="20" t="s">
        <v>88</v>
      </c>
    </row>
    <row r="23" spans="5:11" x14ac:dyDescent="0.25">
      <c r="E23" s="2"/>
      <c r="F23" s="2"/>
      <c r="G23" s="2"/>
    </row>
    <row r="24" spans="5:11" x14ac:dyDescent="0.25">
      <c r="E24" s="21" t="s">
        <v>104</v>
      </c>
      <c r="F24" s="4">
        <v>52741568.799999997</v>
      </c>
      <c r="G24" s="3"/>
    </row>
    <row r="25" spans="5:11" x14ac:dyDescent="0.25">
      <c r="E25" s="42" t="s">
        <v>67</v>
      </c>
      <c r="F25" s="4">
        <f>SUM(F24:F24)</f>
        <v>52741568.799999997</v>
      </c>
      <c r="G25" s="3" t="s">
        <v>103</v>
      </c>
    </row>
    <row r="26" spans="5:11" x14ac:dyDescent="0.25">
      <c r="E26" s="43"/>
      <c r="F26" s="22">
        <f>F25/1000/$D$8</f>
        <v>0.50774117445685396</v>
      </c>
      <c r="G26" s="3" t="s">
        <v>105</v>
      </c>
    </row>
    <row r="27" spans="5:11" x14ac:dyDescent="0.25">
      <c r="E27" s="44"/>
      <c r="F27" s="3">
        <f>F25/10^9*8000</f>
        <v>421.93255039999997</v>
      </c>
      <c r="G27" s="3" t="s">
        <v>16</v>
      </c>
    </row>
    <row r="29" spans="5:11" x14ac:dyDescent="0.25">
      <c r="E29" s="21" t="s">
        <v>107</v>
      </c>
      <c r="F29" s="4">
        <v>19726067.940000001</v>
      </c>
      <c r="G29" s="3"/>
    </row>
    <row r="30" spans="5:11" x14ac:dyDescent="0.25">
      <c r="E30" s="42" t="s">
        <v>67</v>
      </c>
      <c r="F30" s="4">
        <f>SUM(F29:F29)</f>
        <v>19726067.940000001</v>
      </c>
      <c r="G30" s="3" t="s">
        <v>103</v>
      </c>
    </row>
    <row r="31" spans="5:11" x14ac:dyDescent="0.25">
      <c r="E31" s="43"/>
      <c r="F31" s="22">
        <f>F30/1000/$D$8</f>
        <v>0.18990214229788505</v>
      </c>
      <c r="G31" s="3" t="s">
        <v>105</v>
      </c>
    </row>
    <row r="32" spans="5:11" x14ac:dyDescent="0.25">
      <c r="E32" s="44"/>
      <c r="F32" s="3">
        <f>F30/10^9*8000</f>
        <v>157.80854352</v>
      </c>
      <c r="G32" s="3" t="s">
        <v>16</v>
      </c>
    </row>
  </sheetData>
  <mergeCells count="6">
    <mergeCell ref="E30:E32"/>
    <mergeCell ref="A10:A14"/>
    <mergeCell ref="J10:K10"/>
    <mergeCell ref="E10:E19"/>
    <mergeCell ref="E25:E27"/>
    <mergeCell ref="E20:E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tabSelected="1" zoomScaleNormal="100" workbookViewId="0">
      <pane xSplit="3" topLeftCell="D1" activePane="topRight" state="frozen"/>
      <selection pane="topRight" activeCell="D13" sqref="D13"/>
    </sheetView>
  </sheetViews>
  <sheetFormatPr defaultColWidth="10.140625" defaultRowHeight="15.75" x14ac:dyDescent="0.25"/>
  <cols>
    <col min="1" max="1" width="145.28515625" style="1" bestFit="1" customWidth="1"/>
    <col min="2" max="2" width="20.5703125" style="1" bestFit="1" customWidth="1"/>
    <col min="3" max="3" width="15.5703125" style="1" bestFit="1" customWidth="1"/>
    <col min="4" max="4" width="29" style="1" bestFit="1" customWidth="1"/>
    <col min="5" max="5" width="17.140625" style="1" bestFit="1" customWidth="1"/>
    <col min="6" max="6" width="31" style="1" bestFit="1" customWidth="1"/>
    <col min="7" max="7" width="32.140625" style="1" bestFit="1" customWidth="1"/>
    <col min="8" max="8" width="39.42578125" style="1" bestFit="1" customWidth="1"/>
    <col min="9" max="9" width="22.85546875" style="1" bestFit="1" customWidth="1"/>
    <col min="10" max="10" width="25.7109375" style="1" bestFit="1" customWidth="1"/>
    <col min="11" max="11" width="21.85546875" style="1" bestFit="1" customWidth="1"/>
    <col min="12" max="12" width="21.28515625" style="1" bestFit="1" customWidth="1"/>
    <col min="13" max="13" width="22.140625" style="1" bestFit="1" customWidth="1"/>
    <col min="14" max="14" width="18.42578125" style="1" bestFit="1" customWidth="1"/>
    <col min="15" max="15" width="27.5703125" style="1" bestFit="1" customWidth="1"/>
    <col min="16" max="16" width="32" style="1" bestFit="1" customWidth="1"/>
    <col min="17" max="17" width="12.42578125" style="1" bestFit="1" customWidth="1"/>
    <col min="18" max="18" width="24.7109375" style="1" bestFit="1" customWidth="1"/>
    <col min="19" max="19" width="22.85546875" style="1" bestFit="1" customWidth="1"/>
    <col min="20" max="20" width="19.28515625" style="1" bestFit="1" customWidth="1"/>
    <col min="21" max="16384" width="10.140625" style="1"/>
  </cols>
  <sheetData>
    <row r="1" spans="1:20" x14ac:dyDescent="0.25"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</row>
    <row r="2" spans="1:20" x14ac:dyDescent="0.25">
      <c r="A2" s="3" t="s">
        <v>39</v>
      </c>
      <c r="B2" s="3"/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43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48</v>
      </c>
      <c r="N2" s="3" t="s">
        <v>48</v>
      </c>
      <c r="O2" s="3" t="s">
        <v>48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</row>
    <row r="3" spans="1:20" x14ac:dyDescent="0.25">
      <c r="A3" s="3" t="s">
        <v>53</v>
      </c>
      <c r="B3" s="10" t="s">
        <v>54</v>
      </c>
      <c r="C3" s="5">
        <v>4.6039285999999997</v>
      </c>
      <c r="D3" s="11">
        <v>1.4640390000000001E-6</v>
      </c>
      <c r="E3" s="5">
        <v>0.25496323999999998</v>
      </c>
      <c r="F3" s="5">
        <v>1.6488507999999999E-2</v>
      </c>
      <c r="G3" s="5">
        <v>8.4093069999999995E-3</v>
      </c>
      <c r="H3" s="5">
        <v>2.0628871E-2</v>
      </c>
      <c r="I3" s="5">
        <v>1.8631587000000002E-2</v>
      </c>
      <c r="J3" s="11">
        <v>1.6225464E-3</v>
      </c>
      <c r="K3" s="11">
        <v>1.0706915E-4</v>
      </c>
      <c r="L3" s="5">
        <v>8.8305188999999995</v>
      </c>
      <c r="M3" s="5">
        <v>0.10247449</v>
      </c>
      <c r="N3" s="5">
        <v>0.14484010999999999</v>
      </c>
      <c r="O3" s="5">
        <v>0.14768858000000001</v>
      </c>
      <c r="P3" s="5">
        <v>4.5199340000000001</v>
      </c>
      <c r="Q3" s="5">
        <v>0.10146991</v>
      </c>
      <c r="R3" s="5">
        <v>7.6205869000000002E-3</v>
      </c>
      <c r="S3" s="5">
        <v>2.0455138000000002</v>
      </c>
      <c r="T3" s="5">
        <v>8.0522865999999998E-2</v>
      </c>
    </row>
    <row r="4" spans="1:20" x14ac:dyDescent="0.25">
      <c r="A4" s="12" t="s">
        <v>55</v>
      </c>
      <c r="B4" s="10" t="s">
        <v>56</v>
      </c>
      <c r="C4" s="5">
        <v>0.77515016000000003</v>
      </c>
      <c r="D4" s="11">
        <v>1.2052460999999999E-7</v>
      </c>
      <c r="E4" s="5">
        <v>1.7079358999999999E-2</v>
      </c>
      <c r="F4" s="5">
        <v>2.0352655999999998E-3</v>
      </c>
      <c r="G4" s="5">
        <v>1.0995192E-3</v>
      </c>
      <c r="H4" s="5">
        <v>2.1916726000000002E-3</v>
      </c>
      <c r="I4" s="5">
        <v>2.6430354999999999E-3</v>
      </c>
      <c r="J4" s="11">
        <v>1.4724734999999999E-4</v>
      </c>
      <c r="K4" s="11">
        <v>1.5539617999999999E-5</v>
      </c>
      <c r="L4" s="5">
        <v>1.9303644</v>
      </c>
      <c r="M4" s="5">
        <v>5.7326190999999999E-2</v>
      </c>
      <c r="N4" s="5">
        <v>7.2184925999999996E-2</v>
      </c>
      <c r="O4" s="5">
        <v>6.0129152999999998E-2</v>
      </c>
      <c r="P4" s="5">
        <v>0.66978841</v>
      </c>
      <c r="Q4" s="5">
        <v>1.1814994000000001E-2</v>
      </c>
      <c r="R4" s="5">
        <v>4.8725239999999996E-3</v>
      </c>
      <c r="S4" s="5">
        <v>0.93335975999999998</v>
      </c>
      <c r="T4" s="5">
        <v>1.1605987E-2</v>
      </c>
    </row>
    <row r="5" spans="1:20" x14ac:dyDescent="0.25">
      <c r="A5" s="12" t="s">
        <v>57</v>
      </c>
      <c r="B5" s="10" t="s">
        <v>58</v>
      </c>
      <c r="C5" s="5">
        <v>-0.99427577</v>
      </c>
      <c r="D5" s="11">
        <v>3.2029477000000001E-7</v>
      </c>
      <c r="E5" s="5">
        <v>3.3160056E-2</v>
      </c>
      <c r="F5" s="5">
        <v>2.4447384999999999E-3</v>
      </c>
      <c r="G5" s="5">
        <v>1.4566704999999999E-3</v>
      </c>
      <c r="H5" s="5">
        <v>2.9259137999999999E-3</v>
      </c>
      <c r="I5" s="5">
        <v>2.6653103999999999E-3</v>
      </c>
      <c r="J5" s="11">
        <v>3.8153948E-4</v>
      </c>
      <c r="K5" s="11">
        <v>4.315051E-5</v>
      </c>
      <c r="L5" s="5">
        <v>6.4912593999999997</v>
      </c>
      <c r="M5" s="5">
        <v>0.19152076000000001</v>
      </c>
      <c r="N5" s="5">
        <v>0.24003074999999999</v>
      </c>
      <c r="O5" s="5">
        <v>0.17084890999999999</v>
      </c>
      <c r="P5" s="5">
        <v>2.0563254999999998</v>
      </c>
      <c r="Q5" s="5">
        <v>3.8278504999999997E-2</v>
      </c>
      <c r="R5" s="5">
        <v>1.6750944E-2</v>
      </c>
      <c r="S5" s="5">
        <v>0.47854584</v>
      </c>
      <c r="T5" s="5">
        <v>1.6696453999999999E-2</v>
      </c>
    </row>
    <row r="6" spans="1:20" x14ac:dyDescent="0.25">
      <c r="A6" s="12" t="s">
        <v>59</v>
      </c>
      <c r="B6" s="10" t="s">
        <v>60</v>
      </c>
      <c r="C6" s="5">
        <v>1.4688386</v>
      </c>
      <c r="D6" s="11">
        <v>1.2534162000000001E-7</v>
      </c>
      <c r="E6" s="5">
        <v>1.7720513E-2</v>
      </c>
      <c r="F6" s="5">
        <v>2.4099274000000002E-3</v>
      </c>
      <c r="G6" s="5">
        <v>1.1404611E-3</v>
      </c>
      <c r="H6" s="5">
        <v>2.5632828999999999E-3</v>
      </c>
      <c r="I6" s="5">
        <v>2.7807188E-3</v>
      </c>
      <c r="J6" s="11">
        <v>1.4563314E-4</v>
      </c>
      <c r="K6" s="11">
        <v>1.8796805999999999E-5</v>
      </c>
      <c r="L6" s="5">
        <v>1.9598838000000001</v>
      </c>
      <c r="M6" s="5">
        <v>5.5277245000000003E-2</v>
      </c>
      <c r="N6" s="5">
        <v>6.9555054000000005E-2</v>
      </c>
      <c r="O6" s="5">
        <v>5.8457364999999997E-2</v>
      </c>
      <c r="P6" s="5">
        <v>0.63833125999999996</v>
      </c>
      <c r="Q6" s="5">
        <v>1.1283984E-2</v>
      </c>
      <c r="R6" s="5">
        <v>4.6800790000000002E-3</v>
      </c>
      <c r="S6" s="5">
        <v>0.91481069999999998</v>
      </c>
      <c r="T6" s="5">
        <v>9.9969158000000006E-3</v>
      </c>
    </row>
    <row r="7" spans="1:20" x14ac:dyDescent="0.25">
      <c r="A7" s="13" t="s">
        <v>61</v>
      </c>
      <c r="B7" s="10" t="s">
        <v>62</v>
      </c>
      <c r="C7" s="5">
        <v>1.3048446</v>
      </c>
      <c r="D7" s="11">
        <v>3.3625998E-7</v>
      </c>
      <c r="E7" s="5">
        <v>3.5285059000000001E-2</v>
      </c>
      <c r="F7" s="5">
        <v>3.6864955999999999E-3</v>
      </c>
      <c r="G7" s="5">
        <v>1.5923659E-3</v>
      </c>
      <c r="H7" s="5">
        <v>4.1575570000000001E-3</v>
      </c>
      <c r="I7" s="5">
        <v>3.1216400000000002E-3</v>
      </c>
      <c r="J7" s="11">
        <v>3.7618945000000002E-4</v>
      </c>
      <c r="K7" s="11">
        <v>5.3945941E-5</v>
      </c>
      <c r="L7" s="5">
        <v>6.5890966000000004</v>
      </c>
      <c r="M7" s="5">
        <v>0.18472985</v>
      </c>
      <c r="N7" s="5">
        <v>0.23131445</v>
      </c>
      <c r="O7" s="5">
        <v>0.16530803999999999</v>
      </c>
      <c r="P7" s="5">
        <v>1.9520658</v>
      </c>
      <c r="Q7" s="5">
        <v>3.6518556000000001E-2</v>
      </c>
      <c r="R7" s="5">
        <v>1.6113115000000001E-2</v>
      </c>
      <c r="S7" s="5">
        <v>0.41706789999999999</v>
      </c>
      <c r="T7" s="5">
        <v>1.1363443000000001E-2</v>
      </c>
    </row>
    <row r="8" spans="1:20" x14ac:dyDescent="0.25">
      <c r="C8" s="2"/>
      <c r="E8" s="2"/>
      <c r="F8" s="2"/>
    </row>
    <row r="9" spans="1:20" x14ac:dyDescent="0.25">
      <c r="C9" s="2"/>
    </row>
    <row r="10" spans="1:20" x14ac:dyDescent="0.25">
      <c r="C10" s="2"/>
    </row>
    <row r="11" spans="1:20" x14ac:dyDescent="0.25">
      <c r="C11" s="2"/>
    </row>
    <row r="12" spans="1:20" x14ac:dyDescent="0.25">
      <c r="C12" s="2"/>
    </row>
    <row r="13" spans="1:20" x14ac:dyDescent="0.25">
      <c r="C13" s="2"/>
    </row>
    <row r="14" spans="1:20" x14ac:dyDescent="0.25">
      <c r="C14" s="2"/>
    </row>
    <row r="15" spans="1:20" x14ac:dyDescent="0.25">
      <c r="C15" s="2"/>
    </row>
    <row r="16" spans="1:20" x14ac:dyDescent="0.25">
      <c r="C16" s="2"/>
    </row>
    <row r="17" spans="3:11" x14ac:dyDescent="0.25">
      <c r="C17" s="2"/>
    </row>
    <row r="18" spans="3:11" x14ac:dyDescent="0.25">
      <c r="C18" s="2"/>
    </row>
    <row r="19" spans="3:11" x14ac:dyDescent="0.25">
      <c r="C19" s="2"/>
    </row>
    <row r="22" spans="3:11" x14ac:dyDescent="0.25">
      <c r="C22" s="14"/>
      <c r="D22" s="14"/>
    </row>
    <row r="25" spans="3:11" x14ac:dyDescent="0.25">
      <c r="J25" s="14"/>
      <c r="K25" s="14"/>
    </row>
    <row r="26" spans="3:11" x14ac:dyDescent="0.25">
      <c r="E26" s="14"/>
      <c r="F26" s="14"/>
      <c r="G26" s="14"/>
      <c r="H26" s="14"/>
      <c r="I26" s="14"/>
      <c r="J26" s="14"/>
      <c r="K26" s="14"/>
    </row>
    <row r="27" spans="3:11" x14ac:dyDescent="0.25">
      <c r="F27" s="14"/>
      <c r="G27" s="14"/>
      <c r="H27" s="14"/>
    </row>
    <row r="28" spans="3:11" x14ac:dyDescent="0.25">
      <c r="E28" s="14"/>
      <c r="F28" s="14"/>
      <c r="G28" s="14"/>
      <c r="H28" s="14"/>
    </row>
    <row r="29" spans="3:11" x14ac:dyDescent="0.25">
      <c r="F29" s="14"/>
      <c r="G29" s="14"/>
      <c r="H29" s="14"/>
    </row>
    <row r="30" spans="3:11" x14ac:dyDescent="0.25">
      <c r="G30" s="14"/>
      <c r="H30" s="14"/>
    </row>
    <row r="31" spans="3:11" x14ac:dyDescent="0.25">
      <c r="G31" s="14"/>
      <c r="H31" s="14"/>
    </row>
    <row r="32" spans="3:11" x14ac:dyDescent="0.25">
      <c r="E32" s="14"/>
      <c r="F32" s="14"/>
      <c r="G32" s="14"/>
      <c r="H32" s="14"/>
    </row>
    <row r="33" spans="5:13" x14ac:dyDescent="0.25">
      <c r="E33" s="14"/>
      <c r="F33" s="14"/>
      <c r="G33" s="14"/>
      <c r="H33" s="14"/>
      <c r="I33" s="14"/>
    </row>
    <row r="34" spans="5:13" x14ac:dyDescent="0.25">
      <c r="F34" s="14"/>
      <c r="G34" s="14"/>
      <c r="H34" s="14"/>
    </row>
    <row r="35" spans="5:13" x14ac:dyDescent="0.25">
      <c r="E35" s="14"/>
      <c r="F35" s="14"/>
      <c r="G35" s="14"/>
      <c r="H35" s="14"/>
      <c r="J35" s="14"/>
    </row>
    <row r="36" spans="5:13" x14ac:dyDescent="0.25">
      <c r="F36" s="14"/>
      <c r="G36" s="14"/>
      <c r="H36" s="14"/>
      <c r="I36" s="14"/>
      <c r="J36" s="14"/>
      <c r="K36" s="14"/>
      <c r="L36" s="14"/>
    </row>
    <row r="37" spans="5:13" x14ac:dyDescent="0.25">
      <c r="G37" s="14"/>
      <c r="H37" s="14"/>
      <c r="I37" s="14"/>
      <c r="J37" s="14"/>
    </row>
    <row r="38" spans="5:13" x14ac:dyDescent="0.25">
      <c r="G38" s="14"/>
      <c r="H38" s="14"/>
      <c r="J38" s="14"/>
    </row>
    <row r="39" spans="5:13" x14ac:dyDescent="0.25">
      <c r="F39" s="14"/>
      <c r="G39" s="14"/>
      <c r="H39" s="14"/>
      <c r="J39" s="14"/>
    </row>
    <row r="40" spans="5:13" x14ac:dyDescent="0.25">
      <c r="F40" s="14"/>
      <c r="G40" s="14"/>
      <c r="H40" s="14"/>
      <c r="I40" s="14"/>
      <c r="J40" s="14"/>
    </row>
    <row r="41" spans="5:13" x14ac:dyDescent="0.25">
      <c r="G41" s="14"/>
      <c r="H41" s="14"/>
      <c r="J41" s="14"/>
    </row>
    <row r="42" spans="5:13" x14ac:dyDescent="0.25">
      <c r="F42" s="14"/>
      <c r="G42" s="14"/>
      <c r="H42" s="14"/>
      <c r="I42" s="14"/>
      <c r="J42" s="14"/>
      <c r="L42" s="14"/>
    </row>
    <row r="43" spans="5:13" x14ac:dyDescent="0.25">
      <c r="F43" s="14"/>
      <c r="G43" s="14"/>
      <c r="H43" s="14"/>
      <c r="I43" s="14"/>
      <c r="J43" s="14"/>
      <c r="K43" s="14"/>
      <c r="L43" s="14"/>
    </row>
    <row r="44" spans="5:13" x14ac:dyDescent="0.25">
      <c r="J44" s="14"/>
    </row>
    <row r="45" spans="5:13" x14ac:dyDescent="0.25">
      <c r="J45" s="14"/>
    </row>
    <row r="46" spans="5:13" x14ac:dyDescent="0.25">
      <c r="K46" s="14"/>
    </row>
    <row r="47" spans="5:13" x14ac:dyDescent="0.25">
      <c r="L47" s="14"/>
    </row>
    <row r="48" spans="5:13" x14ac:dyDescent="0.25">
      <c r="M48" s="14"/>
    </row>
    <row r="49" spans="10:13" x14ac:dyDescent="0.25">
      <c r="L49" s="14"/>
      <c r="M49" s="14"/>
    </row>
    <row r="50" spans="10:13" x14ac:dyDescent="0.25">
      <c r="J50" s="14"/>
      <c r="L50" s="14"/>
      <c r="M50" s="14"/>
    </row>
    <row r="51" spans="10:13" x14ac:dyDescent="0.25">
      <c r="M51" s="14"/>
    </row>
    <row r="52" spans="10:13" x14ac:dyDescent="0.25">
      <c r="M52" s="14"/>
    </row>
  </sheetData>
  <conditionalFormatting sqref="C3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:E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7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7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7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K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:L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:Q7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7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7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104"/>
  <sheetViews>
    <sheetView topLeftCell="A34" zoomScaleNormal="100" workbookViewId="0">
      <selection activeCell="A72" sqref="A72"/>
    </sheetView>
  </sheetViews>
  <sheetFormatPr defaultRowHeight="15" x14ac:dyDescent="0.25"/>
  <cols>
    <col min="1" max="1" width="154.5703125" style="15" bestFit="1" customWidth="1"/>
    <col min="2" max="2" width="15" style="15" bestFit="1" customWidth="1"/>
    <col min="3" max="4" width="12" style="15" bestFit="1" customWidth="1"/>
    <col min="5" max="5" width="14.5703125" style="15" bestFit="1" customWidth="1"/>
    <col min="6" max="6" width="12" style="15" bestFit="1" customWidth="1"/>
    <col min="7" max="7" width="12.7109375" style="15" bestFit="1" customWidth="1"/>
    <col min="8" max="8" width="9.140625" style="15"/>
    <col min="9" max="9" width="9.42578125" style="15" bestFit="1" customWidth="1"/>
    <col min="10" max="10" width="10.5703125" style="15" bestFit="1" customWidth="1"/>
    <col min="11" max="16384" width="9.140625" style="15"/>
  </cols>
  <sheetData>
    <row r="2" spans="1:16" x14ac:dyDescent="0.25">
      <c r="A2" s="51" t="s">
        <v>63</v>
      </c>
      <c r="B2" s="52"/>
      <c r="C2" s="52"/>
      <c r="D2" s="52"/>
      <c r="E2" s="52"/>
      <c r="F2" s="52"/>
      <c r="G2" s="52"/>
      <c r="H2" s="52"/>
      <c r="I2" s="52"/>
      <c r="J2" s="53"/>
    </row>
    <row r="3" spans="1:16" x14ac:dyDescent="0.25">
      <c r="A3" s="48" t="s">
        <v>64</v>
      </c>
      <c r="B3" s="49"/>
      <c r="C3" s="49"/>
      <c r="D3" s="49"/>
      <c r="E3" s="49"/>
      <c r="F3" s="49"/>
      <c r="G3" s="49"/>
      <c r="H3" s="49"/>
      <c r="I3" s="49"/>
      <c r="J3" s="50"/>
    </row>
    <row r="4" spans="1:16" x14ac:dyDescent="0.25">
      <c r="A4" s="16" t="s">
        <v>65</v>
      </c>
      <c r="B4" s="16" t="s">
        <v>66</v>
      </c>
      <c r="C4" s="16" t="s">
        <v>67</v>
      </c>
      <c r="D4" s="16" t="s">
        <v>12</v>
      </c>
      <c r="E4" s="16" t="s">
        <v>8</v>
      </c>
      <c r="F4" s="16" t="s">
        <v>68</v>
      </c>
      <c r="G4" s="16" t="s">
        <v>11</v>
      </c>
      <c r="H4" s="16" t="s">
        <v>14</v>
      </c>
      <c r="I4" s="25" t="s">
        <v>109</v>
      </c>
      <c r="J4" s="25" t="s">
        <v>15</v>
      </c>
    </row>
    <row r="5" spans="1:16" x14ac:dyDescent="0.25">
      <c r="A5" s="16" t="s">
        <v>53</v>
      </c>
      <c r="B5" s="16" t="s">
        <v>54</v>
      </c>
      <c r="C5" s="16">
        <v>4.6039285999999997</v>
      </c>
      <c r="D5" s="16">
        <v>4.6039285999999997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</row>
    <row r="6" spans="1:16" x14ac:dyDescent="0.25">
      <c r="A6" s="16" t="s">
        <v>108</v>
      </c>
      <c r="B6" s="16" t="s">
        <v>56</v>
      </c>
      <c r="C6" s="16">
        <v>0.97031429999999996</v>
      </c>
      <c r="D6" s="16">
        <v>0</v>
      </c>
      <c r="E6" s="16">
        <v>-0.58702085000000004</v>
      </c>
      <c r="F6" s="16">
        <v>0.10628012000000001</v>
      </c>
      <c r="G6" s="16">
        <v>0.81993742000000003</v>
      </c>
      <c r="H6" s="16">
        <v>8.6953463999999994E-2</v>
      </c>
      <c r="I6" s="16">
        <v>0.19516414000000001</v>
      </c>
      <c r="J6" s="16">
        <v>0.34899999999999998</v>
      </c>
    </row>
    <row r="7" spans="1:16" x14ac:dyDescent="0.25">
      <c r="A7" s="16" t="s">
        <v>110</v>
      </c>
      <c r="B7" s="16" t="s">
        <v>58</v>
      </c>
      <c r="C7" s="16">
        <v>-0.27930755000000002</v>
      </c>
      <c r="D7" s="16">
        <v>0</v>
      </c>
      <c r="E7" s="16">
        <v>-0.58702085000000004</v>
      </c>
      <c r="F7" s="16">
        <v>0.10628012000000001</v>
      </c>
      <c r="G7" s="16">
        <v>-0.42968442000000001</v>
      </c>
      <c r="H7" s="16">
        <v>8.6953463999999994E-2</v>
      </c>
      <c r="I7" s="16">
        <v>0.19516414000000001</v>
      </c>
      <c r="J7" s="16">
        <v>0.34899999999999998</v>
      </c>
    </row>
    <row r="8" spans="1:16" x14ac:dyDescent="0.25">
      <c r="A8" s="16" t="s">
        <v>111</v>
      </c>
      <c r="B8" s="16" t="s">
        <v>60</v>
      </c>
      <c r="C8" s="16">
        <v>1.6640026999999999</v>
      </c>
      <c r="D8" s="16">
        <v>0</v>
      </c>
      <c r="E8" s="16">
        <v>0.10666758</v>
      </c>
      <c r="F8" s="16">
        <v>0.10628012000000001</v>
      </c>
      <c r="G8" s="16">
        <v>0.81993742000000003</v>
      </c>
      <c r="H8" s="16">
        <v>8.6953463999999994E-2</v>
      </c>
      <c r="I8" s="16">
        <v>0.19516414000000001</v>
      </c>
      <c r="J8" s="16">
        <v>0.34899999999999998</v>
      </c>
    </row>
    <row r="9" spans="1:16" x14ac:dyDescent="0.25">
      <c r="A9" s="16" t="s">
        <v>112</v>
      </c>
      <c r="B9" s="16" t="s">
        <v>62</v>
      </c>
      <c r="C9" s="16">
        <v>2.0198128</v>
      </c>
      <c r="D9" s="16">
        <v>0</v>
      </c>
      <c r="E9" s="16">
        <v>0.10666758</v>
      </c>
      <c r="F9" s="16">
        <v>0.10628012000000001</v>
      </c>
      <c r="G9" s="16">
        <v>1.1757474999999999</v>
      </c>
      <c r="H9" s="16">
        <v>8.6953463999999994E-2</v>
      </c>
      <c r="I9" s="16">
        <v>0.19516414000000001</v>
      </c>
      <c r="J9" s="16">
        <v>0.34899999999999998</v>
      </c>
    </row>
    <row r="10" spans="1:16" x14ac:dyDescent="0.25">
      <c r="A10" s="16"/>
      <c r="B10" s="16"/>
      <c r="C10" s="16"/>
      <c r="D10" s="16"/>
      <c r="E10" s="16"/>
      <c r="F10" s="16"/>
      <c r="G10" s="16"/>
      <c r="H10" s="19"/>
      <c r="I10" s="19"/>
      <c r="J10" s="19"/>
    </row>
    <row r="11" spans="1:16" x14ac:dyDescent="0.25">
      <c r="A11" s="48" t="s">
        <v>69</v>
      </c>
      <c r="B11" s="49"/>
      <c r="C11" s="49"/>
      <c r="D11" s="49"/>
      <c r="E11" s="49"/>
      <c r="F11" s="49"/>
      <c r="G11" s="49"/>
      <c r="H11" s="49"/>
      <c r="I11" s="49"/>
      <c r="J11" s="50"/>
    </row>
    <row r="12" spans="1:16" x14ac:dyDescent="0.25">
      <c r="A12" s="16" t="s">
        <v>65</v>
      </c>
      <c r="B12" s="16" t="s">
        <v>66</v>
      </c>
      <c r="C12" s="16" t="s">
        <v>67</v>
      </c>
      <c r="D12" s="16" t="s">
        <v>12</v>
      </c>
      <c r="E12" s="16" t="s">
        <v>8</v>
      </c>
      <c r="F12" s="16" t="s">
        <v>68</v>
      </c>
      <c r="G12" s="16" t="s">
        <v>11</v>
      </c>
      <c r="H12" s="16" t="s">
        <v>14</v>
      </c>
      <c r="I12" s="25" t="s">
        <v>109</v>
      </c>
      <c r="J12" s="25" t="s">
        <v>15</v>
      </c>
    </row>
    <row r="13" spans="1:16" x14ac:dyDescent="0.25">
      <c r="A13" s="16" t="s">
        <v>53</v>
      </c>
      <c r="B13" s="16" t="s">
        <v>54</v>
      </c>
      <c r="C13" s="24">
        <v>1.1256100000000001E-5</v>
      </c>
      <c r="D13" s="24">
        <v>1.1256100000000001E-5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</row>
    <row r="14" spans="1:16" x14ac:dyDescent="0.25">
      <c r="A14" s="16" t="str">
        <f>$A$6</f>
        <v>Propanol; carbon dioxide from DAC; hydrogen from wind-powered water electrolysis; BAU ethylene; intermediate conversions with utilities; Abhi</v>
      </c>
      <c r="B14" s="16" t="s">
        <v>56</v>
      </c>
      <c r="C14" s="16">
        <v>2.2241711E-6</v>
      </c>
      <c r="D14" s="16">
        <v>0</v>
      </c>
      <c r="E14" s="16">
        <v>-4.6823404E-7</v>
      </c>
      <c r="F14" s="16">
        <v>5.4268468000000002E-7</v>
      </c>
      <c r="G14" s="16">
        <v>1.1575219999999999E-6</v>
      </c>
      <c r="H14" s="16">
        <v>2.3335443999999999E-7</v>
      </c>
      <c r="I14" s="16">
        <v>4.3497205999999999E-7</v>
      </c>
      <c r="J14" s="16">
        <v>3.23872E-7</v>
      </c>
    </row>
    <row r="15" spans="1:16" x14ac:dyDescent="0.25">
      <c r="A15" s="16" t="str">
        <f>$A$7</f>
        <v>Propanol; carbon dioxide from DAC; hydrogen from wind-powered water electrolysis; ethylene from gMeOH; intermediate conversions with utilities; Abhi</v>
      </c>
      <c r="B15" s="16" t="s">
        <v>58</v>
      </c>
      <c r="C15" s="16">
        <v>2.869455E-6</v>
      </c>
      <c r="D15" s="16">
        <v>0</v>
      </c>
      <c r="E15" s="16">
        <v>-4.6823404E-7</v>
      </c>
      <c r="F15" s="16">
        <v>5.4268468000000002E-7</v>
      </c>
      <c r="G15" s="16">
        <v>1.8028058E-6</v>
      </c>
      <c r="H15" s="16">
        <v>2.3335443999999999E-7</v>
      </c>
      <c r="I15" s="16">
        <v>4.3497205999999999E-7</v>
      </c>
      <c r="J15" s="16">
        <v>3.23872E-7</v>
      </c>
    </row>
    <row r="16" spans="1:16" x14ac:dyDescent="0.25">
      <c r="A16" s="16" t="str">
        <f>$A$8</f>
        <v>Propanol; carbon dioxide from NG power-plant; hydrogen from wind-powered water electrolysis; BAU ethylene; intermediate conversions with utilities; Abhi</v>
      </c>
      <c r="B16" s="16" t="s">
        <v>60</v>
      </c>
      <c r="C16" s="16">
        <v>2.8777371999999998E-6</v>
      </c>
      <c r="D16" s="16">
        <v>0</v>
      </c>
      <c r="E16" s="16">
        <v>1.8533205999999999E-7</v>
      </c>
      <c r="F16" s="16">
        <v>5.4268468000000002E-7</v>
      </c>
      <c r="G16" s="16">
        <v>1.1575219999999999E-6</v>
      </c>
      <c r="H16" s="16">
        <v>2.3335443999999999E-7</v>
      </c>
      <c r="I16" s="16">
        <v>4.3497205999999999E-7</v>
      </c>
      <c r="J16" s="16">
        <v>3.23872E-7</v>
      </c>
      <c r="L16" s="18"/>
      <c r="M16" s="18"/>
      <c r="N16" s="18"/>
      <c r="O16" s="18"/>
      <c r="P16" s="18"/>
    </row>
    <row r="17" spans="1:21" x14ac:dyDescent="0.25">
      <c r="A17" s="16" t="str">
        <f>$A$9</f>
        <v>Propanol; carbon dioxide from NG power-plant; hydrogen from wind-powered water electrolysis; ethylene from gMeOH; intermediate conversions with utilities; Abhi</v>
      </c>
      <c r="B17" s="16" t="s">
        <v>62</v>
      </c>
      <c r="C17" s="16">
        <v>5.0355962000000003E-6</v>
      </c>
      <c r="D17" s="16">
        <v>0</v>
      </c>
      <c r="E17" s="16">
        <v>1.8533205999999999E-7</v>
      </c>
      <c r="F17" s="16">
        <v>5.4268468000000002E-7</v>
      </c>
      <c r="G17" s="16">
        <v>3.3153810000000002E-6</v>
      </c>
      <c r="H17" s="16">
        <v>2.3335443999999999E-7</v>
      </c>
      <c r="I17" s="16">
        <v>4.3497205999999999E-7</v>
      </c>
      <c r="J17" s="16">
        <v>3.23872E-7</v>
      </c>
      <c r="L17" s="18"/>
      <c r="M17" s="18"/>
      <c r="N17" s="18"/>
      <c r="O17" s="18"/>
      <c r="P17" s="18"/>
      <c r="Q17" s="18"/>
      <c r="R17" s="18"/>
    </row>
    <row r="18" spans="1:21" x14ac:dyDescent="0.25">
      <c r="A18" s="16"/>
      <c r="B18" s="16"/>
      <c r="C18" s="16"/>
      <c r="D18" s="16"/>
      <c r="E18" s="16"/>
      <c r="F18" s="16"/>
      <c r="G18" s="16"/>
      <c r="H18" s="19"/>
      <c r="I18" s="19"/>
      <c r="J18" s="19"/>
      <c r="M18" s="18"/>
      <c r="N18" s="18"/>
      <c r="O18" s="18"/>
      <c r="P18" s="18"/>
      <c r="Q18" s="18"/>
      <c r="R18" s="18"/>
    </row>
    <row r="19" spans="1:21" x14ac:dyDescent="0.25">
      <c r="A19" s="48" t="s">
        <v>70</v>
      </c>
      <c r="B19" s="49"/>
      <c r="C19" s="49"/>
      <c r="D19" s="49"/>
      <c r="E19" s="49"/>
      <c r="F19" s="49"/>
      <c r="G19" s="49"/>
      <c r="H19" s="49"/>
      <c r="I19" s="49"/>
      <c r="J19" s="50"/>
      <c r="M19" s="18"/>
      <c r="N19" s="18"/>
      <c r="P19" s="18"/>
      <c r="Q19" s="18"/>
      <c r="R19" s="18"/>
      <c r="S19" s="18"/>
      <c r="T19" s="18"/>
    </row>
    <row r="20" spans="1:21" x14ac:dyDescent="0.25">
      <c r="A20" s="16" t="s">
        <v>65</v>
      </c>
      <c r="B20" s="16" t="s">
        <v>66</v>
      </c>
      <c r="C20" s="16" t="s">
        <v>67</v>
      </c>
      <c r="D20" s="16" t="s">
        <v>12</v>
      </c>
      <c r="E20" s="16" t="s">
        <v>8</v>
      </c>
      <c r="F20" s="16" t="s">
        <v>68</v>
      </c>
      <c r="G20" s="16" t="s">
        <v>11</v>
      </c>
      <c r="H20" s="16" t="s">
        <v>14</v>
      </c>
      <c r="I20" s="25" t="s">
        <v>109</v>
      </c>
      <c r="J20" s="25" t="s">
        <v>15</v>
      </c>
      <c r="N20" s="18"/>
      <c r="O20" s="18"/>
      <c r="P20" s="18"/>
      <c r="Q20" s="18"/>
      <c r="R20" s="18"/>
      <c r="S20" s="18"/>
      <c r="T20" s="18"/>
    </row>
    <row r="21" spans="1:21" x14ac:dyDescent="0.25">
      <c r="A21" s="16" t="s">
        <v>53</v>
      </c>
      <c r="B21" s="16" t="s">
        <v>54</v>
      </c>
      <c r="C21" s="24">
        <v>2.2664500000000001E-8</v>
      </c>
      <c r="D21" s="24">
        <v>2.2664500000000001E-8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N21" s="18"/>
      <c r="O21" s="18"/>
      <c r="P21" s="18"/>
      <c r="Q21" s="18"/>
      <c r="R21" s="18"/>
      <c r="S21" s="18"/>
      <c r="T21" s="18"/>
    </row>
    <row r="22" spans="1:21" x14ac:dyDescent="0.25">
      <c r="A22" s="16" t="str">
        <f>$A$6</f>
        <v>Propanol; carbon dioxide from DAC; hydrogen from wind-powered water electrolysis; BAU ethylene; intermediate conversions with utilities; Abhi</v>
      </c>
      <c r="B22" s="16" t="s">
        <v>56</v>
      </c>
      <c r="C22" s="16">
        <v>4.5053409E-9</v>
      </c>
      <c r="D22" s="16">
        <v>0</v>
      </c>
      <c r="E22" s="16">
        <v>-1.5394803E-9</v>
      </c>
      <c r="F22" s="16">
        <v>6.7645867999999997E-10</v>
      </c>
      <c r="G22" s="16">
        <v>2.9437109999999999E-9</v>
      </c>
      <c r="H22" s="16">
        <v>3.8019168999999999E-10</v>
      </c>
      <c r="I22" s="16">
        <v>1.0672331E-9</v>
      </c>
      <c r="J22" s="16">
        <v>9.7722669999999993E-10</v>
      </c>
      <c r="M22" s="18"/>
      <c r="N22" s="18"/>
      <c r="O22" s="18"/>
      <c r="P22" s="18"/>
      <c r="Q22" s="18"/>
      <c r="R22" s="18"/>
      <c r="S22" s="18"/>
      <c r="T22" s="18"/>
      <c r="U22" s="18"/>
    </row>
    <row r="23" spans="1:21" x14ac:dyDescent="0.25">
      <c r="A23" s="16" t="str">
        <f>$A$7</f>
        <v>Propanol; carbon dioxide from DAC; hydrogen from wind-powered water electrolysis; ethylene from gMeOH; intermediate conversions with utilities; Abhi</v>
      </c>
      <c r="B23" s="16" t="s">
        <v>58</v>
      </c>
      <c r="C23" s="16">
        <v>2.5190637000000001E-9</v>
      </c>
      <c r="D23" s="16">
        <v>0</v>
      </c>
      <c r="E23" s="16">
        <v>-1.5394803E-9</v>
      </c>
      <c r="F23" s="16">
        <v>6.7645867999999997E-10</v>
      </c>
      <c r="G23" s="16">
        <v>9.5743379E-10</v>
      </c>
      <c r="H23" s="16">
        <v>3.8019168999999999E-10</v>
      </c>
      <c r="I23" s="16">
        <v>1.0672331E-9</v>
      </c>
      <c r="J23" s="16">
        <v>9.7722669999999993E-10</v>
      </c>
      <c r="M23" s="18"/>
      <c r="N23" s="18"/>
      <c r="O23" s="18"/>
      <c r="P23" s="18"/>
      <c r="S23" s="18"/>
    </row>
    <row r="24" spans="1:21" x14ac:dyDescent="0.25">
      <c r="A24" s="16" t="str">
        <f>$A$8</f>
        <v>Propanol; carbon dioxide from NG power-plant; hydrogen from wind-powered water electrolysis; BAU ethylene; intermediate conversions with utilities; Abhi</v>
      </c>
      <c r="B24" s="16" t="s">
        <v>60</v>
      </c>
      <c r="C24" s="16">
        <v>6.4958510000000004E-9</v>
      </c>
      <c r="D24" s="16">
        <v>0</v>
      </c>
      <c r="E24" s="16">
        <v>4.5102978999999999E-10</v>
      </c>
      <c r="F24" s="16">
        <v>6.7645867999999997E-10</v>
      </c>
      <c r="G24" s="16">
        <v>2.9437109999999999E-9</v>
      </c>
      <c r="H24" s="16">
        <v>3.8019168999999999E-10</v>
      </c>
      <c r="I24" s="16">
        <v>1.0672331E-9</v>
      </c>
      <c r="J24" s="16">
        <v>9.7722669999999993E-10</v>
      </c>
    </row>
    <row r="25" spans="1:21" x14ac:dyDescent="0.25">
      <c r="A25" s="16" t="str">
        <f>$A$9</f>
        <v>Propanol; carbon dioxide from NG power-plant; hydrogen from wind-powered water electrolysis; ethylene from gMeOH; intermediate conversions with utilities; Abhi</v>
      </c>
      <c r="B25" s="16" t="s">
        <v>62</v>
      </c>
      <c r="C25" s="16">
        <v>9.1162938999999998E-9</v>
      </c>
      <c r="D25" s="16">
        <v>0</v>
      </c>
      <c r="E25" s="16">
        <v>4.5102978999999999E-10</v>
      </c>
      <c r="F25" s="16">
        <v>6.7645867999999997E-10</v>
      </c>
      <c r="G25" s="16">
        <v>5.5641538999999997E-9</v>
      </c>
      <c r="H25" s="16">
        <v>3.8019168999999999E-10</v>
      </c>
      <c r="I25" s="16">
        <v>1.0672331E-9</v>
      </c>
      <c r="J25" s="16">
        <v>9.7722669999999993E-10</v>
      </c>
      <c r="P25" s="18"/>
      <c r="Q25" s="18"/>
      <c r="S25" s="18"/>
      <c r="T25" s="18"/>
    </row>
    <row r="26" spans="1:21" x14ac:dyDescent="0.25">
      <c r="A26" s="16"/>
      <c r="B26" s="16"/>
      <c r="C26" s="24"/>
      <c r="D26" s="16"/>
      <c r="E26" s="24"/>
      <c r="F26" s="24"/>
      <c r="G26" s="24"/>
      <c r="H26" s="19"/>
      <c r="I26" s="19"/>
      <c r="J26" s="19"/>
      <c r="N26" s="18"/>
      <c r="P26" s="18"/>
      <c r="Q26" s="18"/>
      <c r="R26" s="18"/>
      <c r="S26" s="18"/>
      <c r="T26" s="18"/>
    </row>
    <row r="27" spans="1:21" x14ac:dyDescent="0.25">
      <c r="A27" s="48" t="s">
        <v>71</v>
      </c>
      <c r="B27" s="49"/>
      <c r="C27" s="49"/>
      <c r="D27" s="49"/>
      <c r="E27" s="49"/>
      <c r="F27" s="49"/>
      <c r="G27" s="49"/>
      <c r="H27" s="49"/>
      <c r="I27" s="49"/>
      <c r="J27" s="50"/>
    </row>
    <row r="28" spans="1:21" x14ac:dyDescent="0.25">
      <c r="A28" s="16" t="s">
        <v>65</v>
      </c>
      <c r="B28" s="16" t="s">
        <v>66</v>
      </c>
      <c r="C28" s="16" t="s">
        <v>67</v>
      </c>
      <c r="D28" s="16" t="s">
        <v>12</v>
      </c>
      <c r="E28" s="16" t="s">
        <v>8</v>
      </c>
      <c r="F28" s="16" t="s">
        <v>68</v>
      </c>
      <c r="G28" s="16" t="s">
        <v>11</v>
      </c>
      <c r="H28" s="16" t="s">
        <v>14</v>
      </c>
      <c r="I28" s="25" t="s">
        <v>109</v>
      </c>
      <c r="J28" s="25" t="s">
        <v>15</v>
      </c>
      <c r="Q28" s="18"/>
      <c r="R28" s="18"/>
      <c r="S28" s="18"/>
      <c r="T28" s="18"/>
      <c r="U28" s="18"/>
    </row>
    <row r="29" spans="1:21" x14ac:dyDescent="0.25">
      <c r="A29" s="16" t="s">
        <v>53</v>
      </c>
      <c r="B29" s="16" t="s">
        <v>54</v>
      </c>
      <c r="C29" s="16">
        <v>0.68911549000000005</v>
      </c>
      <c r="D29" s="16">
        <v>0.68911549000000005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O29" s="18"/>
      <c r="Q29" s="18"/>
      <c r="R29" s="18"/>
      <c r="S29" s="18"/>
      <c r="T29" s="18"/>
      <c r="U29" s="18"/>
    </row>
    <row r="30" spans="1:21" x14ac:dyDescent="0.25">
      <c r="A30" s="16" t="str">
        <f>$A$6</f>
        <v>Propanol; carbon dioxide from DAC; hydrogen from wind-powered water electrolysis; BAU ethylene; intermediate conversions with utilities; Abhi</v>
      </c>
      <c r="B30" s="16" t="s">
        <v>56</v>
      </c>
      <c r="C30" s="16">
        <v>0.39164779999999999</v>
      </c>
      <c r="D30" s="16">
        <v>0</v>
      </c>
      <c r="E30" s="16">
        <v>3.9548457000000002E-2</v>
      </c>
      <c r="F30" s="16">
        <v>8.0714424E-3</v>
      </c>
      <c r="G30" s="16">
        <v>0.32368224000000001</v>
      </c>
      <c r="H30" s="16">
        <v>3.9008767E-3</v>
      </c>
      <c r="I30" s="16">
        <v>1.6444786999999999E-2</v>
      </c>
      <c r="J30" s="16">
        <v>0</v>
      </c>
      <c r="M30" s="18"/>
      <c r="O30" s="18"/>
      <c r="P30" s="18"/>
    </row>
    <row r="31" spans="1:21" x14ac:dyDescent="0.25">
      <c r="A31" s="16" t="str">
        <f>$A$7</f>
        <v>Propanol; carbon dioxide from DAC; hydrogen from wind-powered water electrolysis; ethylene from gMeOH; intermediate conversions with utilities; Abhi</v>
      </c>
      <c r="B31" s="16" t="s">
        <v>58</v>
      </c>
      <c r="C31" s="16">
        <v>0.19849847000000001</v>
      </c>
      <c r="D31" s="16">
        <v>0</v>
      </c>
      <c r="E31" s="16">
        <v>3.9548457000000002E-2</v>
      </c>
      <c r="F31" s="16">
        <v>8.0714424E-3</v>
      </c>
      <c r="G31" s="16">
        <v>0.13053291</v>
      </c>
      <c r="H31" s="16">
        <v>3.9008767E-3</v>
      </c>
      <c r="I31" s="16">
        <v>1.6444786999999999E-2</v>
      </c>
      <c r="J31" s="16">
        <v>0</v>
      </c>
    </row>
    <row r="32" spans="1:21" x14ac:dyDescent="0.25">
      <c r="A32" s="16" t="str">
        <f>$A$8</f>
        <v>Propanol; carbon dioxide from NG power-plant; hydrogen from wind-powered water electrolysis; BAU ethylene; intermediate conversions with utilities; Abhi</v>
      </c>
      <c r="B32" s="16" t="s">
        <v>60</v>
      </c>
      <c r="C32" s="16">
        <v>0.38486787</v>
      </c>
      <c r="D32" s="16">
        <v>0</v>
      </c>
      <c r="E32" s="16">
        <v>3.2768528999999998E-2</v>
      </c>
      <c r="F32" s="16">
        <v>8.0714424E-3</v>
      </c>
      <c r="G32" s="16">
        <v>0.32368224000000001</v>
      </c>
      <c r="H32" s="16">
        <v>3.9008767E-3</v>
      </c>
      <c r="I32" s="16">
        <v>1.6444786999999999E-2</v>
      </c>
      <c r="J32" s="16">
        <v>0</v>
      </c>
    </row>
    <row r="33" spans="1:20" x14ac:dyDescent="0.25">
      <c r="A33" s="16" t="str">
        <f>$A$9</f>
        <v>Propanol; carbon dioxide from NG power-plant; hydrogen from wind-powered water electrolysis; ethylene from gMeOH; intermediate conversions with utilities; Abhi</v>
      </c>
      <c r="B33" s="16" t="s">
        <v>62</v>
      </c>
      <c r="C33" s="16">
        <v>0.17602746999999999</v>
      </c>
      <c r="D33" s="16">
        <v>0</v>
      </c>
      <c r="E33" s="16">
        <v>3.2768528999999998E-2</v>
      </c>
      <c r="F33" s="16">
        <v>8.0714424E-3</v>
      </c>
      <c r="G33" s="16">
        <v>0.11484184</v>
      </c>
      <c r="H33" s="16">
        <v>3.9008767E-3</v>
      </c>
      <c r="I33" s="16">
        <v>1.6444786999999999E-2</v>
      </c>
      <c r="J33" s="16">
        <v>0</v>
      </c>
      <c r="P33" s="18"/>
      <c r="S33" s="18"/>
    </row>
    <row r="34" spans="1:20" x14ac:dyDescent="0.25">
      <c r="A34" s="17"/>
      <c r="B34" s="17"/>
      <c r="C34" s="17"/>
      <c r="D34" s="17"/>
      <c r="E34" s="17"/>
      <c r="F34" s="17"/>
      <c r="G34" s="17"/>
    </row>
    <row r="35" spans="1:20" x14ac:dyDescent="0.25">
      <c r="D35" s="18"/>
      <c r="F35" s="18"/>
      <c r="G35" s="18"/>
      <c r="S35" s="18"/>
    </row>
    <row r="36" spans="1:20" x14ac:dyDescent="0.25">
      <c r="D36" s="18"/>
      <c r="F36" s="18"/>
      <c r="G36" s="18"/>
      <c r="Q36" s="18"/>
      <c r="S36" s="18"/>
      <c r="T36" s="18"/>
    </row>
    <row r="37" spans="1:20" x14ac:dyDescent="0.25">
      <c r="A37" s="54" t="s">
        <v>76</v>
      </c>
      <c r="B37" s="55"/>
      <c r="C37" s="55"/>
      <c r="D37" s="55"/>
      <c r="E37" s="55"/>
      <c r="F37" s="55"/>
      <c r="G37" s="55"/>
      <c r="H37" s="55"/>
      <c r="I37" s="55"/>
      <c r="J37" s="56"/>
    </row>
    <row r="38" spans="1:20" x14ac:dyDescent="0.25">
      <c r="A38" s="48" t="s">
        <v>64</v>
      </c>
      <c r="B38" s="49"/>
      <c r="C38" s="49"/>
      <c r="D38" s="49"/>
      <c r="E38" s="49"/>
      <c r="F38" s="49"/>
      <c r="G38" s="49"/>
      <c r="H38" s="49"/>
      <c r="I38" s="49"/>
      <c r="J38" s="50"/>
    </row>
    <row r="39" spans="1:20" x14ac:dyDescent="0.25">
      <c r="A39" s="16" t="s">
        <v>65</v>
      </c>
      <c r="B39" s="16" t="s">
        <v>66</v>
      </c>
      <c r="C39" s="16" t="s">
        <v>67</v>
      </c>
      <c r="D39" s="16" t="s">
        <v>12</v>
      </c>
      <c r="E39" s="16" t="s">
        <v>8</v>
      </c>
      <c r="F39" s="16" t="s">
        <v>68</v>
      </c>
      <c r="G39" s="16" t="s">
        <v>11</v>
      </c>
      <c r="H39" s="16" t="s">
        <v>14</v>
      </c>
      <c r="I39" s="25" t="s">
        <v>109</v>
      </c>
      <c r="J39" s="25" t="s">
        <v>15</v>
      </c>
    </row>
    <row r="40" spans="1:20" x14ac:dyDescent="0.25">
      <c r="A40" s="16" t="s">
        <v>53</v>
      </c>
      <c r="B40" s="16" t="s">
        <v>54</v>
      </c>
      <c r="C40" s="16">
        <v>4.6039285999999997</v>
      </c>
      <c r="D40" s="16">
        <v>4.6039285999999997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</row>
    <row r="41" spans="1:20" x14ac:dyDescent="0.25">
      <c r="A41" s="16" t="s">
        <v>113</v>
      </c>
      <c r="B41" s="16" t="s">
        <v>72</v>
      </c>
      <c r="C41" s="16">
        <v>6.0384535000000001</v>
      </c>
      <c r="D41" s="16">
        <v>0</v>
      </c>
      <c r="E41" s="16">
        <v>-0.41468633999999999</v>
      </c>
      <c r="F41" s="16">
        <v>5.0020848000000004</v>
      </c>
      <c r="G41" s="16">
        <v>0.81993742000000003</v>
      </c>
      <c r="H41" s="16">
        <v>8.6953463999999994E-2</v>
      </c>
      <c r="I41" s="16">
        <v>0.19516414000000001</v>
      </c>
      <c r="J41" s="16">
        <v>0.34899999999999998</v>
      </c>
    </row>
    <row r="42" spans="1:20" x14ac:dyDescent="0.25">
      <c r="A42" s="16" t="s">
        <v>114</v>
      </c>
      <c r="B42" s="16" t="s">
        <v>73</v>
      </c>
      <c r="C42" s="16">
        <v>16.932148000000002</v>
      </c>
      <c r="D42" s="16">
        <v>0</v>
      </c>
      <c r="E42" s="16">
        <v>-0.41468633999999999</v>
      </c>
      <c r="F42" s="16">
        <v>5.0020848000000004</v>
      </c>
      <c r="G42" s="16">
        <v>11.713632</v>
      </c>
      <c r="H42" s="16">
        <v>8.6953463999999994E-2</v>
      </c>
      <c r="I42" s="16">
        <v>0.19516414000000001</v>
      </c>
      <c r="J42" s="16">
        <v>0.34899999999999998</v>
      </c>
    </row>
    <row r="43" spans="1:20" x14ac:dyDescent="0.25">
      <c r="A43" s="16" t="s">
        <v>115</v>
      </c>
      <c r="B43" s="16" t="s">
        <v>74</v>
      </c>
      <c r="C43" s="16">
        <v>6.5598074000000004</v>
      </c>
      <c r="D43" s="16">
        <v>0</v>
      </c>
      <c r="E43" s="16">
        <v>0.10666758</v>
      </c>
      <c r="F43" s="16">
        <v>5.0020848000000004</v>
      </c>
      <c r="G43" s="16">
        <v>0.81993742000000003</v>
      </c>
      <c r="H43" s="16">
        <v>8.6953463999999994E-2</v>
      </c>
      <c r="I43" s="16">
        <v>0.19516414000000001</v>
      </c>
      <c r="J43" s="16">
        <v>0.34899999999999998</v>
      </c>
    </row>
    <row r="44" spans="1:20" x14ac:dyDescent="0.25">
      <c r="A44" s="16" t="s">
        <v>116</v>
      </c>
      <c r="B44" s="16" t="s">
        <v>75</v>
      </c>
      <c r="C44" s="16">
        <v>18.660093</v>
      </c>
      <c r="D44" s="16">
        <v>0</v>
      </c>
      <c r="E44" s="16">
        <v>0.10666758</v>
      </c>
      <c r="F44" s="16">
        <v>5.0020848000000004</v>
      </c>
      <c r="G44" s="16">
        <v>12.920223</v>
      </c>
      <c r="H44" s="16">
        <v>8.6953463999999994E-2</v>
      </c>
      <c r="I44" s="16">
        <v>0.19516414000000001</v>
      </c>
      <c r="J44" s="16">
        <v>0.34899999999999998</v>
      </c>
    </row>
    <row r="45" spans="1:20" x14ac:dyDescent="0.25">
      <c r="A45" s="16"/>
      <c r="B45" s="16"/>
      <c r="C45" s="16"/>
      <c r="D45" s="16"/>
      <c r="E45" s="16"/>
      <c r="F45" s="16"/>
      <c r="G45" s="16"/>
      <c r="H45" s="19"/>
      <c r="I45" s="19"/>
      <c r="J45" s="19"/>
    </row>
    <row r="46" spans="1:20" x14ac:dyDescent="0.25">
      <c r="A46" s="48" t="s">
        <v>69</v>
      </c>
      <c r="B46" s="49"/>
      <c r="C46" s="49"/>
      <c r="D46" s="49"/>
      <c r="E46" s="49"/>
      <c r="F46" s="49"/>
      <c r="G46" s="49"/>
      <c r="H46" s="49"/>
      <c r="I46" s="49"/>
      <c r="J46" s="50"/>
    </row>
    <row r="47" spans="1:20" x14ac:dyDescent="0.25">
      <c r="A47" s="16" t="s">
        <v>65</v>
      </c>
      <c r="B47" s="16" t="s">
        <v>66</v>
      </c>
      <c r="C47" s="16" t="s">
        <v>67</v>
      </c>
      <c r="D47" s="16" t="s">
        <v>12</v>
      </c>
      <c r="E47" s="16" t="s">
        <v>8</v>
      </c>
      <c r="F47" s="16" t="s">
        <v>68</v>
      </c>
      <c r="G47" s="16" t="s">
        <v>11</v>
      </c>
      <c r="H47" s="16" t="s">
        <v>14</v>
      </c>
      <c r="I47" s="25" t="s">
        <v>109</v>
      </c>
      <c r="J47" s="25" t="s">
        <v>15</v>
      </c>
    </row>
    <row r="48" spans="1:20" x14ac:dyDescent="0.25">
      <c r="A48" s="16" t="s">
        <v>53</v>
      </c>
      <c r="B48" s="16" t="s">
        <v>54</v>
      </c>
      <c r="C48" s="24">
        <v>1.1256100000000001E-5</v>
      </c>
      <c r="D48" s="24">
        <v>1.1256100000000001E-5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</row>
    <row r="49" spans="1:22" x14ac:dyDescent="0.25">
      <c r="A49" s="16" t="str">
        <f>$A$41</f>
        <v>Propanol; carbon dioxide from DAC; hydrogen from grid-powered water electrolysis; BAU ethylene; intermediate conversions with utilities; Abhi</v>
      </c>
      <c r="B49" s="16" t="s">
        <v>72</v>
      </c>
      <c r="C49" s="16">
        <v>1.5561685999999999E-5</v>
      </c>
      <c r="D49" s="16">
        <v>0</v>
      </c>
      <c r="E49" s="16">
        <v>-1.4711761E-8</v>
      </c>
      <c r="F49" s="16">
        <v>1.3426677E-5</v>
      </c>
      <c r="G49" s="16">
        <v>1.1575219999999999E-6</v>
      </c>
      <c r="H49" s="16">
        <v>2.3335443999999999E-7</v>
      </c>
      <c r="I49" s="16">
        <v>4.3497205999999999E-7</v>
      </c>
      <c r="J49" s="16">
        <v>3.23872E-7</v>
      </c>
    </row>
    <row r="50" spans="1:22" x14ac:dyDescent="0.25">
      <c r="A50" s="16" t="str">
        <f>$A$42</f>
        <v>Propanol; carbon dioxide from DAC; hydrogen from grid-powered water electrolysis; ethylene from gMeOH; intermediate conversions with utilities; Abhi</v>
      </c>
      <c r="B50" s="16" t="s">
        <v>73</v>
      </c>
      <c r="C50" s="25">
        <v>4.8163798000000002E-5</v>
      </c>
      <c r="D50" s="16">
        <v>0</v>
      </c>
      <c r="E50" s="16">
        <v>-1.4711761E-8</v>
      </c>
      <c r="F50" s="16">
        <v>1.3426677E-5</v>
      </c>
      <c r="G50" s="16">
        <v>3.3759634000000001E-5</v>
      </c>
      <c r="H50" s="16">
        <v>2.3335443999999999E-7</v>
      </c>
      <c r="I50" s="16">
        <v>4.3497205999999999E-7</v>
      </c>
      <c r="J50" s="16">
        <v>3.23872E-7</v>
      </c>
    </row>
    <row r="51" spans="1:22" x14ac:dyDescent="0.25">
      <c r="A51" s="16" t="str">
        <f>$A$43</f>
        <v>Propanol; carbon dioxide from NG power-plant; hydrogen from grid-powered water electrolysis; BAU ethylene; intermediate conversions with utilities; Abhi</v>
      </c>
      <c r="B51" s="16" t="s">
        <v>74</v>
      </c>
      <c r="C51" s="16">
        <v>1.5761730000000001E-5</v>
      </c>
      <c r="D51" s="16">
        <v>0</v>
      </c>
      <c r="E51" s="16">
        <v>1.8533205999999999E-7</v>
      </c>
      <c r="F51" s="16">
        <v>1.3426677E-5</v>
      </c>
      <c r="G51" s="16">
        <v>1.1575219999999999E-6</v>
      </c>
      <c r="H51" s="16">
        <v>2.3335443999999999E-7</v>
      </c>
      <c r="I51" s="16">
        <v>4.3497205999999999E-7</v>
      </c>
      <c r="J51" s="16">
        <v>3.23872E-7</v>
      </c>
    </row>
    <row r="52" spans="1:22" x14ac:dyDescent="0.25">
      <c r="A52" s="16" t="str">
        <f>$A$44</f>
        <v>Propanol; carbon dioxide from NG power-plant; hydrogen from grid-powered water electrolysis; ethylene from gMeOH; intermediate conversions with utilities; Abhi</v>
      </c>
      <c r="B52" s="16" t="s">
        <v>75</v>
      </c>
      <c r="C52" s="16">
        <v>4.8826811999999998E-5</v>
      </c>
      <c r="D52" s="16">
        <v>0</v>
      </c>
      <c r="E52" s="16">
        <v>1.8533205999999999E-7</v>
      </c>
      <c r="F52" s="16">
        <v>1.3426677E-5</v>
      </c>
      <c r="G52" s="16">
        <v>3.4222603999999998E-5</v>
      </c>
      <c r="H52" s="16">
        <v>2.3335443999999999E-7</v>
      </c>
      <c r="I52" s="16">
        <v>4.3497205999999999E-7</v>
      </c>
      <c r="J52" s="16">
        <v>3.23872E-7</v>
      </c>
    </row>
    <row r="53" spans="1:22" x14ac:dyDescent="0.25">
      <c r="A53" s="16"/>
      <c r="B53" s="16"/>
      <c r="C53" s="16"/>
      <c r="D53" s="16"/>
      <c r="E53" s="16"/>
      <c r="F53" s="16"/>
      <c r="G53" s="16"/>
      <c r="H53" s="19"/>
      <c r="I53" s="19"/>
      <c r="J53" s="19"/>
      <c r="N53" s="18"/>
      <c r="O53" s="18"/>
      <c r="P53" s="18"/>
      <c r="Q53" s="18"/>
      <c r="R53" s="18"/>
      <c r="S53" s="18"/>
      <c r="T53" s="18"/>
      <c r="U53" s="18"/>
      <c r="V53" s="18"/>
    </row>
    <row r="54" spans="1:22" x14ac:dyDescent="0.25">
      <c r="A54" s="48" t="s">
        <v>70</v>
      </c>
      <c r="B54" s="49"/>
      <c r="C54" s="49"/>
      <c r="D54" s="49"/>
      <c r="E54" s="49"/>
      <c r="F54" s="49"/>
      <c r="G54" s="49"/>
      <c r="H54" s="49"/>
      <c r="I54" s="49"/>
      <c r="J54" s="50"/>
      <c r="N54" s="18"/>
      <c r="O54" s="18"/>
      <c r="P54" s="18"/>
      <c r="Q54" s="18"/>
      <c r="R54" s="18"/>
      <c r="S54" s="18"/>
      <c r="T54" s="18"/>
    </row>
    <row r="55" spans="1:22" x14ac:dyDescent="0.25">
      <c r="A55" s="16" t="s">
        <v>65</v>
      </c>
      <c r="B55" s="16" t="s">
        <v>66</v>
      </c>
      <c r="C55" s="16" t="s">
        <v>67</v>
      </c>
      <c r="D55" s="16" t="s">
        <v>12</v>
      </c>
      <c r="E55" s="16" t="s">
        <v>8</v>
      </c>
      <c r="F55" s="16" t="s">
        <v>68</v>
      </c>
      <c r="G55" s="16" t="s">
        <v>11</v>
      </c>
      <c r="H55" s="16" t="s">
        <v>14</v>
      </c>
      <c r="I55" s="25" t="s">
        <v>109</v>
      </c>
      <c r="J55" s="25" t="s">
        <v>15</v>
      </c>
    </row>
    <row r="56" spans="1:22" x14ac:dyDescent="0.25">
      <c r="A56" s="16" t="s">
        <v>53</v>
      </c>
      <c r="B56" s="16" t="s">
        <v>54</v>
      </c>
      <c r="C56" s="24">
        <v>2.2664500000000001E-8</v>
      </c>
      <c r="D56" s="24">
        <v>2.2664500000000001E-8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</row>
    <row r="57" spans="1:22" x14ac:dyDescent="0.25">
      <c r="A57" s="16" t="str">
        <f>$A$41</f>
        <v>Propanol; carbon dioxide from DAC; hydrogen from grid-powered water electrolysis; BAU ethylene; intermediate conversions with utilities; Abhi</v>
      </c>
      <c r="B57" s="16" t="s">
        <v>72</v>
      </c>
      <c r="C57" s="16">
        <v>2.6462423999999998E-8</v>
      </c>
      <c r="D57" s="16">
        <v>0</v>
      </c>
      <c r="E57" s="16">
        <v>-7.9286240999999997E-10</v>
      </c>
      <c r="F57" s="16">
        <v>2.1886924000000002E-8</v>
      </c>
      <c r="G57" s="16">
        <v>2.9437109999999999E-9</v>
      </c>
      <c r="H57" s="16">
        <v>3.8019168999999999E-10</v>
      </c>
      <c r="I57" s="16">
        <v>1.0672331E-9</v>
      </c>
      <c r="J57" s="16">
        <v>9.7722669999999993E-10</v>
      </c>
    </row>
    <row r="58" spans="1:22" x14ac:dyDescent="0.25">
      <c r="A58" s="16" t="str">
        <f>$A$42</f>
        <v>Propanol; carbon dioxide from DAC; hydrogen from grid-powered water electrolysis; ethylene from gMeOH; intermediate conversions with utilities; Abhi</v>
      </c>
      <c r="B58" s="16" t="s">
        <v>73</v>
      </c>
      <c r="C58" s="16">
        <v>7.7085555000000007E-8</v>
      </c>
      <c r="D58" s="16">
        <v>0</v>
      </c>
      <c r="E58" s="16">
        <v>-7.9286240999999997E-10</v>
      </c>
      <c r="F58" s="16">
        <v>2.1886924000000002E-8</v>
      </c>
      <c r="G58" s="16">
        <v>5.3566842000000002E-8</v>
      </c>
      <c r="H58" s="16">
        <v>3.8019168999999999E-10</v>
      </c>
      <c r="I58" s="16">
        <v>1.0672331E-9</v>
      </c>
      <c r="J58" s="16">
        <v>9.7722669999999993E-10</v>
      </c>
    </row>
    <row r="59" spans="1:22" x14ac:dyDescent="0.25">
      <c r="A59" s="16" t="str">
        <f>$A$43</f>
        <v>Propanol; carbon dioxide from NG power-plant; hydrogen from grid-powered water electrolysis; BAU ethylene; intermediate conversions with utilities; Abhi</v>
      </c>
      <c r="B59" s="16" t="s">
        <v>74</v>
      </c>
      <c r="C59" s="16">
        <v>2.7706316000000002E-8</v>
      </c>
      <c r="D59" s="16">
        <v>0</v>
      </c>
      <c r="E59" s="16">
        <v>4.5102978999999999E-10</v>
      </c>
      <c r="F59" s="16">
        <v>2.1886924000000002E-8</v>
      </c>
      <c r="G59" s="16">
        <v>2.9437109999999999E-9</v>
      </c>
      <c r="H59" s="16">
        <v>3.8019168999999999E-10</v>
      </c>
      <c r="I59" s="16">
        <v>1.0672331E-9</v>
      </c>
      <c r="J59" s="16">
        <v>9.7722669999999993E-10</v>
      </c>
      <c r="R59" s="18"/>
      <c r="T59" s="18"/>
      <c r="U59" s="18"/>
      <c r="V59" s="18"/>
    </row>
    <row r="60" spans="1:22" x14ac:dyDescent="0.25">
      <c r="A60" s="16" t="str">
        <f>$A$44</f>
        <v>Propanol; carbon dioxide from NG power-plant; hydrogen from grid-powered water electrolysis; ethylene from gMeOH; intermediate conversions with utilities; Abhi</v>
      </c>
      <c r="B60" s="16" t="s">
        <v>75</v>
      </c>
      <c r="C60" s="16">
        <v>8.1208239000000002E-8</v>
      </c>
      <c r="D60" s="16">
        <v>0</v>
      </c>
      <c r="E60" s="16">
        <v>4.5102978999999999E-10</v>
      </c>
      <c r="F60" s="16">
        <v>2.1886924000000002E-8</v>
      </c>
      <c r="G60" s="16">
        <v>5.6445633E-8</v>
      </c>
      <c r="H60" s="16">
        <v>3.8019168999999999E-10</v>
      </c>
      <c r="I60" s="16">
        <v>1.0672331E-9</v>
      </c>
      <c r="J60" s="16">
        <v>9.7722669999999993E-10</v>
      </c>
      <c r="R60" s="18"/>
      <c r="T60" s="18"/>
      <c r="U60" s="18"/>
      <c r="V60" s="18"/>
    </row>
    <row r="61" spans="1:22" x14ac:dyDescent="0.25">
      <c r="A61" s="16"/>
      <c r="B61" s="16"/>
      <c r="C61" s="24"/>
      <c r="D61" s="16"/>
      <c r="E61" s="24"/>
      <c r="F61" s="24"/>
      <c r="G61" s="24"/>
      <c r="H61" s="19"/>
      <c r="I61" s="19"/>
      <c r="J61" s="19"/>
    </row>
    <row r="62" spans="1:22" x14ac:dyDescent="0.25">
      <c r="A62" s="48" t="s">
        <v>71</v>
      </c>
      <c r="B62" s="49"/>
      <c r="C62" s="49"/>
      <c r="D62" s="49"/>
      <c r="E62" s="49"/>
      <c r="F62" s="49"/>
      <c r="G62" s="49"/>
      <c r="H62" s="49"/>
      <c r="I62" s="49"/>
      <c r="J62" s="50"/>
    </row>
    <row r="63" spans="1:22" x14ac:dyDescent="0.25">
      <c r="A63" s="16" t="s">
        <v>65</v>
      </c>
      <c r="B63" s="16" t="s">
        <v>66</v>
      </c>
      <c r="C63" s="16" t="s">
        <v>67</v>
      </c>
      <c r="D63" s="16" t="s">
        <v>12</v>
      </c>
      <c r="E63" s="16" t="s">
        <v>8</v>
      </c>
      <c r="F63" s="16" t="s">
        <v>68</v>
      </c>
      <c r="G63" s="16" t="s">
        <v>11</v>
      </c>
      <c r="H63" s="16" t="s">
        <v>14</v>
      </c>
      <c r="I63" s="25" t="s">
        <v>109</v>
      </c>
      <c r="J63" s="25" t="s">
        <v>15</v>
      </c>
    </row>
    <row r="64" spans="1:22" x14ac:dyDescent="0.25">
      <c r="A64" s="16" t="s">
        <v>53</v>
      </c>
      <c r="B64" s="16" t="s">
        <v>54</v>
      </c>
      <c r="C64" s="16">
        <v>0.68911549000000005</v>
      </c>
      <c r="D64" s="16">
        <v>0.68911549000000005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</row>
    <row r="65" spans="1:21" x14ac:dyDescent="0.25">
      <c r="A65" s="16" t="str">
        <f>$A$41</f>
        <v>Propanol; carbon dioxide from DAC; hydrogen from grid-powered water electrolysis; BAU ethylene; intermediate conversions with utilities; Abhi</v>
      </c>
      <c r="B65" s="16" t="s">
        <v>72</v>
      </c>
      <c r="C65" s="16">
        <v>0.6155969</v>
      </c>
      <c r="D65" s="16">
        <v>0</v>
      </c>
      <c r="E65" s="16">
        <v>4.7163511999999998E-2</v>
      </c>
      <c r="F65" s="16">
        <v>0.22440547999999999</v>
      </c>
      <c r="G65" s="16">
        <v>0.32368224000000001</v>
      </c>
      <c r="H65" s="16">
        <v>3.9008767E-3</v>
      </c>
      <c r="I65" s="16">
        <v>1.6444786999999999E-2</v>
      </c>
      <c r="J65" s="16">
        <v>0</v>
      </c>
    </row>
    <row r="66" spans="1:21" x14ac:dyDescent="0.25">
      <c r="A66" s="16" t="str">
        <f>$A$42</f>
        <v>Propanol; carbon dioxide from DAC; hydrogen from grid-powered water electrolysis; ethylene from gMeOH; intermediate conversions with utilities; Abhi</v>
      </c>
      <c r="B66" s="16" t="s">
        <v>73</v>
      </c>
      <c r="C66" s="25">
        <v>0.95903201000000005</v>
      </c>
      <c r="D66" s="16">
        <v>0</v>
      </c>
      <c r="E66" s="16">
        <v>4.7163511999999998E-2</v>
      </c>
      <c r="F66" s="16">
        <v>0.22440547999999999</v>
      </c>
      <c r="G66" s="16">
        <v>0.66711735000000005</v>
      </c>
      <c r="H66" s="16">
        <v>3.9008767E-3</v>
      </c>
      <c r="I66" s="16">
        <v>1.6444786999999999E-2</v>
      </c>
      <c r="J66" s="16">
        <v>0</v>
      </c>
      <c r="T66" s="18"/>
    </row>
    <row r="67" spans="1:21" x14ac:dyDescent="0.25">
      <c r="A67" s="16" t="str">
        <f>$A$43</f>
        <v>Propanol; carbon dioxide from NG power-plant; hydrogen from grid-powered water electrolysis; BAU ethylene; intermediate conversions with utilities; Abhi</v>
      </c>
      <c r="B67" s="16" t="s">
        <v>74</v>
      </c>
      <c r="C67" s="16">
        <v>0.60120191000000001</v>
      </c>
      <c r="D67" s="16">
        <v>0</v>
      </c>
      <c r="E67" s="16">
        <v>3.2768528999999998E-2</v>
      </c>
      <c r="F67" s="16">
        <v>0.22440547999999999</v>
      </c>
      <c r="G67" s="16">
        <v>0.32368224000000001</v>
      </c>
      <c r="H67" s="16">
        <v>3.9008767E-3</v>
      </c>
      <c r="I67" s="16">
        <v>1.6444786999999999E-2</v>
      </c>
      <c r="J67" s="16">
        <v>0</v>
      </c>
      <c r="R67" s="18"/>
      <c r="T67" s="18"/>
      <c r="U67" s="18"/>
    </row>
    <row r="68" spans="1:21" x14ac:dyDescent="0.25">
      <c r="A68" s="16" t="str">
        <f>$A$44</f>
        <v>Propanol; carbon dioxide from NG power-plant; hydrogen from grid-powered water electrolysis; ethylene from gMeOH; intermediate conversions with utilities; Abhi</v>
      </c>
      <c r="B68" s="16" t="s">
        <v>75</v>
      </c>
      <c r="C68" s="16">
        <v>0.91132212999999995</v>
      </c>
      <c r="D68" s="16">
        <v>0</v>
      </c>
      <c r="E68" s="16">
        <v>3.2768528999999998E-2</v>
      </c>
      <c r="F68" s="16">
        <v>0.22440547999999999</v>
      </c>
      <c r="G68" s="16">
        <v>0.63380245000000002</v>
      </c>
      <c r="H68" s="16">
        <v>3.9008767E-3</v>
      </c>
      <c r="I68" s="16">
        <v>1.6444786999999999E-2</v>
      </c>
      <c r="J68" s="16">
        <v>0</v>
      </c>
    </row>
    <row r="69" spans="1:21" x14ac:dyDescent="0.25">
      <c r="C69" s="18"/>
      <c r="E69" s="18"/>
      <c r="F69" s="18"/>
      <c r="G69" s="18"/>
    </row>
    <row r="70" spans="1:21" x14ac:dyDescent="0.25">
      <c r="C70" s="18"/>
      <c r="E70" s="18"/>
      <c r="F70" s="18"/>
      <c r="G70" s="18"/>
    </row>
    <row r="83" spans="3:8" x14ac:dyDescent="0.25">
      <c r="C83" s="18"/>
      <c r="D83" s="18"/>
      <c r="E83" s="18"/>
      <c r="F83" s="18"/>
      <c r="G83" s="18"/>
      <c r="H83" s="18"/>
    </row>
    <row r="84" spans="3:8" x14ac:dyDescent="0.25">
      <c r="C84" s="18"/>
      <c r="D84" s="18"/>
      <c r="E84" s="18"/>
      <c r="F84" s="18"/>
      <c r="G84" s="18"/>
      <c r="H84" s="18"/>
    </row>
    <row r="85" spans="3:8" x14ac:dyDescent="0.25">
      <c r="C85" s="18"/>
      <c r="D85" s="18"/>
      <c r="E85" s="18"/>
      <c r="F85" s="18"/>
      <c r="G85" s="18"/>
      <c r="H85" s="18"/>
    </row>
    <row r="86" spans="3:8" x14ac:dyDescent="0.25">
      <c r="C86" s="18"/>
      <c r="E86" s="18"/>
      <c r="F86" s="18"/>
      <c r="G86" s="18"/>
      <c r="H86" s="18"/>
    </row>
    <row r="87" spans="3:8" x14ac:dyDescent="0.25">
      <c r="C87" s="18"/>
      <c r="E87" s="18"/>
      <c r="F87" s="18"/>
      <c r="G87" s="18"/>
      <c r="H87" s="18"/>
    </row>
    <row r="88" spans="3:8" x14ac:dyDescent="0.25">
      <c r="C88" s="18"/>
      <c r="E88" s="18"/>
      <c r="F88" s="18"/>
      <c r="G88" s="18"/>
      <c r="H88" s="18"/>
    </row>
    <row r="89" spans="3:8" x14ac:dyDescent="0.25">
      <c r="C89" s="18"/>
      <c r="E89" s="18"/>
      <c r="F89" s="18"/>
      <c r="G89" s="18"/>
      <c r="H89" s="18"/>
    </row>
    <row r="90" spans="3:8" x14ac:dyDescent="0.25">
      <c r="C90" s="18"/>
      <c r="E90" s="18"/>
      <c r="F90" s="18"/>
      <c r="G90" s="18"/>
      <c r="H90" s="18"/>
    </row>
    <row r="91" spans="3:8" x14ac:dyDescent="0.25">
      <c r="C91" s="18"/>
      <c r="E91" s="18"/>
      <c r="F91" s="18"/>
      <c r="G91" s="18"/>
      <c r="H91" s="18"/>
    </row>
    <row r="92" spans="3:8" x14ac:dyDescent="0.25">
      <c r="C92" s="18"/>
      <c r="E92" s="18"/>
      <c r="F92" s="18"/>
      <c r="G92" s="18"/>
      <c r="H92" s="18"/>
    </row>
    <row r="93" spans="3:8" x14ac:dyDescent="0.25">
      <c r="C93" s="18"/>
      <c r="E93" s="18"/>
      <c r="F93" s="18"/>
      <c r="G93" s="18"/>
      <c r="H93" s="18"/>
    </row>
    <row r="94" spans="3:8" x14ac:dyDescent="0.25">
      <c r="C94" s="18"/>
      <c r="E94" s="18"/>
      <c r="F94" s="18"/>
      <c r="G94" s="18"/>
      <c r="H94" s="18"/>
    </row>
    <row r="95" spans="3:8" x14ac:dyDescent="0.25">
      <c r="C95" s="18"/>
      <c r="E95" s="18"/>
      <c r="F95" s="18"/>
      <c r="G95" s="18"/>
      <c r="H95" s="18"/>
    </row>
    <row r="96" spans="3:8" x14ac:dyDescent="0.25">
      <c r="C96" s="18"/>
      <c r="E96" s="18"/>
      <c r="F96" s="18"/>
      <c r="G96" s="18"/>
      <c r="H96" s="18"/>
    </row>
    <row r="97" spans="3:8" x14ac:dyDescent="0.25">
      <c r="C97" s="18"/>
      <c r="E97" s="18"/>
      <c r="F97" s="18"/>
      <c r="G97" s="18"/>
      <c r="H97" s="18"/>
    </row>
    <row r="98" spans="3:8" x14ac:dyDescent="0.25">
      <c r="C98" s="18"/>
      <c r="E98" s="18"/>
      <c r="F98" s="18"/>
      <c r="G98" s="18"/>
      <c r="H98" s="18"/>
    </row>
    <row r="99" spans="3:8" x14ac:dyDescent="0.25">
      <c r="C99" s="18"/>
      <c r="E99" s="18"/>
      <c r="F99" s="18"/>
      <c r="G99" s="18"/>
      <c r="H99" s="18"/>
    </row>
    <row r="100" spans="3:8" x14ac:dyDescent="0.25">
      <c r="E100" s="18"/>
      <c r="G100" s="18"/>
      <c r="H100" s="18"/>
    </row>
    <row r="102" spans="3:8" x14ac:dyDescent="0.25">
      <c r="C102" s="18"/>
      <c r="E102" s="18"/>
      <c r="F102" s="18"/>
      <c r="G102" s="18"/>
      <c r="H102" s="18"/>
    </row>
    <row r="103" spans="3:8" x14ac:dyDescent="0.25">
      <c r="C103" s="18"/>
      <c r="E103" s="18"/>
      <c r="F103" s="18"/>
      <c r="G103" s="18"/>
      <c r="H103" s="18"/>
    </row>
    <row r="104" spans="3:8" x14ac:dyDescent="0.25">
      <c r="C104" s="18"/>
      <c r="E104" s="18"/>
      <c r="F104" s="18"/>
      <c r="G104" s="18"/>
      <c r="H104" s="18"/>
    </row>
  </sheetData>
  <mergeCells count="10">
    <mergeCell ref="A19:J19"/>
    <mergeCell ref="A54:J54"/>
    <mergeCell ref="A27:J27"/>
    <mergeCell ref="A62:J62"/>
    <mergeCell ref="A2:J2"/>
    <mergeCell ref="A3:J3"/>
    <mergeCell ref="A38:J38"/>
    <mergeCell ref="A37:J37"/>
    <mergeCell ref="A11:J11"/>
    <mergeCell ref="A46:J4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B0A4-F83F-46FE-B258-20B8A6867491}">
  <dimension ref="A1:H18"/>
  <sheetViews>
    <sheetView workbookViewId="0">
      <selection activeCell="I13" sqref="I13"/>
    </sheetView>
  </sheetViews>
  <sheetFormatPr defaultColWidth="10.140625" defaultRowHeight="15.75" x14ac:dyDescent="0.25"/>
  <cols>
    <col min="1" max="1" width="25.7109375" style="27" customWidth="1"/>
    <col min="2" max="2" width="13.28515625" style="27" bestFit="1" customWidth="1"/>
    <col min="3" max="4" width="22" style="27" bestFit="1" customWidth="1"/>
    <col min="5" max="6" width="10.140625" style="27"/>
    <col min="7" max="7" width="12" style="27" bestFit="1" customWidth="1"/>
    <col min="8" max="16384" width="10.140625" style="27"/>
  </cols>
  <sheetData>
    <row r="1" spans="1:8" x14ac:dyDescent="0.25">
      <c r="A1" s="27" t="s">
        <v>117</v>
      </c>
    </row>
    <row r="3" spans="1:8" x14ac:dyDescent="0.25">
      <c r="B3" s="28" t="s">
        <v>127</v>
      </c>
      <c r="C3" s="28" t="s">
        <v>128</v>
      </c>
      <c r="D3" s="28" t="s">
        <v>118</v>
      </c>
    </row>
    <row r="4" spans="1:8" x14ac:dyDescent="0.25">
      <c r="A4" s="29" t="s">
        <v>119</v>
      </c>
      <c r="B4" s="30">
        <v>80.3</v>
      </c>
      <c r="C4" s="31">
        <f>'Aspen data'!E4</f>
        <v>0.8471728158416697</v>
      </c>
      <c r="D4" s="30">
        <f>B4*C4</f>
        <v>68.027977112086077</v>
      </c>
      <c r="G4" s="37"/>
      <c r="H4"/>
    </row>
    <row r="5" spans="1:8" x14ac:dyDescent="0.25">
      <c r="A5" s="29" t="s">
        <v>120</v>
      </c>
      <c r="B5" s="30">
        <f>(94+232)/2</f>
        <v>163</v>
      </c>
      <c r="C5" s="31">
        <f>C4</f>
        <v>0.8471728158416697</v>
      </c>
      <c r="D5" s="30">
        <f>B5*C5</f>
        <v>138.08916898219215</v>
      </c>
      <c r="G5"/>
      <c r="H5"/>
    </row>
    <row r="6" spans="1:8" x14ac:dyDescent="0.25">
      <c r="A6" s="29" t="s">
        <v>121</v>
      </c>
      <c r="B6" s="30">
        <v>3286.4</v>
      </c>
      <c r="C6" s="31">
        <f>'Aspen data'!E5</f>
        <v>0.10709997245725653</v>
      </c>
      <c r="D6" s="30">
        <f t="shared" ref="D6:D10" si="0">B6*C6</f>
        <v>351.97334948352784</v>
      </c>
      <c r="G6"/>
      <c r="H6"/>
    </row>
    <row r="7" spans="1:8" x14ac:dyDescent="0.25">
      <c r="A7" s="29" t="s">
        <v>122</v>
      </c>
      <c r="B7" s="30">
        <v>1293</v>
      </c>
      <c r="C7" s="31">
        <f>'Aspen data'!E6</f>
        <v>0.54151671467152185</v>
      </c>
      <c r="D7" s="30">
        <f t="shared" si="0"/>
        <v>700.18111207027778</v>
      </c>
      <c r="G7"/>
      <c r="H7"/>
    </row>
    <row r="8" spans="1:8" x14ac:dyDescent="0.25">
      <c r="A8" s="10" t="s">
        <v>123</v>
      </c>
      <c r="B8" s="10">
        <v>2300</v>
      </c>
      <c r="C8" s="32">
        <f>C7</f>
        <v>0.54151671467152185</v>
      </c>
      <c r="D8" s="33">
        <f t="shared" si="0"/>
        <v>1245.4884437445003</v>
      </c>
      <c r="G8"/>
      <c r="H8"/>
    </row>
    <row r="9" spans="1:8" x14ac:dyDescent="0.25">
      <c r="A9" s="10" t="s">
        <v>124</v>
      </c>
      <c r="B9" s="10">
        <v>2600</v>
      </c>
      <c r="C9" s="32">
        <f>C7</f>
        <v>0.54151671467152185</v>
      </c>
      <c r="D9" s="33">
        <f t="shared" si="0"/>
        <v>1407.9434581459568</v>
      </c>
    </row>
    <row r="10" spans="1:8" x14ac:dyDescent="0.25">
      <c r="A10" s="39" t="s">
        <v>14</v>
      </c>
      <c r="B10" s="39">
        <v>6.9599999999999995E-2</v>
      </c>
      <c r="C10" s="40">
        <f>'Aspen data'!B14*1000</f>
        <v>117.99716066607851</v>
      </c>
      <c r="D10" s="41">
        <f t="shared" si="0"/>
        <v>8.2126023823590639</v>
      </c>
      <c r="E10" s="34" t="s">
        <v>129</v>
      </c>
    </row>
    <row r="11" spans="1:8" x14ac:dyDescent="0.25">
      <c r="A11" s="39" t="s">
        <v>109</v>
      </c>
      <c r="B11" s="39">
        <f>3.6*10^-2</f>
        <v>3.6000000000000004E-2</v>
      </c>
      <c r="C11" s="40">
        <f>'Aspen data'!F21*1000</f>
        <v>5503.713858428373</v>
      </c>
      <c r="D11" s="41">
        <f>B11*F12</f>
        <v>9.4664930197525781</v>
      </c>
      <c r="E11" s="34" t="s">
        <v>130</v>
      </c>
      <c r="F11" s="27">
        <f>C11*10^6/4186/5</f>
        <v>262958.13943757158</v>
      </c>
      <c r="G11" s="27" t="s">
        <v>131</v>
      </c>
    </row>
    <row r="12" spans="1:8" x14ac:dyDescent="0.25">
      <c r="C12" s="34"/>
      <c r="D12" s="35"/>
      <c r="F12" s="27">
        <f>F11/1000</f>
        <v>262.95813943757156</v>
      </c>
      <c r="G12" s="27" t="s">
        <v>52</v>
      </c>
    </row>
    <row r="13" spans="1:8" x14ac:dyDescent="0.25">
      <c r="G13" s="38"/>
    </row>
    <row r="14" spans="1:8" x14ac:dyDescent="0.25">
      <c r="A14" s="10" t="s">
        <v>125</v>
      </c>
      <c r="B14" s="10">
        <v>1690</v>
      </c>
      <c r="C14" s="10" t="s">
        <v>126</v>
      </c>
      <c r="D14"/>
    </row>
    <row r="15" spans="1:8" x14ac:dyDescent="0.25">
      <c r="A15" s="10" t="s">
        <v>60</v>
      </c>
      <c r="B15" s="33">
        <f>D4+D6+D7+D10+D11</f>
        <v>1137.8615340680035</v>
      </c>
      <c r="C15" s="10" t="s">
        <v>126</v>
      </c>
      <c r="D15" s="36">
        <f>($B$14-B15)/$B$14</f>
        <v>0.32670915143905116</v>
      </c>
    </row>
    <row r="16" spans="1:8" x14ac:dyDescent="0.25">
      <c r="A16" s="10" t="s">
        <v>62</v>
      </c>
      <c r="B16" s="33">
        <f>D4+D6+D8+D10+D11</f>
        <v>1683.168865742226</v>
      </c>
      <c r="C16" s="10" t="s">
        <v>126</v>
      </c>
      <c r="D16" s="36">
        <f>($B$14-B16)/$B$14</f>
        <v>4.0420912767893556E-3</v>
      </c>
    </row>
    <row r="17" spans="1:4" x14ac:dyDescent="0.25">
      <c r="A17" s="10" t="s">
        <v>56</v>
      </c>
      <c r="B17" s="33">
        <f>D5+D6+D7+D10+D11</f>
        <v>1207.9227259381096</v>
      </c>
      <c r="C17" s="10" t="s">
        <v>126</v>
      </c>
      <c r="D17" s="36">
        <f>($B$14-B17)/$B$14</f>
        <v>0.28525282488869258</v>
      </c>
    </row>
    <row r="18" spans="1:4" x14ac:dyDescent="0.25">
      <c r="A18" s="10" t="s">
        <v>58</v>
      </c>
      <c r="B18" s="33">
        <f>D5+D6+D9+D10+D11</f>
        <v>1915.6850720137886</v>
      </c>
      <c r="C18" s="10" t="s">
        <v>126</v>
      </c>
      <c r="D18" s="36">
        <f>($B$14-B18)/$B$14</f>
        <v>-0.13354146273005243</v>
      </c>
    </row>
  </sheetData>
  <conditionalFormatting sqref="D15:D1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Aspen data</vt:lpstr>
      <vt:lpstr>LCA results - cradle to gate</vt:lpstr>
      <vt:lpstr>LCA contri - cradle to gate</vt:lpstr>
      <vt:lpstr>Economic results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2022-06-15T14:06:48Z</dcterms:created>
  <dcterms:modified xsi:type="dcterms:W3CDTF">2022-07-20T14:10:36Z</dcterms:modified>
</cp:coreProperties>
</file>