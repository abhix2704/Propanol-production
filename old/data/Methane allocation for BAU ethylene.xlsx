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Carbon dioxide to 1-propanol\Data\"/>
    </mc:Choice>
  </mc:AlternateContent>
  <xr:revisionPtr revIDLastSave="0" documentId="13_ncr:1_{3773DCA6-D14A-49A6-8191-470183E4868E}" xr6:coauthVersionLast="47" xr6:coauthVersionMax="47" xr10:uidLastSave="{00000000-0000-0000-0000-000000000000}"/>
  <bookViews>
    <workbookView xWindow="-120" yWindow="-120" windowWidth="29040" windowHeight="15840" xr2:uid="{DCF96045-A0BC-435C-918E-2B1FD6B877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8" i="1" l="1"/>
  <c r="E9" i="1"/>
  <c r="E10" i="1"/>
  <c r="E11" i="1"/>
  <c r="E12" i="1"/>
  <c r="E7" i="1"/>
  <c r="D13" i="1"/>
  <c r="D12" i="1"/>
  <c r="D11" i="1"/>
  <c r="D10" i="1"/>
  <c r="D9" i="1"/>
  <c r="D8" i="1"/>
  <c r="D7" i="1"/>
  <c r="C12" i="1"/>
  <c r="C11" i="1"/>
  <c r="C10" i="1"/>
  <c r="C9" i="1"/>
  <c r="C8" i="1"/>
  <c r="C7" i="1"/>
  <c r="B13" i="1"/>
  <c r="C13" i="1" l="1"/>
</calcChain>
</file>

<file path=xl/sharedStrings.xml><?xml version="1.0" encoding="utf-8"?>
<sst xmlns="http://schemas.openxmlformats.org/spreadsheetml/2006/main" count="17" uniqueCount="17">
  <si>
    <t>Methane allocation</t>
  </si>
  <si>
    <t xml:space="preserve">Methane </t>
  </si>
  <si>
    <t>Product</t>
  </si>
  <si>
    <t>Production (kg/h)</t>
  </si>
  <si>
    <t>kg/hr</t>
  </si>
  <si>
    <t>Ethane</t>
  </si>
  <si>
    <t>Propane</t>
  </si>
  <si>
    <t>Mixed C4</t>
  </si>
  <si>
    <t>C5+</t>
  </si>
  <si>
    <t>Propylene</t>
  </si>
  <si>
    <t>Ethylene</t>
  </si>
  <si>
    <t>%</t>
  </si>
  <si>
    <t>Methane required / kg product</t>
  </si>
  <si>
    <t>Methane required</t>
  </si>
  <si>
    <t>Total</t>
  </si>
  <si>
    <t>Reference</t>
  </si>
  <si>
    <t>https://www.sciencedirect.com/science/article/pii/S0098135417302326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</si>
</sst>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B4BCB-98AE-4A6E-80CD-6AEB6A432225}">
  <dimension ref="A2:E13"/>
  <sheetViews>
    <sheetView tabSelected="1" workbookViewId="0">
      <selection activeCell="E9" sqref="E9"/>
    </sheetView>
  </sheetViews>
  <sheetFormatPr defaultRowHeight="15" x14ac:dyDescent="0.25"/>
  <cols>
    <col min="1" max="1" width="18.42578125" style="1" bestFit="1" customWidth="1"/>
    <col min="2" max="2" width="16.7109375" style="1" bestFit="1" customWidth="1"/>
    <col min="3" max="3" width="10.140625" style="1" bestFit="1" customWidth="1"/>
    <col min="4" max="4" width="17.42578125" style="1" bestFit="1" customWidth="1"/>
    <col min="5" max="5" width="28.7109375" style="1" bestFit="1" customWidth="1"/>
    <col min="6" max="16384" width="9.140625" style="1"/>
  </cols>
  <sheetData>
    <row r="2" spans="1:5" x14ac:dyDescent="0.25">
      <c r="A2" s="1" t="s">
        <v>0</v>
      </c>
      <c r="C2" s="1" t="s">
        <v>15</v>
      </c>
      <c r="D2" s="6" t="s">
        <v>16</v>
      </c>
    </row>
    <row r="4" spans="1:5" x14ac:dyDescent="0.25">
      <c r="A4" s="5" t="s">
        <v>1</v>
      </c>
      <c r="B4" s="4">
        <v>253079</v>
      </c>
      <c r="C4" s="5" t="s">
        <v>4</v>
      </c>
    </row>
    <row r="6" spans="1:5" x14ac:dyDescent="0.25">
      <c r="A6" s="2" t="s">
        <v>2</v>
      </c>
      <c r="B6" s="2" t="s">
        <v>3</v>
      </c>
      <c r="C6" s="2" t="s">
        <v>11</v>
      </c>
      <c r="D6" s="2" t="s">
        <v>13</v>
      </c>
      <c r="E6" s="2" t="s">
        <v>12</v>
      </c>
    </row>
    <row r="7" spans="1:5" x14ac:dyDescent="0.25">
      <c r="A7" s="2" t="s">
        <v>5</v>
      </c>
      <c r="B7" s="3">
        <v>1150.5</v>
      </c>
      <c r="C7" s="3">
        <f>B7/$B$13*100</f>
        <v>0.84237701881272076</v>
      </c>
      <c r="D7" s="3">
        <f>C7*$B$4/100</f>
        <v>2131.8793354410459</v>
      </c>
      <c r="E7" s="3">
        <f>D7/B7</f>
        <v>1.853002464529375</v>
      </c>
    </row>
    <row r="8" spans="1:5" x14ac:dyDescent="0.25">
      <c r="A8" s="2" t="s">
        <v>6</v>
      </c>
      <c r="B8" s="3">
        <v>19661.2</v>
      </c>
      <c r="C8" s="3">
        <f t="shared" ref="C8:C12" si="0">B8/$B$13*100</f>
        <v>14.39560455652383</v>
      </c>
      <c r="D8" s="3">
        <f t="shared" ref="D8:D12" si="1">C8*$B$4/100</f>
        <v>36432.252055604942</v>
      </c>
      <c r="E8" s="3">
        <f t="shared" ref="E8:E12" si="2">D8/B8</f>
        <v>1.8530024645293746</v>
      </c>
    </row>
    <row r="9" spans="1:5" x14ac:dyDescent="0.25">
      <c r="A9" s="2" t="s">
        <v>7</v>
      </c>
      <c r="B9" s="3">
        <v>12620.6</v>
      </c>
      <c r="C9" s="3">
        <f t="shared" si="0"/>
        <v>9.2405940057608209</v>
      </c>
      <c r="D9" s="3">
        <f t="shared" si="1"/>
        <v>23386.002903839428</v>
      </c>
      <c r="E9" s="3">
        <f t="shared" si="2"/>
        <v>1.8530024645293748</v>
      </c>
    </row>
    <row r="10" spans="1:5" x14ac:dyDescent="0.25">
      <c r="A10" s="2" t="s">
        <v>8</v>
      </c>
      <c r="B10" s="3">
        <v>2779.7</v>
      </c>
      <c r="C10" s="3">
        <f t="shared" si="0"/>
        <v>2.0352502383257014</v>
      </c>
      <c r="D10" s="3">
        <f t="shared" si="1"/>
        <v>5150.7909506523019</v>
      </c>
      <c r="E10" s="3">
        <f t="shared" si="2"/>
        <v>1.8530024645293746</v>
      </c>
    </row>
    <row r="11" spans="1:5" x14ac:dyDescent="0.25">
      <c r="A11" s="2" t="s">
        <v>9</v>
      </c>
      <c r="B11" s="3">
        <v>37235.199999999997</v>
      </c>
      <c r="C11" s="3">
        <f t="shared" si="0"/>
        <v>27.262995889522308</v>
      </c>
      <c r="D11" s="3">
        <f t="shared" si="1"/>
        <v>68996.917367244168</v>
      </c>
      <c r="E11" s="3">
        <f t="shared" si="2"/>
        <v>1.8530024645293748</v>
      </c>
    </row>
    <row r="12" spans="1:5" x14ac:dyDescent="0.25">
      <c r="A12" s="2" t="s">
        <v>10</v>
      </c>
      <c r="B12" s="3">
        <v>63130.6</v>
      </c>
      <c r="C12" s="3">
        <f t="shared" si="0"/>
        <v>46.223178291054623</v>
      </c>
      <c r="D12" s="3">
        <f t="shared" si="1"/>
        <v>116981.15738721812</v>
      </c>
      <c r="E12" s="3">
        <f t="shared" si="2"/>
        <v>1.8530024645293743</v>
      </c>
    </row>
    <row r="13" spans="1:5" x14ac:dyDescent="0.25">
      <c r="A13" s="5" t="s">
        <v>14</v>
      </c>
      <c r="B13" s="4">
        <f>SUM(B7:B12)</f>
        <v>136577.79999999999</v>
      </c>
      <c r="C13" s="4">
        <f>SUM(C7:C12)</f>
        <v>100</v>
      </c>
      <c r="D13" s="4">
        <f>SUM(D7:D12)</f>
        <v>253079</v>
      </c>
      <c r="E1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2022-07-28T19:23:15Z</dcterms:created>
  <dcterms:modified xsi:type="dcterms:W3CDTF">2022-07-28T22:55:30Z</dcterms:modified>
</cp:coreProperties>
</file>