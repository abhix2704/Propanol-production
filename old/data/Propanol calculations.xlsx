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bera\Desktop\Carbon dioxide to propanol\"/>
    </mc:Choice>
  </mc:AlternateContent>
  <xr:revisionPtr revIDLastSave="0" documentId="13_ncr:1_{DA6DCD86-29A4-4FE8-88AC-CAE031BA28A3}" xr6:coauthVersionLast="47" xr6:coauthVersionMax="47" xr10:uidLastSave="{00000000-0000-0000-0000-000000000000}"/>
  <bookViews>
    <workbookView xWindow="-120" yWindow="-120" windowWidth="29040" windowHeight="17640" activeTab="1" xr2:uid="{00000000-000D-0000-FFFF-FFFF00000000}"/>
  </bookViews>
  <sheets>
    <sheet name="Material balance" sheetId="1" r:id="rId1"/>
    <sheet name="Material balance summary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9" i="3" l="1"/>
  <c r="E19" i="3" s="1"/>
  <c r="C16" i="3"/>
  <c r="D16" i="3" s="1"/>
  <c r="C6" i="3" l="1"/>
  <c r="D6" i="3" s="1"/>
  <c r="C5" i="3" l="1"/>
  <c r="D5" i="3" s="1"/>
  <c r="D35" i="1"/>
  <c r="C33" i="1" s="1"/>
  <c r="D28" i="1" s="1"/>
  <c r="D6" i="1"/>
  <c r="E6" i="1" s="1"/>
  <c r="C4" i="3" s="1"/>
  <c r="D4" i="3" s="1"/>
  <c r="C12" i="3" l="1"/>
  <c r="D12" i="3" s="1"/>
  <c r="E26" i="1"/>
  <c r="C26" i="1" s="1"/>
  <c r="C34" i="1"/>
  <c r="F6" i="1"/>
  <c r="C15" i="1" s="1"/>
  <c r="F9" i="1"/>
  <c r="E16" i="3" l="1"/>
  <c r="F19" i="3"/>
  <c r="E12" i="3"/>
  <c r="E6" i="3"/>
  <c r="E5" i="3"/>
  <c r="E4" i="3"/>
  <c r="D27" i="1"/>
  <c r="C24" i="1" s="1"/>
  <c r="D26" i="1"/>
  <c r="C10" i="3" s="1"/>
  <c r="D10" i="3" s="1"/>
  <c r="E10" i="3" s="1"/>
  <c r="E15" i="1"/>
  <c r="D15" i="1"/>
  <c r="C23" i="1" s="1"/>
  <c r="D23" i="1" s="1"/>
  <c r="C8" i="3" s="1"/>
  <c r="D8" i="3" s="1"/>
  <c r="E8" i="3" s="1"/>
  <c r="F10" i="1"/>
  <c r="C7" i="3" s="1"/>
  <c r="D7" i="3" s="1"/>
  <c r="E7" i="3" s="1"/>
  <c r="D16" i="1"/>
  <c r="C16" i="1"/>
  <c r="E7" i="1"/>
  <c r="B37" i="1" l="1"/>
  <c r="C11" i="3"/>
  <c r="D11" i="3" s="1"/>
  <c r="E11" i="3" s="1"/>
  <c r="E25" i="1"/>
  <c r="C25" i="1" s="1"/>
  <c r="D25" i="1" s="1"/>
  <c r="C9" i="3" s="1"/>
  <c r="D9" i="3" s="1"/>
  <c r="E9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tc={6B7BD83A-2F76-CE4E-B4E2-1907CF3C4435}</author>
    <author>SimaPro</author>
    <author>tc={B686F700-D63F-454F-83CC-1673BE883931}</author>
  </authors>
  <commentList>
    <comment ref="E8" authorId="0" shapeId="0" xr:uid="{00000000-0006-0000-0000-000001000000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From material balance till the membrane separation step.</t>
        </r>
      </text>
    </comment>
    <comment ref="C26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SimaPro:</t>
        </r>
        <r>
          <rPr>
            <sz val="9"/>
            <color indexed="81"/>
            <rFont val="Tahoma"/>
            <family val="2"/>
          </rPr>
          <t xml:space="preserve">
Need to subtract recycle from this.</t>
        </r>
      </text>
    </comment>
    <comment ref="B37" authorId="2" shapeId="0" xr:uid="{00000000-0006-0000-0000-000003000000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Almost similar to the one mentioned in literature. Therefore, satysfying material balance.</t>
        </r>
      </text>
    </comment>
  </commentList>
</comments>
</file>

<file path=xl/sharedStrings.xml><?xml version="1.0" encoding="utf-8"?>
<sst xmlns="http://schemas.openxmlformats.org/spreadsheetml/2006/main" count="89" uniqueCount="50">
  <si>
    <t>Hours of operation</t>
  </si>
  <si>
    <t>Carbon dioxide</t>
  </si>
  <si>
    <t>Hydrogen</t>
  </si>
  <si>
    <t>Carbon dioxide recycle</t>
  </si>
  <si>
    <t>M. Wt.</t>
  </si>
  <si>
    <t>Input [Mt/a]</t>
  </si>
  <si>
    <t>Input [kg/hr]</t>
  </si>
  <si>
    <t>Input [kmol/hr]</t>
  </si>
  <si>
    <t>Step 1: Reverse water gas shift</t>
  </si>
  <si>
    <t>Carbon monoxide</t>
  </si>
  <si>
    <t>Water</t>
  </si>
  <si>
    <t>Output [kmol/hr]</t>
  </si>
  <si>
    <t>-</t>
  </si>
  <si>
    <t>Step 2: Membrane Separation</t>
  </si>
  <si>
    <t>Recycle [kmol/hr]</t>
  </si>
  <si>
    <t>Conversion (% ethylene)</t>
  </si>
  <si>
    <t>Step 3: Hydroformylation</t>
  </si>
  <si>
    <t>Conversion (% propanal)</t>
  </si>
  <si>
    <t>Propanal</t>
  </si>
  <si>
    <t>Propanol</t>
  </si>
  <si>
    <t>Step 4: Hydrogenation</t>
  </si>
  <si>
    <t>Ethylene</t>
  </si>
  <si>
    <t>Conversion (% CO)</t>
  </si>
  <si>
    <t>Selectivity (for propanal)</t>
  </si>
  <si>
    <t>Ethane</t>
  </si>
  <si>
    <t>Ethylene input: 0.450 Mt/a</t>
  </si>
  <si>
    <t>kmol/hr</t>
  </si>
  <si>
    <t>kg/hr</t>
  </si>
  <si>
    <t>Mt/a</t>
  </si>
  <si>
    <t>From literature</t>
  </si>
  <si>
    <t>Total hydrogen input</t>
  </si>
  <si>
    <r>
      <t>Conversion (% CO</t>
    </r>
    <r>
      <rPr>
        <vertAlign val="subscript"/>
        <sz val="12"/>
        <color theme="1"/>
        <rFont val="Calibri (Body)"/>
      </rPr>
      <t>2</t>
    </r>
    <r>
      <rPr>
        <sz val="12"/>
        <color theme="1"/>
        <rFont val="Calibri"/>
        <family val="2"/>
        <scheme val="minor"/>
      </rPr>
      <t>)</t>
    </r>
  </si>
  <si>
    <r>
      <t>% CO</t>
    </r>
    <r>
      <rPr>
        <vertAlign val="subscript"/>
        <sz val="12"/>
        <color theme="1"/>
        <rFont val="Calibri (Body)"/>
      </rPr>
      <t>2</t>
    </r>
    <r>
      <rPr>
        <sz val="12"/>
        <color theme="1"/>
        <rFont val="Calibri"/>
        <family val="2"/>
        <scheme val="minor"/>
      </rPr>
      <t xml:space="preserve"> recycle</t>
    </r>
  </si>
  <si>
    <t>M.Wt.</t>
  </si>
  <si>
    <t>Type</t>
  </si>
  <si>
    <t>Waster water</t>
  </si>
  <si>
    <t xml:space="preserve">Ethylene </t>
  </si>
  <si>
    <t>Propanol (99.7 wt%)</t>
  </si>
  <si>
    <t>Emissions</t>
  </si>
  <si>
    <t>Product</t>
  </si>
  <si>
    <t>kg/kg propanol</t>
  </si>
  <si>
    <t>Utilities</t>
  </si>
  <si>
    <t>Electricity</t>
  </si>
  <si>
    <t>TJ/a</t>
  </si>
  <si>
    <t>kWh/kg propanol</t>
  </si>
  <si>
    <t>J/hr</t>
  </si>
  <si>
    <t>kWh/hr</t>
  </si>
  <si>
    <t>Cooling water</t>
  </si>
  <si>
    <t>Cp (J/kg °C)</t>
  </si>
  <si>
    <t>Feed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</si>
</sst>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0"/>
  </numFmts>
  <fonts count="4">
    <font>
      <sz val="12"/>
      <color theme="1"/>
      <name val="Calibri"/>
      <family val="2"/>
      <scheme val="minor"/>
    </font>
    <font>
      <vertAlign val="subscript"/>
      <sz val="12"/>
      <color theme="1"/>
      <name val="Calibri (Body)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0" xfId="0" applyFont="1" applyFill="1"/>
    <xf numFmtId="2" fontId="0" fillId="0" borderId="1" xfId="0" applyNumberFormat="1" applyFont="1" applyFill="1" applyBorder="1" applyAlignment="1">
      <alignment horizontal="center"/>
    </xf>
    <xf numFmtId="0" fontId="0" fillId="0" borderId="0" xfId="0" applyFont="1" applyFill="1" applyAlignment="1">
      <alignment horizontal="center"/>
    </xf>
    <xf numFmtId="164" fontId="0" fillId="0" borderId="1" xfId="0" applyNumberFormat="1" applyFont="1" applyFill="1" applyBorder="1" applyAlignment="1">
      <alignment horizontal="center"/>
    </xf>
    <xf numFmtId="2" fontId="0" fillId="2" borderId="1" xfId="0" applyNumberFormat="1" applyFont="1" applyFill="1" applyBorder="1" applyAlignment="1">
      <alignment horizontal="center"/>
    </xf>
    <xf numFmtId="2" fontId="0" fillId="0" borderId="0" xfId="0" applyNumberFormat="1" applyFont="1" applyFill="1"/>
    <xf numFmtId="2" fontId="0" fillId="3" borderId="1" xfId="0" applyNumberFormat="1" applyFont="1" applyFill="1" applyBorder="1" applyAlignment="1">
      <alignment horizontal="center"/>
    </xf>
    <xf numFmtId="2" fontId="0" fillId="4" borderId="1" xfId="0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0" xfId="0" applyFont="1"/>
    <xf numFmtId="0" fontId="0" fillId="4" borderId="1" xfId="0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11" fontId="0" fillId="0" borderId="1" xfId="0" applyNumberFormat="1" applyBorder="1" applyAlignment="1">
      <alignment horizontal="center"/>
    </xf>
    <xf numFmtId="165" fontId="0" fillId="5" borderId="1" xfId="0" applyNumberFormat="1" applyFill="1" applyBorder="1" applyAlignment="1">
      <alignment horizontal="center"/>
    </xf>
    <xf numFmtId="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bhi Nabera" id="{3783C496-80E9-7E47-B062-0846BD6E73DB}" userId="751e66abdd730951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8" dT="2022-05-30T06:19:19.35" personId="{3783C496-80E9-7E47-B062-0846BD6E73DB}" id="{6B7BD83A-2F76-CE4E-B4E2-1907CF3C4435}">
    <text>From material balance till the membrane separation step.</text>
  </threadedComment>
  <threadedComment ref="B37" dT="2022-05-30T07:49:39.99" personId="{3783C496-80E9-7E47-B062-0846BD6E73DB}" id="{B686F700-D63F-454F-83CC-1673BE883931}">
    <text>Almost similar to the one mentioned in literature. Therefore, satysfying material balance.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8"/>
  <sheetViews>
    <sheetView zoomScaleNormal="100" workbookViewId="0">
      <selection activeCell="E7" sqref="E7"/>
    </sheetView>
  </sheetViews>
  <sheetFormatPr defaultColWidth="10.875" defaultRowHeight="15.75"/>
  <cols>
    <col min="1" max="1" width="19.125" style="4" customWidth="1"/>
    <col min="2" max="2" width="8.625" style="4" bestFit="1" customWidth="1"/>
    <col min="3" max="3" width="21.125" style="4" bestFit="1" customWidth="1"/>
    <col min="4" max="4" width="21" style="4" bestFit="1" customWidth="1"/>
    <col min="5" max="5" width="17" style="4" bestFit="1" customWidth="1"/>
    <col min="6" max="6" width="15.125" style="4" bestFit="1" customWidth="1"/>
    <col min="7" max="16384" width="10.875" style="4"/>
  </cols>
  <sheetData>
    <row r="2" spans="1:7">
      <c r="A2" s="3" t="s">
        <v>0</v>
      </c>
      <c r="B2" s="3">
        <v>8000</v>
      </c>
    </row>
    <row r="4" spans="1:7" ht="19.5">
      <c r="A4" s="4" t="s">
        <v>8</v>
      </c>
      <c r="E4" s="3" t="s">
        <v>31</v>
      </c>
      <c r="F4" s="5">
        <v>65.599999999999994</v>
      </c>
    </row>
    <row r="5" spans="1:7">
      <c r="A5" s="6"/>
      <c r="B5" s="3" t="s">
        <v>4</v>
      </c>
      <c r="C5" s="3" t="s">
        <v>5</v>
      </c>
      <c r="D5" s="3" t="s">
        <v>6</v>
      </c>
      <c r="E5" s="5" t="s">
        <v>7</v>
      </c>
      <c r="F5" s="5" t="s">
        <v>11</v>
      </c>
    </row>
    <row r="6" spans="1:7">
      <c r="A6" s="3" t="s">
        <v>1</v>
      </c>
      <c r="B6" s="3">
        <v>44</v>
      </c>
      <c r="C6" s="7">
        <v>0.70399999999999996</v>
      </c>
      <c r="D6" s="5">
        <f>C6*10^9/B2</f>
        <v>88000</v>
      </c>
      <c r="E6" s="8">
        <f>D6/B6</f>
        <v>2000</v>
      </c>
      <c r="F6" s="5">
        <f>(E6+E8)*(100-F4)/100</f>
        <v>949.22672000000023</v>
      </c>
      <c r="G6" s="9"/>
    </row>
    <row r="7" spans="1:7">
      <c r="A7" s="3" t="s">
        <v>2</v>
      </c>
      <c r="B7" s="3">
        <v>2</v>
      </c>
      <c r="C7" s="3" t="s">
        <v>12</v>
      </c>
      <c r="D7" s="5" t="s">
        <v>12</v>
      </c>
      <c r="E7" s="8">
        <f>F9</f>
        <v>1810.1532799999998</v>
      </c>
      <c r="F7" s="5">
        <v>0</v>
      </c>
    </row>
    <row r="8" spans="1:7">
      <c r="A8" s="3" t="s">
        <v>3</v>
      </c>
      <c r="B8" s="3">
        <v>44</v>
      </c>
      <c r="C8" s="3" t="s">
        <v>12</v>
      </c>
      <c r="D8" s="5" t="s">
        <v>12</v>
      </c>
      <c r="E8" s="5">
        <v>759.38</v>
      </c>
      <c r="F8" s="5" t="s">
        <v>12</v>
      </c>
    </row>
    <row r="9" spans="1:7">
      <c r="A9" s="3" t="s">
        <v>9</v>
      </c>
      <c r="B9" s="3">
        <v>28</v>
      </c>
      <c r="C9" s="5">
        <v>0</v>
      </c>
      <c r="D9" s="5">
        <v>0</v>
      </c>
      <c r="E9" s="5">
        <v>0</v>
      </c>
      <c r="F9" s="5">
        <f>(E6+E8)*F4/100</f>
        <v>1810.1532799999998</v>
      </c>
    </row>
    <row r="10" spans="1:7">
      <c r="A10" s="3" t="s">
        <v>10</v>
      </c>
      <c r="B10" s="3">
        <v>18</v>
      </c>
      <c r="C10" s="5">
        <v>0</v>
      </c>
      <c r="D10" s="5">
        <v>0</v>
      </c>
      <c r="E10" s="5">
        <v>0</v>
      </c>
      <c r="F10" s="10">
        <f>F9</f>
        <v>1810.1532799999998</v>
      </c>
    </row>
    <row r="11" spans="1:7">
      <c r="C11" s="9"/>
      <c r="D11" s="9"/>
    </row>
    <row r="12" spans="1:7">
      <c r="C12" s="9"/>
      <c r="D12" s="9"/>
    </row>
    <row r="13" spans="1:7" ht="19.5">
      <c r="A13" s="4" t="s">
        <v>13</v>
      </c>
      <c r="C13" s="9"/>
      <c r="D13" s="5" t="s">
        <v>32</v>
      </c>
      <c r="E13" s="3">
        <v>80</v>
      </c>
    </row>
    <row r="14" spans="1:7">
      <c r="A14" s="6"/>
      <c r="B14" s="3" t="s">
        <v>4</v>
      </c>
      <c r="C14" s="5" t="s">
        <v>7</v>
      </c>
      <c r="D14" s="5" t="s">
        <v>11</v>
      </c>
      <c r="E14" s="3" t="s">
        <v>14</v>
      </c>
    </row>
    <row r="15" spans="1:7">
      <c r="A15" s="3" t="s">
        <v>1</v>
      </c>
      <c r="B15" s="3">
        <v>44</v>
      </c>
      <c r="C15" s="5">
        <f>F6</f>
        <v>949.22672000000023</v>
      </c>
      <c r="D15" s="5">
        <f>C15*(100-E13)/100</f>
        <v>189.84534400000004</v>
      </c>
      <c r="E15" s="5">
        <f>C15*E13/100</f>
        <v>759.38137600000016</v>
      </c>
    </row>
    <row r="16" spans="1:7">
      <c r="A16" s="3" t="s">
        <v>9</v>
      </c>
      <c r="B16" s="3">
        <v>28</v>
      </c>
      <c r="C16" s="5">
        <f>F9</f>
        <v>1810.1532799999998</v>
      </c>
      <c r="D16" s="5">
        <f>F9</f>
        <v>1810.1532799999998</v>
      </c>
      <c r="E16" s="5">
        <v>0</v>
      </c>
    </row>
    <row r="17" spans="1:7">
      <c r="C17" s="9"/>
      <c r="D17" s="9"/>
    </row>
    <row r="18" spans="1:7">
      <c r="C18" s="9"/>
      <c r="D18" s="9"/>
    </row>
    <row r="19" spans="1:7">
      <c r="A19" s="4" t="s">
        <v>16</v>
      </c>
      <c r="D19" s="3" t="s">
        <v>15</v>
      </c>
      <c r="E19" s="5">
        <v>90</v>
      </c>
      <c r="F19" s="9"/>
    </row>
    <row r="20" spans="1:7">
      <c r="A20" s="4" t="s">
        <v>25</v>
      </c>
      <c r="D20" s="3" t="s">
        <v>23</v>
      </c>
      <c r="E20" s="5">
        <v>90</v>
      </c>
      <c r="F20" s="9"/>
    </row>
    <row r="21" spans="1:7">
      <c r="D21" s="3" t="s">
        <v>22</v>
      </c>
      <c r="E21" s="5">
        <v>90</v>
      </c>
      <c r="F21" s="9"/>
    </row>
    <row r="22" spans="1:7">
      <c r="A22" s="6"/>
      <c r="B22" s="3" t="s">
        <v>4</v>
      </c>
      <c r="C22" s="5" t="s">
        <v>7</v>
      </c>
      <c r="D22" s="5" t="s">
        <v>11</v>
      </c>
      <c r="E22" s="3" t="s">
        <v>14</v>
      </c>
    </row>
    <row r="23" spans="1:7">
      <c r="A23" s="3" t="s">
        <v>1</v>
      </c>
      <c r="B23" s="3">
        <v>44</v>
      </c>
      <c r="C23" s="5">
        <f>D15</f>
        <v>189.84534400000004</v>
      </c>
      <c r="D23" s="10">
        <f>C23</f>
        <v>189.84534400000004</v>
      </c>
      <c r="E23" s="5">
        <v>0</v>
      </c>
    </row>
    <row r="24" spans="1:7">
      <c r="A24" s="3" t="s">
        <v>2</v>
      </c>
      <c r="B24" s="3">
        <v>2</v>
      </c>
      <c r="C24" s="8">
        <f>D28+D27</f>
        <v>1923.6111111111111</v>
      </c>
      <c r="D24" s="5">
        <v>0</v>
      </c>
      <c r="E24" s="5">
        <v>0</v>
      </c>
    </row>
    <row r="25" spans="1:7">
      <c r="A25" s="3" t="s">
        <v>9</v>
      </c>
      <c r="B25" s="3">
        <v>28</v>
      </c>
      <c r="C25" s="5">
        <f>D16+E25</f>
        <v>1923.6111111111111</v>
      </c>
      <c r="D25" s="10">
        <f>(C25*(100-E21)/100)-E25</f>
        <v>78.903279999999768</v>
      </c>
      <c r="E25" s="5">
        <f>(D28*100/90)-D16</f>
        <v>113.45783111111132</v>
      </c>
    </row>
    <row r="26" spans="1:7">
      <c r="A26" s="3" t="s">
        <v>21</v>
      </c>
      <c r="B26" s="3">
        <v>28</v>
      </c>
      <c r="C26" s="8">
        <f>(0.45*10^9/B2/B26)+E26</f>
        <v>2137.3456790123455</v>
      </c>
      <c r="D26" s="10">
        <f>(C26*(100-E19)/100)-E26</f>
        <v>85.317460317460387</v>
      </c>
      <c r="E26" s="5">
        <f>(D28*100/E19*100/E20)-(0.45*10^9/B2/B26)</f>
        <v>128.41710758377417</v>
      </c>
      <c r="G26" s="9"/>
    </row>
    <row r="27" spans="1:7">
      <c r="A27" s="3" t="s">
        <v>24</v>
      </c>
      <c r="B27" s="3">
        <v>30</v>
      </c>
      <c r="C27" s="5">
        <v>0</v>
      </c>
      <c r="D27" s="10">
        <f>C26*E19/100*(100-E20)/100</f>
        <v>192.36111111111109</v>
      </c>
      <c r="E27" s="3"/>
    </row>
    <row r="28" spans="1:7">
      <c r="A28" s="3" t="s">
        <v>18</v>
      </c>
      <c r="B28" s="3">
        <v>58</v>
      </c>
      <c r="C28" s="5">
        <v>0</v>
      </c>
      <c r="D28" s="5">
        <f>C33</f>
        <v>1731.25</v>
      </c>
      <c r="E28" s="5">
        <v>0</v>
      </c>
    </row>
    <row r="29" spans="1:7">
      <c r="C29" s="9"/>
      <c r="D29" s="9"/>
    </row>
    <row r="30" spans="1:7">
      <c r="C30" s="9"/>
    </row>
    <row r="31" spans="1:7">
      <c r="A31" s="4" t="s">
        <v>20</v>
      </c>
      <c r="C31" s="3" t="s">
        <v>17</v>
      </c>
      <c r="D31" s="5">
        <v>100</v>
      </c>
    </row>
    <row r="32" spans="1:7">
      <c r="A32" s="6"/>
      <c r="B32" s="3" t="s">
        <v>4</v>
      </c>
      <c r="C32" s="5" t="s">
        <v>7</v>
      </c>
      <c r="D32" s="5" t="s">
        <v>11</v>
      </c>
    </row>
    <row r="33" spans="1:4">
      <c r="A33" s="3" t="s">
        <v>18</v>
      </c>
      <c r="B33" s="3">
        <v>58</v>
      </c>
      <c r="C33" s="5">
        <f>D35</f>
        <v>1731.25</v>
      </c>
      <c r="D33" s="5">
        <v>0</v>
      </c>
    </row>
    <row r="34" spans="1:4">
      <c r="A34" s="3" t="s">
        <v>2</v>
      </c>
      <c r="B34" s="3">
        <v>2</v>
      </c>
      <c r="C34" s="8">
        <f>D35</f>
        <v>1731.25</v>
      </c>
      <c r="D34" s="5">
        <v>0</v>
      </c>
    </row>
    <row r="35" spans="1:4">
      <c r="A35" s="3" t="s">
        <v>19</v>
      </c>
      <c r="B35" s="3">
        <v>60</v>
      </c>
      <c r="C35" s="5">
        <v>0</v>
      </c>
      <c r="D35" s="11">
        <f>0.831*10^9/B2/B35</f>
        <v>1731.25</v>
      </c>
    </row>
    <row r="37" spans="1:4">
      <c r="A37" s="3" t="s">
        <v>30</v>
      </c>
      <c r="B37" s="7">
        <f>(E7+C24+C34)*B24*B2/10^9</f>
        <v>8.7440230257777779E-2</v>
      </c>
      <c r="C37" s="3" t="s">
        <v>28</v>
      </c>
    </row>
    <row r="38" spans="1:4">
      <c r="A38" s="3" t="s">
        <v>29</v>
      </c>
      <c r="B38" s="12">
        <v>8.8999999999999996E-2</v>
      </c>
      <c r="C38" s="3" t="s">
        <v>28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tabSelected="1" zoomScale="130" zoomScaleNormal="130" workbookViewId="0">
      <selection activeCell="I7" sqref="I7"/>
    </sheetView>
  </sheetViews>
  <sheetFormatPr defaultColWidth="11" defaultRowHeight="15.75"/>
  <cols>
    <col min="1" max="1" width="15.375" bestFit="1" customWidth="1"/>
    <col min="2" max="2" width="6.375" bestFit="1" customWidth="1"/>
    <col min="3" max="3" width="8.375" bestFit="1" customWidth="1"/>
    <col min="4" max="4" width="14.5" bestFit="1" customWidth="1"/>
    <col min="5" max="5" width="15.125" bestFit="1" customWidth="1"/>
    <col min="6" max="7" width="13.125" bestFit="1" customWidth="1"/>
    <col min="8" max="8" width="12" bestFit="1" customWidth="1"/>
  </cols>
  <sheetData>
    <row r="1" spans="1:8">
      <c r="A1" s="16" t="s">
        <v>37</v>
      </c>
    </row>
    <row r="3" spans="1:8">
      <c r="A3" s="13"/>
      <c r="B3" s="14" t="s">
        <v>33</v>
      </c>
      <c r="C3" s="14" t="s">
        <v>26</v>
      </c>
      <c r="D3" s="14" t="s">
        <v>27</v>
      </c>
      <c r="E3" s="14" t="s">
        <v>40</v>
      </c>
      <c r="F3" s="14" t="s">
        <v>34</v>
      </c>
    </row>
    <row r="4" spans="1:8">
      <c r="A4" s="14" t="s">
        <v>1</v>
      </c>
      <c r="B4" s="14">
        <v>44</v>
      </c>
      <c r="C4" s="15">
        <f>'Material balance'!E6</f>
        <v>2000</v>
      </c>
      <c r="D4" s="15">
        <f>C4*B4</f>
        <v>88000</v>
      </c>
      <c r="E4" s="18">
        <f>D4/$D$12</f>
        <v>0.84717208182912151</v>
      </c>
      <c r="F4" s="1" t="s">
        <v>49</v>
      </c>
      <c r="H4" s="24"/>
    </row>
    <row r="5" spans="1:8">
      <c r="A5" s="14" t="s">
        <v>2</v>
      </c>
      <c r="B5" s="14">
        <v>2</v>
      </c>
      <c r="C5" s="15">
        <f>'Material balance'!B38*10^9/'Material balance'!B2/'Material balance summary'!B5</f>
        <v>5562.5</v>
      </c>
      <c r="D5" s="15">
        <f t="shared" ref="D5:D12" si="0">C5*B5</f>
        <v>11125</v>
      </c>
      <c r="E5" s="18">
        <f t="shared" ref="E5:E12" si="1">D5/$D$12</f>
        <v>0.10709987966305656</v>
      </c>
      <c r="F5" s="1" t="s">
        <v>49</v>
      </c>
    </row>
    <row r="6" spans="1:8">
      <c r="A6" s="14" t="s">
        <v>36</v>
      </c>
      <c r="B6" s="14">
        <v>28</v>
      </c>
      <c r="C6" s="15">
        <f>0.45*10^9/'Material balance'!B2/'Material balance summary'!B6</f>
        <v>2008.9285714285713</v>
      </c>
      <c r="D6" s="15">
        <f>C6*B6</f>
        <v>56250</v>
      </c>
      <c r="E6" s="18">
        <f t="shared" si="1"/>
        <v>0.54151624548736466</v>
      </c>
      <c r="F6" s="1" t="s">
        <v>49</v>
      </c>
    </row>
    <row r="7" spans="1:8">
      <c r="A7" s="14" t="s">
        <v>35</v>
      </c>
      <c r="B7" s="14">
        <v>18</v>
      </c>
      <c r="C7" s="15">
        <f>'Material balance'!F10</f>
        <v>1810.1532799999998</v>
      </c>
      <c r="D7" s="15">
        <f t="shared" si="0"/>
        <v>32582.759039999997</v>
      </c>
      <c r="E7" s="18">
        <f t="shared" si="1"/>
        <v>0.31367277054151621</v>
      </c>
      <c r="F7" s="2" t="s">
        <v>38</v>
      </c>
    </row>
    <row r="8" spans="1:8">
      <c r="A8" s="14" t="s">
        <v>1</v>
      </c>
      <c r="B8" s="14">
        <v>44</v>
      </c>
      <c r="C8" s="15">
        <f>'Material balance'!D23</f>
        <v>189.84534400000004</v>
      </c>
      <c r="D8" s="15">
        <f t="shared" si="0"/>
        <v>8353.1951360000021</v>
      </c>
      <c r="E8" s="18">
        <f t="shared" si="1"/>
        <v>8.0415837651022878E-2</v>
      </c>
      <c r="F8" s="2" t="s">
        <v>38</v>
      </c>
      <c r="H8" s="23"/>
    </row>
    <row r="9" spans="1:8">
      <c r="A9" s="14" t="s">
        <v>9</v>
      </c>
      <c r="B9" s="14">
        <v>28</v>
      </c>
      <c r="C9" s="15">
        <f>'Material balance'!D25</f>
        <v>78.903279999999768</v>
      </c>
      <c r="D9" s="15">
        <f t="shared" si="0"/>
        <v>2209.2918399999935</v>
      </c>
      <c r="E9" s="18">
        <f t="shared" si="1"/>
        <v>2.1268754175691875E-2</v>
      </c>
      <c r="F9" s="2" t="s">
        <v>38</v>
      </c>
      <c r="H9" s="23"/>
    </row>
    <row r="10" spans="1:8">
      <c r="A10" s="14" t="s">
        <v>36</v>
      </c>
      <c r="B10" s="14">
        <v>28</v>
      </c>
      <c r="C10" s="15">
        <f>'Material balance'!D26</f>
        <v>85.317460317460387</v>
      </c>
      <c r="D10" s="15">
        <f t="shared" si="0"/>
        <v>2388.888888888891</v>
      </c>
      <c r="E10" s="18">
        <f t="shared" si="1"/>
        <v>2.2997726968846121E-2</v>
      </c>
      <c r="F10" s="2" t="s">
        <v>38</v>
      </c>
      <c r="H10" s="23"/>
    </row>
    <row r="11" spans="1:8">
      <c r="A11" s="14" t="s">
        <v>24</v>
      </c>
      <c r="B11" s="14">
        <v>30</v>
      </c>
      <c r="C11" s="15">
        <f>'Material balance'!D27</f>
        <v>192.36111111111109</v>
      </c>
      <c r="D11" s="15">
        <f t="shared" si="0"/>
        <v>5770.8333333333321</v>
      </c>
      <c r="E11" s="18">
        <f t="shared" si="1"/>
        <v>5.5555555555555546E-2</v>
      </c>
      <c r="F11" s="2" t="s">
        <v>38</v>
      </c>
      <c r="H11" s="23"/>
    </row>
    <row r="12" spans="1:8">
      <c r="A12" s="14" t="s">
        <v>19</v>
      </c>
      <c r="B12" s="14">
        <v>60</v>
      </c>
      <c r="C12" s="15">
        <f>'Material balance'!D35</f>
        <v>1731.25</v>
      </c>
      <c r="D12" s="15">
        <f t="shared" si="0"/>
        <v>103875</v>
      </c>
      <c r="E12" s="18">
        <f t="shared" si="1"/>
        <v>1</v>
      </c>
      <c r="F12" s="17" t="s">
        <v>39</v>
      </c>
      <c r="H12" s="23"/>
    </row>
    <row r="14" spans="1:8">
      <c r="A14" s="19" t="s">
        <v>41</v>
      </c>
    </row>
    <row r="15" spans="1:8">
      <c r="A15" s="19"/>
      <c r="B15" s="14" t="s">
        <v>43</v>
      </c>
      <c r="C15" s="14" t="s">
        <v>45</v>
      </c>
      <c r="D15" s="14" t="s">
        <v>46</v>
      </c>
      <c r="E15" s="14" t="s">
        <v>44</v>
      </c>
    </row>
    <row r="16" spans="1:8">
      <c r="A16" s="20" t="s">
        <v>42</v>
      </c>
      <c r="B16" s="14">
        <v>353</v>
      </c>
      <c r="C16" s="21">
        <f>B16*10^12/8000</f>
        <v>44125000000</v>
      </c>
      <c r="D16" s="15">
        <f>C16/1000/3600</f>
        <v>12256.944444444445</v>
      </c>
      <c r="E16" s="22">
        <f>D16/$D$12</f>
        <v>0.11799705843027143</v>
      </c>
    </row>
    <row r="18" spans="1:6">
      <c r="A18" s="13"/>
      <c r="B18" s="14" t="s">
        <v>43</v>
      </c>
      <c r="C18" s="14" t="s">
        <v>45</v>
      </c>
      <c r="D18" s="14" t="s">
        <v>48</v>
      </c>
      <c r="E18" s="14" t="s">
        <v>27</v>
      </c>
      <c r="F18" s="14" t="s">
        <v>40</v>
      </c>
    </row>
    <row r="19" spans="1:6">
      <c r="A19" s="14" t="s">
        <v>47</v>
      </c>
      <c r="B19" s="14">
        <v>5153</v>
      </c>
      <c r="C19" s="21">
        <f>B19*10^12/8000</f>
        <v>644125000000</v>
      </c>
      <c r="D19" s="14">
        <v>4182</v>
      </c>
      <c r="E19" s="15">
        <f>C19/(D19*5)</f>
        <v>30804638.92874223</v>
      </c>
      <c r="F19" s="22">
        <f>E19/$D$12</f>
        <v>296.5548874006472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Material balance</vt:lpstr>
      <vt:lpstr>Material balance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 Nabera</dc:creator>
  <cp:lastModifiedBy>Nabera  Abhinandan</cp:lastModifiedBy>
  <dcterms:created xsi:type="dcterms:W3CDTF">2022-05-28T22:49:17Z</dcterms:created>
  <dcterms:modified xsi:type="dcterms:W3CDTF">2022-06-20T12:55:42Z</dcterms:modified>
</cp:coreProperties>
</file>