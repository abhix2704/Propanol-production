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"/>
    </mc:Choice>
  </mc:AlternateContent>
  <xr:revisionPtr revIDLastSave="0" documentId="13_ncr:1_{CDDC81C7-2492-4992-8367-363EB45EE93C}" xr6:coauthVersionLast="47" xr6:coauthVersionMax="47" xr10:uidLastSave="{00000000-0000-0000-0000-000000000000}"/>
  <bookViews>
    <workbookView xWindow="-108" yWindow="-108" windowWidth="30936" windowHeight="16896" xr2:uid="{171BAE88-305D-4ADC-8CB4-5B62370C6B14}"/>
  </bookViews>
  <sheets>
    <sheet name="Sheet1" sheetId="1" r:id="rId1"/>
  </sheets>
  <definedNames>
    <definedName name="_xlnm._FilterDatabase" localSheetId="0" hidden="1">Sheet1!$A$1:$V$97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99" i="1" l="1"/>
  <c r="O99" i="1"/>
  <c r="N99" i="1"/>
  <c r="M99" i="1"/>
  <c r="L99" i="1"/>
  <c r="K99" i="1"/>
  <c r="J99" i="1"/>
  <c r="I99" i="1"/>
  <c r="H99" i="1"/>
  <c r="G9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2" i="1"/>
  <c r="J100" i="1" l="1"/>
  <c r="K100" i="1"/>
  <c r="L100" i="1"/>
  <c r="M100" i="1"/>
  <c r="N100" i="1"/>
  <c r="G100" i="1"/>
  <c r="O100" i="1"/>
  <c r="H100" i="1"/>
  <c r="P100" i="1"/>
  <c r="I100" i="1"/>
</calcChain>
</file>

<file path=xl/sharedStrings.xml><?xml version="1.0" encoding="utf-8"?>
<sst xmlns="http://schemas.openxmlformats.org/spreadsheetml/2006/main" count="25" uniqueCount="25">
  <si>
    <t>CO In</t>
  </si>
  <si>
    <t>H2 In</t>
  </si>
  <si>
    <t>CO</t>
  </si>
  <si>
    <t>CO2</t>
  </si>
  <si>
    <t>CH4</t>
  </si>
  <si>
    <t>C2H4</t>
  </si>
  <si>
    <t>C2H6</t>
  </si>
  <si>
    <t>C3H6</t>
  </si>
  <si>
    <t>C3H8</t>
  </si>
  <si>
    <t>C4H8</t>
  </si>
  <si>
    <t>C4H10</t>
  </si>
  <si>
    <t>C5H10</t>
  </si>
  <si>
    <t>C5H12</t>
  </si>
  <si>
    <t>S.No</t>
  </si>
  <si>
    <t>H2/CO</t>
  </si>
  <si>
    <t>% conv C2H4</t>
  </si>
  <si>
    <t xml:space="preserve">Pressure </t>
  </si>
  <si>
    <t>Temp</t>
  </si>
  <si>
    <t>O/P ratio</t>
  </si>
  <si>
    <t>% CO conv</t>
  </si>
  <si>
    <t>C2/C3 ratio</t>
  </si>
  <si>
    <t>% conv C3H8</t>
  </si>
  <si>
    <t>Yield</t>
  </si>
  <si>
    <t>Selectivity (%)</t>
  </si>
  <si>
    <t>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</si>
</sst>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E3C-E9D4-473A-94D9-BB2A5807A80A}">
  <dimension ref="A1:V102"/>
  <sheetViews>
    <sheetView tabSelected="1" zoomScale="145" zoomScaleNormal="145" workbookViewId="0">
      <pane ySplit="1" topLeftCell="A92" activePane="bottomLeft" state="frozen"/>
      <selection pane="bottomLeft" activeCell="K100" sqref="K100"/>
    </sheetView>
  </sheetViews>
  <sheetFormatPr defaultRowHeight="14.4" x14ac:dyDescent="0.3"/>
  <cols>
    <col min="6" max="6" width="12.33203125" bestFit="1" customWidth="1"/>
    <col min="17" max="17" width="11.6640625" bestFit="1" customWidth="1"/>
    <col min="18" max="18" width="11.6640625" customWidth="1"/>
    <col min="19" max="19" width="10.5546875" bestFit="1" customWidth="1"/>
    <col min="22" max="22" width="10.33203125" style="2" bestFit="1" customWidth="1"/>
  </cols>
  <sheetData>
    <row r="1" spans="1:22" x14ac:dyDescent="0.3">
      <c r="A1" s="2" t="s">
        <v>13</v>
      </c>
      <c r="B1" s="2" t="s">
        <v>16</v>
      </c>
      <c r="C1" s="2" t="s">
        <v>17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15</v>
      </c>
      <c r="R1" s="2" t="s">
        <v>21</v>
      </c>
      <c r="S1" s="2" t="s">
        <v>19</v>
      </c>
      <c r="T1" s="2" t="s">
        <v>14</v>
      </c>
      <c r="U1" s="2" t="s">
        <v>18</v>
      </c>
      <c r="V1" s="2" t="s">
        <v>20</v>
      </c>
    </row>
    <row r="2" spans="1:22" x14ac:dyDescent="0.3">
      <c r="A2" s="2">
        <v>1</v>
      </c>
      <c r="B2" s="2">
        <v>21</v>
      </c>
      <c r="C2" s="2">
        <v>663</v>
      </c>
      <c r="D2" s="2">
        <v>22</v>
      </c>
      <c r="E2" s="2">
        <v>75</v>
      </c>
      <c r="F2" s="4">
        <v>19.2</v>
      </c>
      <c r="G2" s="4">
        <v>1.5</v>
      </c>
      <c r="H2" s="4">
        <v>2.1000000000000001E-2</v>
      </c>
      <c r="I2" s="4">
        <v>0.26100000000000001</v>
      </c>
      <c r="J2" s="4">
        <v>2.5000000000000001E-2</v>
      </c>
      <c r="K2" s="4">
        <v>0.252</v>
      </c>
      <c r="L2" s="4">
        <v>6.2E-2</v>
      </c>
      <c r="M2" s="4">
        <v>6.8000000000000005E-2</v>
      </c>
      <c r="N2" s="4">
        <v>1.4999999999999999E-2</v>
      </c>
      <c r="O2" s="4">
        <v>4.0000000000000001E-3</v>
      </c>
      <c r="P2" s="4">
        <v>2.5999999999999999E-2</v>
      </c>
      <c r="Q2" s="4">
        <f t="shared" ref="Q2:Q33" si="0">2*I2/D2*100</f>
        <v>2.372727272727273</v>
      </c>
      <c r="R2" s="4">
        <f>K2*3/D2*100</f>
        <v>3.4363636363636365</v>
      </c>
      <c r="S2" s="4">
        <f t="shared" ref="S2:S33" si="1">(1-F2/D2)*100</f>
        <v>12.727272727272732</v>
      </c>
      <c r="T2" s="4">
        <f t="shared" ref="T2:T33" si="2">E2/D2</f>
        <v>3.4090909090909092</v>
      </c>
      <c r="U2" s="1">
        <f t="shared" ref="U2:U33" si="3">(2*I2+3*K2+4*M2+5*O2)/(2*J2+3*L2+4*N2+5*P2)</f>
        <v>3.6854460093896715</v>
      </c>
      <c r="V2" s="3">
        <f t="shared" ref="V2:V33" si="4">I2/K2</f>
        <v>1.0357142857142858</v>
      </c>
    </row>
    <row r="3" spans="1:22" x14ac:dyDescent="0.3">
      <c r="A3" s="2">
        <v>2</v>
      </c>
      <c r="B3" s="2">
        <v>21</v>
      </c>
      <c r="C3" s="2">
        <v>663</v>
      </c>
      <c r="D3" s="2">
        <v>11</v>
      </c>
      <c r="E3" s="2">
        <v>37</v>
      </c>
      <c r="F3" s="4">
        <v>9.3000000000000007</v>
      </c>
      <c r="G3" s="4">
        <v>1.27</v>
      </c>
      <c r="H3" s="4">
        <v>2.3E-2</v>
      </c>
      <c r="I3" s="4">
        <v>0.14599999999999999</v>
      </c>
      <c r="J3" s="4">
        <v>2.5000000000000001E-2</v>
      </c>
      <c r="K3" s="4">
        <v>0.17799999999999999</v>
      </c>
      <c r="L3" s="4">
        <v>7.1999999999999995E-2</v>
      </c>
      <c r="M3" s="4">
        <v>7.2999999999999995E-2</v>
      </c>
      <c r="N3" s="4">
        <v>1.4E-2</v>
      </c>
      <c r="O3" s="4">
        <v>3.0000000000000001E-3</v>
      </c>
      <c r="P3" s="4">
        <v>2.5000000000000001E-2</v>
      </c>
      <c r="Q3" s="4">
        <f t="shared" si="0"/>
        <v>2.6545454545454543</v>
      </c>
      <c r="R3" s="4">
        <f t="shared" ref="R3:R66" si="5">K3*3/D3*100</f>
        <v>4.8545454545454554</v>
      </c>
      <c r="S3" s="4">
        <f t="shared" si="1"/>
        <v>15.454545454545443</v>
      </c>
      <c r="T3" s="4">
        <f t="shared" si="2"/>
        <v>3.3636363636363638</v>
      </c>
      <c r="U3" s="1">
        <f t="shared" si="3"/>
        <v>2.534675615212528</v>
      </c>
      <c r="V3" s="3">
        <f t="shared" si="4"/>
        <v>0.8202247191011236</v>
      </c>
    </row>
    <row r="4" spans="1:22" x14ac:dyDescent="0.3">
      <c r="A4" s="2">
        <v>3</v>
      </c>
      <c r="B4" s="2">
        <v>21</v>
      </c>
      <c r="C4" s="2">
        <v>663</v>
      </c>
      <c r="D4" s="2">
        <v>37</v>
      </c>
      <c r="E4" s="2">
        <v>130</v>
      </c>
      <c r="F4" s="4">
        <v>32.799999999999997</v>
      </c>
      <c r="G4" s="4">
        <v>1.84</v>
      </c>
      <c r="H4" s="4">
        <v>2.5999999999999999E-2</v>
      </c>
      <c r="I4" s="4">
        <v>0.41499999999999998</v>
      </c>
      <c r="J4" s="4">
        <v>3.1E-2</v>
      </c>
      <c r="K4" s="4">
        <v>0.37</v>
      </c>
      <c r="L4" s="4">
        <v>5.8000000000000003E-2</v>
      </c>
      <c r="M4" s="4">
        <v>0.112</v>
      </c>
      <c r="N4" s="4">
        <v>2.5999999999999999E-2</v>
      </c>
      <c r="O4" s="4">
        <v>2.1999999999999999E-2</v>
      </c>
      <c r="P4" s="4">
        <v>4.2999999999999997E-2</v>
      </c>
      <c r="Q4" s="4">
        <f t="shared" si="0"/>
        <v>2.2432432432432434</v>
      </c>
      <c r="R4" s="4">
        <f t="shared" si="5"/>
        <v>2.9999999999999996</v>
      </c>
      <c r="S4" s="4">
        <f t="shared" si="1"/>
        <v>11.351351351351358</v>
      </c>
      <c r="T4" s="4">
        <f t="shared" si="2"/>
        <v>3.5135135135135136</v>
      </c>
      <c r="U4" s="1">
        <f t="shared" si="3"/>
        <v>4.5009009009009011</v>
      </c>
      <c r="V4" s="3">
        <f t="shared" si="4"/>
        <v>1.1216216216216215</v>
      </c>
    </row>
    <row r="5" spans="1:22" x14ac:dyDescent="0.3">
      <c r="A5" s="2">
        <v>4</v>
      </c>
      <c r="B5" s="2">
        <v>21</v>
      </c>
      <c r="C5" s="2">
        <v>663</v>
      </c>
      <c r="D5" s="2">
        <v>22</v>
      </c>
      <c r="E5" s="2">
        <v>75</v>
      </c>
      <c r="F5" s="4">
        <v>19.100000000000001</v>
      </c>
      <c r="G5" s="4">
        <v>1.53</v>
      </c>
      <c r="H5" s="4">
        <v>2.9000000000000001E-2</v>
      </c>
      <c r="I5" s="4">
        <v>0.27</v>
      </c>
      <c r="J5" s="4">
        <v>0.03</v>
      </c>
      <c r="K5" s="4">
        <v>0.27200000000000002</v>
      </c>
      <c r="L5" s="4">
        <v>6.4000000000000001E-2</v>
      </c>
      <c r="M5" s="4">
        <v>6.3E-2</v>
      </c>
      <c r="N5" s="4">
        <v>1.2999999999999999E-2</v>
      </c>
      <c r="O5" s="4">
        <v>2E-3</v>
      </c>
      <c r="P5" s="4">
        <v>2.3E-2</v>
      </c>
      <c r="Q5" s="4">
        <f t="shared" si="0"/>
        <v>2.4545454545454546</v>
      </c>
      <c r="R5" s="4">
        <f t="shared" si="5"/>
        <v>3.709090909090909</v>
      </c>
      <c r="S5" s="4">
        <f t="shared" si="1"/>
        <v>13.181818181818173</v>
      </c>
      <c r="T5" s="4">
        <f t="shared" si="2"/>
        <v>3.4090909090909092</v>
      </c>
      <c r="U5" s="1">
        <f t="shared" si="3"/>
        <v>3.8615751789976138</v>
      </c>
      <c r="V5" s="3">
        <f t="shared" si="4"/>
        <v>0.99264705882352944</v>
      </c>
    </row>
    <row r="6" spans="1:22" x14ac:dyDescent="0.3">
      <c r="A6" s="2">
        <v>5</v>
      </c>
      <c r="B6" s="2">
        <v>21</v>
      </c>
      <c r="C6" s="2">
        <v>663</v>
      </c>
      <c r="D6" s="2">
        <v>22</v>
      </c>
      <c r="E6" s="2">
        <v>112</v>
      </c>
      <c r="F6" s="4">
        <v>19.100000000000001</v>
      </c>
      <c r="G6" s="4">
        <v>1.39</v>
      </c>
      <c r="H6" s="4">
        <v>3.9E-2</v>
      </c>
      <c r="I6" s="4">
        <v>0.32200000000000001</v>
      </c>
      <c r="J6" s="4">
        <v>3.5999999999999997E-2</v>
      </c>
      <c r="K6" s="4">
        <v>0.315</v>
      </c>
      <c r="L6" s="4">
        <v>0.08</v>
      </c>
      <c r="M6" s="4">
        <v>9.9000000000000005E-2</v>
      </c>
      <c r="N6" s="4">
        <v>3.5999999999999997E-2</v>
      </c>
      <c r="O6" s="4">
        <v>0.03</v>
      </c>
      <c r="P6" s="4">
        <v>5.6000000000000001E-2</v>
      </c>
      <c r="Q6" s="4">
        <f t="shared" si="0"/>
        <v>2.9272727272727272</v>
      </c>
      <c r="R6" s="4">
        <f t="shared" si="5"/>
        <v>4.2954545454545459</v>
      </c>
      <c r="S6" s="4">
        <f t="shared" si="1"/>
        <v>13.181818181818173</v>
      </c>
      <c r="T6" s="4">
        <f t="shared" si="2"/>
        <v>5.0909090909090908</v>
      </c>
      <c r="U6" s="1">
        <f t="shared" si="3"/>
        <v>2.9008152173913042</v>
      </c>
      <c r="V6" s="3">
        <f t="shared" si="4"/>
        <v>1.0222222222222221</v>
      </c>
    </row>
    <row r="7" spans="1:22" x14ac:dyDescent="0.3">
      <c r="A7" s="2">
        <v>6</v>
      </c>
      <c r="B7" s="2">
        <v>21</v>
      </c>
      <c r="C7" s="2">
        <v>663</v>
      </c>
      <c r="D7" s="2">
        <v>22</v>
      </c>
      <c r="E7" s="2">
        <v>45</v>
      </c>
      <c r="F7" s="4">
        <v>19.7</v>
      </c>
      <c r="G7" s="4">
        <v>1.47</v>
      </c>
      <c r="H7" s="4">
        <v>1.9E-2</v>
      </c>
      <c r="I7" s="4">
        <v>0.19900000000000001</v>
      </c>
      <c r="J7" s="4">
        <v>2.5999999999999999E-2</v>
      </c>
      <c r="K7" s="4">
        <v>0.20300000000000001</v>
      </c>
      <c r="L7" s="4">
        <v>5.2999999999999999E-2</v>
      </c>
      <c r="M7" s="4">
        <v>9.8000000000000004E-2</v>
      </c>
      <c r="N7" s="4">
        <v>8.0000000000000002E-3</v>
      </c>
      <c r="O7" s="4">
        <v>3.5999999999999997E-2</v>
      </c>
      <c r="P7" s="4">
        <v>4.2000000000000003E-2</v>
      </c>
      <c r="Q7" s="4">
        <f t="shared" si="0"/>
        <v>1.8090909090909091</v>
      </c>
      <c r="R7" s="4">
        <f t="shared" si="5"/>
        <v>2.7681818181818181</v>
      </c>
      <c r="S7" s="4">
        <f t="shared" si="1"/>
        <v>10.45454545454546</v>
      </c>
      <c r="T7" s="4">
        <f t="shared" si="2"/>
        <v>2.0454545454545454</v>
      </c>
      <c r="U7" s="1">
        <f t="shared" si="3"/>
        <v>3.4856512141280351</v>
      </c>
      <c r="V7" s="3">
        <f t="shared" si="4"/>
        <v>0.98029556650246308</v>
      </c>
    </row>
    <row r="8" spans="1:22" x14ac:dyDescent="0.3">
      <c r="A8" s="2">
        <v>7</v>
      </c>
      <c r="B8" s="2">
        <v>21</v>
      </c>
      <c r="C8" s="2">
        <v>663</v>
      </c>
      <c r="D8" s="2">
        <v>22</v>
      </c>
      <c r="E8" s="2">
        <v>75</v>
      </c>
      <c r="F8" s="4">
        <v>19.100000000000001</v>
      </c>
      <c r="G8" s="4">
        <v>1.51</v>
      </c>
      <c r="H8" s="4">
        <v>1.6E-2</v>
      </c>
      <c r="I8" s="4">
        <v>0.27500000000000002</v>
      </c>
      <c r="J8" s="4">
        <v>3.1E-2</v>
      </c>
      <c r="K8" s="4">
        <v>0.27</v>
      </c>
      <c r="L8" s="4">
        <v>6.5000000000000002E-2</v>
      </c>
      <c r="M8" s="4">
        <v>2.1999999999999999E-2</v>
      </c>
      <c r="N8" s="4">
        <v>0.01</v>
      </c>
      <c r="O8" s="4">
        <v>0</v>
      </c>
      <c r="P8" s="4">
        <v>5.2999999999999999E-2</v>
      </c>
      <c r="Q8" s="4">
        <f t="shared" si="0"/>
        <v>2.5</v>
      </c>
      <c r="R8" s="4">
        <f t="shared" si="5"/>
        <v>3.6818181818181821</v>
      </c>
      <c r="S8" s="4">
        <f t="shared" si="1"/>
        <v>13.181818181818173</v>
      </c>
      <c r="T8" s="4">
        <f t="shared" si="2"/>
        <v>3.4090909090909092</v>
      </c>
      <c r="U8" s="1">
        <f t="shared" si="3"/>
        <v>2.5765124555160144</v>
      </c>
      <c r="V8" s="3">
        <f t="shared" si="4"/>
        <v>1.0185185185185186</v>
      </c>
    </row>
    <row r="9" spans="1:22" x14ac:dyDescent="0.3">
      <c r="A9" s="2">
        <v>8</v>
      </c>
      <c r="B9" s="2">
        <v>21</v>
      </c>
      <c r="C9" s="2">
        <v>663</v>
      </c>
      <c r="D9" s="2">
        <v>37</v>
      </c>
      <c r="E9" s="2">
        <v>75</v>
      </c>
      <c r="F9" s="4">
        <v>32.5</v>
      </c>
      <c r="G9" s="4">
        <v>2.2200000000000002</v>
      </c>
      <c r="H9" s="4">
        <v>3.2000000000000001E-2</v>
      </c>
      <c r="I9" s="4">
        <v>0.34300000000000003</v>
      </c>
      <c r="J9" s="4">
        <v>3.4000000000000002E-2</v>
      </c>
      <c r="K9" s="4">
        <v>0.34899999999999998</v>
      </c>
      <c r="L9" s="4">
        <v>6.8000000000000005E-2</v>
      </c>
      <c r="M9" s="4">
        <v>5.7000000000000002E-2</v>
      </c>
      <c r="N9" s="4">
        <v>1.7999999999999999E-2</v>
      </c>
      <c r="O9" s="4">
        <v>1.7000000000000001E-2</v>
      </c>
      <c r="P9" s="4">
        <v>2.1999999999999999E-2</v>
      </c>
      <c r="Q9" s="4">
        <f t="shared" si="0"/>
        <v>1.854054054054054</v>
      </c>
      <c r="R9" s="4">
        <f t="shared" si="5"/>
        <v>2.8297297297297295</v>
      </c>
      <c r="S9" s="4">
        <f t="shared" si="1"/>
        <v>12.16216216216216</v>
      </c>
      <c r="T9" s="4">
        <f t="shared" si="2"/>
        <v>2.0270270270270272</v>
      </c>
      <c r="U9" s="1">
        <f t="shared" si="3"/>
        <v>4.5066079295154191</v>
      </c>
      <c r="V9" s="3">
        <f t="shared" si="4"/>
        <v>0.98280802292263625</v>
      </c>
    </row>
    <row r="10" spans="1:22" x14ac:dyDescent="0.3">
      <c r="A10" s="5">
        <v>9</v>
      </c>
      <c r="B10" s="5">
        <v>21</v>
      </c>
      <c r="C10" s="5">
        <v>663</v>
      </c>
      <c r="D10" s="5">
        <v>11</v>
      </c>
      <c r="E10" s="5">
        <v>75</v>
      </c>
      <c r="F10" s="6">
        <v>9.6999999999999993</v>
      </c>
      <c r="G10" s="6">
        <v>0.83</v>
      </c>
      <c r="H10" s="6">
        <v>2.8000000000000001E-2</v>
      </c>
      <c r="I10" s="6">
        <v>0.20100000000000001</v>
      </c>
      <c r="J10" s="6">
        <v>3.1E-2</v>
      </c>
      <c r="K10" s="6">
        <v>0.182</v>
      </c>
      <c r="L10" s="6">
        <v>6.0999999999999999E-2</v>
      </c>
      <c r="M10" s="6">
        <v>4.2000000000000003E-2</v>
      </c>
      <c r="N10" s="6">
        <v>2.7E-2</v>
      </c>
      <c r="O10" s="6">
        <v>0</v>
      </c>
      <c r="P10" s="6">
        <v>0</v>
      </c>
      <c r="Q10" s="6">
        <f t="shared" si="0"/>
        <v>3.6545454545454548</v>
      </c>
      <c r="R10" s="6">
        <f t="shared" si="5"/>
        <v>4.9636363636363638</v>
      </c>
      <c r="S10" s="6">
        <f t="shared" si="1"/>
        <v>11.818181818181827</v>
      </c>
      <c r="T10" s="6">
        <f t="shared" si="2"/>
        <v>6.8181818181818183</v>
      </c>
      <c r="U10" s="7">
        <f t="shared" si="3"/>
        <v>3.1614730878186972</v>
      </c>
      <c r="V10" s="8">
        <f t="shared" si="4"/>
        <v>1.1043956043956045</v>
      </c>
    </row>
    <row r="11" spans="1:22" x14ac:dyDescent="0.3">
      <c r="A11" s="2">
        <v>10</v>
      </c>
      <c r="B11" s="2">
        <v>21</v>
      </c>
      <c r="C11" s="2">
        <v>663</v>
      </c>
      <c r="D11" s="2">
        <v>22</v>
      </c>
      <c r="E11" s="2">
        <v>75</v>
      </c>
      <c r="F11" s="4">
        <v>19.100000000000001</v>
      </c>
      <c r="G11" s="4">
        <v>1.51</v>
      </c>
      <c r="H11" s="4">
        <v>0.01</v>
      </c>
      <c r="I11" s="4">
        <v>0.26</v>
      </c>
      <c r="J11" s="4">
        <v>3.4000000000000002E-2</v>
      </c>
      <c r="K11" s="4">
        <v>0.26</v>
      </c>
      <c r="L11" s="4">
        <v>7.4999999999999997E-2</v>
      </c>
      <c r="M11" s="4">
        <v>4.5999999999999999E-2</v>
      </c>
      <c r="N11" s="4">
        <v>1.9E-2</v>
      </c>
      <c r="O11" s="4">
        <v>2E-3</v>
      </c>
      <c r="P11" s="4">
        <v>2.7E-2</v>
      </c>
      <c r="Q11" s="4">
        <f t="shared" si="0"/>
        <v>2.3636363636363638</v>
      </c>
      <c r="R11" s="4">
        <f t="shared" si="5"/>
        <v>3.5454545454545454</v>
      </c>
      <c r="S11" s="4">
        <f t="shared" si="1"/>
        <v>13.181818181818173</v>
      </c>
      <c r="T11" s="4">
        <f t="shared" si="2"/>
        <v>3.4090909090909092</v>
      </c>
      <c r="U11" s="1">
        <f t="shared" si="3"/>
        <v>2.9642857142857144</v>
      </c>
      <c r="V11" s="3">
        <f t="shared" si="4"/>
        <v>1</v>
      </c>
    </row>
    <row r="12" spans="1:22" x14ac:dyDescent="0.3">
      <c r="A12" s="2">
        <v>11</v>
      </c>
      <c r="B12" s="2">
        <v>21</v>
      </c>
      <c r="C12" s="2">
        <v>693</v>
      </c>
      <c r="D12" s="2">
        <v>22</v>
      </c>
      <c r="E12" s="2">
        <v>75</v>
      </c>
      <c r="F12" s="4">
        <v>18.399999999999999</v>
      </c>
      <c r="G12" s="4">
        <v>1.82</v>
      </c>
      <c r="H12" s="4">
        <v>1.7000000000000001E-2</v>
      </c>
      <c r="I12" s="4">
        <v>0.29499999999999998</v>
      </c>
      <c r="J12" s="4">
        <v>9.1999999999999998E-2</v>
      </c>
      <c r="K12" s="4">
        <v>0.23599999999999999</v>
      </c>
      <c r="L12" s="4">
        <v>0.14599999999999999</v>
      </c>
      <c r="M12" s="4">
        <v>7.4999999999999997E-2</v>
      </c>
      <c r="N12" s="4">
        <v>3.1E-2</v>
      </c>
      <c r="O12" s="4">
        <v>3.0000000000000001E-3</v>
      </c>
      <c r="P12" s="4">
        <v>2.7E-2</v>
      </c>
      <c r="Q12" s="4">
        <f t="shared" si="0"/>
        <v>2.6818181818181817</v>
      </c>
      <c r="R12" s="4">
        <f t="shared" si="5"/>
        <v>3.2181818181818178</v>
      </c>
      <c r="S12" s="4">
        <f t="shared" si="1"/>
        <v>16.36363636363637</v>
      </c>
      <c r="T12" s="4">
        <f t="shared" si="2"/>
        <v>3.4090909090909092</v>
      </c>
      <c r="U12" s="1">
        <f t="shared" si="3"/>
        <v>1.830874006810443</v>
      </c>
      <c r="V12" s="3">
        <f t="shared" si="4"/>
        <v>1.25</v>
      </c>
    </row>
    <row r="13" spans="1:22" x14ac:dyDescent="0.3">
      <c r="A13" s="2">
        <v>12</v>
      </c>
      <c r="B13" s="2">
        <v>21</v>
      </c>
      <c r="C13" s="2">
        <v>693</v>
      </c>
      <c r="D13" s="2">
        <v>11</v>
      </c>
      <c r="E13" s="2">
        <v>37</v>
      </c>
      <c r="F13" s="4">
        <v>8.8000000000000007</v>
      </c>
      <c r="G13" s="4">
        <v>1.49</v>
      </c>
      <c r="H13" s="4">
        <v>6.8000000000000005E-2</v>
      </c>
      <c r="I13" s="4">
        <v>0.14499999999999999</v>
      </c>
      <c r="J13" s="4">
        <v>7.2999999999999995E-2</v>
      </c>
      <c r="K13" s="4">
        <v>0.14099999999999999</v>
      </c>
      <c r="L13" s="4">
        <v>0.16300000000000001</v>
      </c>
      <c r="M13" s="4">
        <v>2.1000000000000001E-2</v>
      </c>
      <c r="N13" s="4">
        <v>8.0000000000000002E-3</v>
      </c>
      <c r="O13" s="4">
        <v>0.02</v>
      </c>
      <c r="P13" s="4">
        <v>6.0000000000000001E-3</v>
      </c>
      <c r="Q13" s="4">
        <f t="shared" si="0"/>
        <v>2.6363636363636362</v>
      </c>
      <c r="R13" s="4">
        <f t="shared" si="5"/>
        <v>3.8454545454545448</v>
      </c>
      <c r="S13" s="4">
        <f t="shared" si="1"/>
        <v>19.999999999999996</v>
      </c>
      <c r="T13" s="4">
        <f t="shared" si="2"/>
        <v>3.3636363636363638</v>
      </c>
      <c r="U13" s="1">
        <f t="shared" si="3"/>
        <v>1.2869440459110468</v>
      </c>
      <c r="V13" s="3">
        <f t="shared" si="4"/>
        <v>1.0283687943262412</v>
      </c>
    </row>
    <row r="14" spans="1:22" x14ac:dyDescent="0.3">
      <c r="A14" s="2">
        <v>13</v>
      </c>
      <c r="B14" s="2">
        <v>21</v>
      </c>
      <c r="C14" s="2">
        <v>693</v>
      </c>
      <c r="D14" s="2">
        <v>37</v>
      </c>
      <c r="E14" s="2">
        <v>130</v>
      </c>
      <c r="F14" s="4">
        <v>31.9</v>
      </c>
      <c r="G14" s="4">
        <v>2.23</v>
      </c>
      <c r="H14" s="4">
        <v>5.2999999999999999E-2</v>
      </c>
      <c r="I14" s="4">
        <v>0.439</v>
      </c>
      <c r="J14" s="4">
        <v>0.13</v>
      </c>
      <c r="K14" s="4">
        <v>0.311</v>
      </c>
      <c r="L14" s="4">
        <v>0.16</v>
      </c>
      <c r="M14" s="4">
        <v>4.1000000000000002E-2</v>
      </c>
      <c r="N14" s="4">
        <v>3.5999999999999997E-2</v>
      </c>
      <c r="O14" s="4">
        <v>2E-3</v>
      </c>
      <c r="P14" s="4">
        <v>5.0000000000000001E-3</v>
      </c>
      <c r="Q14" s="4">
        <f t="shared" si="0"/>
        <v>2.3729729729729732</v>
      </c>
      <c r="R14" s="4">
        <f t="shared" si="5"/>
        <v>2.5216216216216218</v>
      </c>
      <c r="S14" s="4">
        <f t="shared" si="1"/>
        <v>13.783783783783788</v>
      </c>
      <c r="T14" s="4">
        <f t="shared" si="2"/>
        <v>3.5135135135135136</v>
      </c>
      <c r="U14" s="1">
        <f t="shared" si="3"/>
        <v>2.1837183718371835</v>
      </c>
      <c r="V14" s="3">
        <f t="shared" si="4"/>
        <v>1.4115755627009647</v>
      </c>
    </row>
    <row r="15" spans="1:22" x14ac:dyDescent="0.3">
      <c r="A15" s="2">
        <v>14</v>
      </c>
      <c r="B15" s="2">
        <v>21</v>
      </c>
      <c r="C15" s="2">
        <v>693</v>
      </c>
      <c r="D15" s="2">
        <v>22</v>
      </c>
      <c r="E15" s="2">
        <v>75</v>
      </c>
      <c r="F15" s="4">
        <v>18.600000000000001</v>
      </c>
      <c r="G15" s="4">
        <v>1.74</v>
      </c>
      <c r="H15" s="4">
        <v>4.8000000000000001E-2</v>
      </c>
      <c r="I15" s="4">
        <v>0.25600000000000001</v>
      </c>
      <c r="J15" s="4">
        <v>0.113</v>
      </c>
      <c r="K15" s="4">
        <v>0.19</v>
      </c>
      <c r="L15" s="4">
        <v>0.158</v>
      </c>
      <c r="M15" s="4">
        <v>4.8000000000000001E-2</v>
      </c>
      <c r="N15" s="4">
        <v>3.3000000000000002E-2</v>
      </c>
      <c r="O15" s="4">
        <v>3.0000000000000001E-3</v>
      </c>
      <c r="P15" s="4">
        <v>1.6000000000000001E-3</v>
      </c>
      <c r="Q15" s="4">
        <f t="shared" si="0"/>
        <v>2.3272727272727276</v>
      </c>
      <c r="R15" s="4">
        <f t="shared" si="5"/>
        <v>2.5909090909090913</v>
      </c>
      <c r="S15" s="4">
        <f t="shared" si="1"/>
        <v>15.454545454545443</v>
      </c>
      <c r="T15" s="4">
        <f t="shared" si="2"/>
        <v>3.4090909090909092</v>
      </c>
      <c r="U15" s="1">
        <f t="shared" si="3"/>
        <v>1.5345238095238094</v>
      </c>
      <c r="V15" s="3">
        <f t="shared" si="4"/>
        <v>1.3473684210526315</v>
      </c>
    </row>
    <row r="16" spans="1:22" x14ac:dyDescent="0.3">
      <c r="A16" s="2">
        <v>15</v>
      </c>
      <c r="B16" s="2">
        <v>21</v>
      </c>
      <c r="C16" s="2">
        <v>693</v>
      </c>
      <c r="D16" s="2">
        <v>22</v>
      </c>
      <c r="E16" s="2">
        <v>112</v>
      </c>
      <c r="F16" s="4">
        <v>18.600000000000001</v>
      </c>
      <c r="G16" s="4">
        <v>1.62</v>
      </c>
      <c r="H16" s="4">
        <v>0.104</v>
      </c>
      <c r="I16" s="4">
        <v>0.27500000000000002</v>
      </c>
      <c r="J16" s="4">
        <v>0.17599999999999999</v>
      </c>
      <c r="K16" s="4">
        <v>0.193</v>
      </c>
      <c r="L16" s="4">
        <v>0.20699999999999999</v>
      </c>
      <c r="M16" s="4">
        <v>2E-3</v>
      </c>
      <c r="N16" s="4">
        <v>6.3E-2</v>
      </c>
      <c r="O16" s="4">
        <v>5.0000000000000001E-3</v>
      </c>
      <c r="P16" s="4">
        <v>4.0000000000000001E-3</v>
      </c>
      <c r="Q16" s="4">
        <f t="shared" si="0"/>
        <v>2.5</v>
      </c>
      <c r="R16" s="4">
        <f t="shared" si="5"/>
        <v>2.6318181818181818</v>
      </c>
      <c r="S16" s="4">
        <f t="shared" si="1"/>
        <v>15.454545454545443</v>
      </c>
      <c r="T16" s="4">
        <f t="shared" si="2"/>
        <v>5.0909090909090908</v>
      </c>
      <c r="U16" s="1">
        <f t="shared" si="3"/>
        <v>0.93333333333333324</v>
      </c>
      <c r="V16" s="3">
        <f t="shared" si="4"/>
        <v>1.4248704663212437</v>
      </c>
    </row>
    <row r="17" spans="1:22" x14ac:dyDescent="0.3">
      <c r="A17" s="2">
        <v>16</v>
      </c>
      <c r="B17" s="2">
        <v>21</v>
      </c>
      <c r="C17" s="2">
        <v>693</v>
      </c>
      <c r="D17" s="2">
        <v>22</v>
      </c>
      <c r="E17" s="2">
        <v>45</v>
      </c>
      <c r="F17" s="4">
        <v>19.600000000000001</v>
      </c>
      <c r="G17" s="4">
        <v>1.53</v>
      </c>
      <c r="H17" s="4">
        <v>2.4E-2</v>
      </c>
      <c r="I17" s="4">
        <v>0.17799999999999999</v>
      </c>
      <c r="J17" s="4">
        <v>7.0000000000000007E-2</v>
      </c>
      <c r="K17" s="4">
        <v>0.13100000000000001</v>
      </c>
      <c r="L17" s="4">
        <v>0.106</v>
      </c>
      <c r="M17" s="4">
        <v>3.4000000000000002E-2</v>
      </c>
      <c r="N17" s="4">
        <v>2.3E-2</v>
      </c>
      <c r="O17" s="4">
        <v>3.0000000000000001E-3</v>
      </c>
      <c r="P17" s="4">
        <v>3.2000000000000001E-2</v>
      </c>
      <c r="Q17" s="4">
        <f t="shared" si="0"/>
        <v>1.6181818181818182</v>
      </c>
      <c r="R17" s="4">
        <f t="shared" si="5"/>
        <v>1.7863636363636364</v>
      </c>
      <c r="S17" s="4">
        <f t="shared" si="1"/>
        <v>10.909090909090901</v>
      </c>
      <c r="T17" s="4">
        <f t="shared" si="2"/>
        <v>2.0454545454545454</v>
      </c>
      <c r="U17" s="1">
        <f t="shared" si="3"/>
        <v>1.2676056338028168</v>
      </c>
      <c r="V17" s="3">
        <f t="shared" si="4"/>
        <v>1.3587786259541983</v>
      </c>
    </row>
    <row r="18" spans="1:22" x14ac:dyDescent="0.3">
      <c r="A18" s="2">
        <v>17</v>
      </c>
      <c r="B18" s="2">
        <v>21</v>
      </c>
      <c r="C18" s="2">
        <v>693</v>
      </c>
      <c r="D18" s="2">
        <v>22</v>
      </c>
      <c r="E18" s="2">
        <v>75</v>
      </c>
      <c r="F18" s="4">
        <v>18.7</v>
      </c>
      <c r="G18" s="4">
        <v>1.68</v>
      </c>
      <c r="H18" s="4">
        <v>8.7999999999999995E-2</v>
      </c>
      <c r="I18" s="4">
        <v>0.24099999999999999</v>
      </c>
      <c r="J18" s="4">
        <v>0.12</v>
      </c>
      <c r="K18" s="4">
        <v>0.17199999999999999</v>
      </c>
      <c r="L18" s="4">
        <v>0.158</v>
      </c>
      <c r="M18" s="4">
        <v>3.0000000000000001E-3</v>
      </c>
      <c r="N18" s="4">
        <v>4.4999999999999998E-2</v>
      </c>
      <c r="O18" s="4">
        <v>0</v>
      </c>
      <c r="P18" s="4">
        <v>0</v>
      </c>
      <c r="Q18" s="4">
        <f t="shared" si="0"/>
        <v>2.1909090909090909</v>
      </c>
      <c r="R18" s="4">
        <f t="shared" si="5"/>
        <v>2.3454545454545452</v>
      </c>
      <c r="S18" s="4">
        <f t="shared" si="1"/>
        <v>15.000000000000002</v>
      </c>
      <c r="T18" s="4">
        <f t="shared" si="2"/>
        <v>3.4090909090909092</v>
      </c>
      <c r="U18" s="1">
        <f t="shared" si="3"/>
        <v>1.1297539149888145</v>
      </c>
      <c r="V18" s="3">
        <f t="shared" si="4"/>
        <v>1.4011627906976745</v>
      </c>
    </row>
    <row r="19" spans="1:22" x14ac:dyDescent="0.3">
      <c r="A19" s="2">
        <v>18</v>
      </c>
      <c r="B19" s="2">
        <v>21</v>
      </c>
      <c r="C19" s="2">
        <v>693</v>
      </c>
      <c r="D19" s="2">
        <v>37</v>
      </c>
      <c r="E19" s="2">
        <v>75</v>
      </c>
      <c r="F19" s="4">
        <v>31.8</v>
      </c>
      <c r="G19" s="4">
        <v>2.62</v>
      </c>
      <c r="H19" s="4">
        <v>0.06</v>
      </c>
      <c r="I19" s="4">
        <v>0.33</v>
      </c>
      <c r="J19" s="4">
        <v>0.108</v>
      </c>
      <c r="K19" s="4">
        <v>0.26</v>
      </c>
      <c r="L19" s="4">
        <v>0.18</v>
      </c>
      <c r="M19" s="4">
        <v>2.5000000000000001E-2</v>
      </c>
      <c r="N19" s="4">
        <v>2.1999999999999999E-2</v>
      </c>
      <c r="O19" s="4">
        <v>5.0000000000000001E-3</v>
      </c>
      <c r="P19" s="4">
        <v>1.4999999999999999E-2</v>
      </c>
      <c r="Q19" s="4">
        <f t="shared" si="0"/>
        <v>1.783783783783784</v>
      </c>
      <c r="R19" s="4">
        <f t="shared" si="5"/>
        <v>2.1081081081081079</v>
      </c>
      <c r="S19" s="4">
        <f t="shared" si="1"/>
        <v>14.054054054054054</v>
      </c>
      <c r="T19" s="4">
        <f t="shared" si="2"/>
        <v>2.0270270270270272</v>
      </c>
      <c r="U19" s="1">
        <f t="shared" si="3"/>
        <v>1.7029379760609358</v>
      </c>
      <c r="V19" s="3">
        <f t="shared" si="4"/>
        <v>1.2692307692307692</v>
      </c>
    </row>
    <row r="20" spans="1:22" x14ac:dyDescent="0.3">
      <c r="A20" s="2">
        <v>19</v>
      </c>
      <c r="B20" s="2">
        <v>21</v>
      </c>
      <c r="C20" s="2">
        <v>693</v>
      </c>
      <c r="D20" s="2">
        <v>11</v>
      </c>
      <c r="E20" s="2">
        <v>75</v>
      </c>
      <c r="F20" s="4">
        <v>9.6</v>
      </c>
      <c r="G20" s="4">
        <v>0.86</v>
      </c>
      <c r="H20" s="4">
        <v>0.104</v>
      </c>
      <c r="I20" s="4">
        <v>0.13600000000000001</v>
      </c>
      <c r="J20" s="4">
        <v>0.14099999999999999</v>
      </c>
      <c r="K20" s="4">
        <v>8.5999999999999993E-2</v>
      </c>
      <c r="L20" s="4">
        <v>0.13</v>
      </c>
      <c r="M20" s="4">
        <v>3.0000000000000001E-3</v>
      </c>
      <c r="N20" s="4">
        <v>2.7E-2</v>
      </c>
      <c r="O20" s="4">
        <v>0</v>
      </c>
      <c r="P20" s="4">
        <v>0</v>
      </c>
      <c r="Q20" s="4">
        <f t="shared" si="0"/>
        <v>2.4727272727272731</v>
      </c>
      <c r="R20" s="4">
        <f t="shared" si="5"/>
        <v>2.3454545454545452</v>
      </c>
      <c r="S20" s="4">
        <f t="shared" si="1"/>
        <v>12.727272727272732</v>
      </c>
      <c r="T20" s="4">
        <f t="shared" si="2"/>
        <v>6.8181818181818183</v>
      </c>
      <c r="U20" s="1">
        <f t="shared" si="3"/>
        <v>0.69487179487179496</v>
      </c>
      <c r="V20" s="3">
        <f t="shared" si="4"/>
        <v>1.5813953488372094</v>
      </c>
    </row>
    <row r="21" spans="1:22" x14ac:dyDescent="0.3">
      <c r="A21" s="2">
        <v>20</v>
      </c>
      <c r="B21" s="2">
        <v>21</v>
      </c>
      <c r="C21" s="2">
        <v>693</v>
      </c>
      <c r="D21" s="2">
        <v>22</v>
      </c>
      <c r="E21" s="2">
        <v>75</v>
      </c>
      <c r="F21" s="4">
        <v>18.8</v>
      </c>
      <c r="G21" s="4">
        <v>1.64</v>
      </c>
      <c r="H21" s="4">
        <v>0.04</v>
      </c>
      <c r="I21" s="4">
        <v>0.19700000000000001</v>
      </c>
      <c r="J21" s="4">
        <v>0.152</v>
      </c>
      <c r="K21" s="4">
        <v>0.13500000000000001</v>
      </c>
      <c r="L21" s="4">
        <v>0.17699999999999999</v>
      </c>
      <c r="M21" s="4">
        <v>3.1E-2</v>
      </c>
      <c r="N21" s="4">
        <v>2.1999999999999999E-2</v>
      </c>
      <c r="O21" s="4">
        <v>2E-3</v>
      </c>
      <c r="P21" s="4">
        <v>4.2999999999999997E-2</v>
      </c>
      <c r="Q21" s="4">
        <f t="shared" si="0"/>
        <v>1.790909090909091</v>
      </c>
      <c r="R21" s="4">
        <f t="shared" si="5"/>
        <v>1.8409090909090911</v>
      </c>
      <c r="S21" s="4">
        <f t="shared" si="1"/>
        <v>14.54545454545454</v>
      </c>
      <c r="T21" s="4">
        <f t="shared" si="2"/>
        <v>3.4090909090909092</v>
      </c>
      <c r="U21" s="1">
        <f t="shared" si="3"/>
        <v>0.81985940246045708</v>
      </c>
      <c r="V21" s="3">
        <f t="shared" si="4"/>
        <v>1.4592592592592593</v>
      </c>
    </row>
    <row r="22" spans="1:22" x14ac:dyDescent="0.3">
      <c r="A22" s="2">
        <v>21</v>
      </c>
      <c r="B22" s="2">
        <v>21</v>
      </c>
      <c r="C22" s="2">
        <v>663</v>
      </c>
      <c r="D22" s="2">
        <v>22</v>
      </c>
      <c r="E22" s="2">
        <v>75</v>
      </c>
      <c r="F22" s="4">
        <v>19.2</v>
      </c>
      <c r="G22" s="4">
        <v>1.43</v>
      </c>
      <c r="H22" s="4">
        <v>4.2999999999999997E-2</v>
      </c>
      <c r="I22" s="4">
        <v>0.21099999999999999</v>
      </c>
      <c r="J22" s="4">
        <v>5.3999999999999999E-2</v>
      </c>
      <c r="K22" s="4">
        <v>0.23400000000000001</v>
      </c>
      <c r="L22" s="4">
        <v>0.10100000000000001</v>
      </c>
      <c r="M22" s="4">
        <v>6.0999999999999999E-2</v>
      </c>
      <c r="N22" s="4">
        <v>1.2999999999999999E-2</v>
      </c>
      <c r="O22" s="4">
        <v>2E-3</v>
      </c>
      <c r="P22" s="4">
        <v>2.5000000000000001E-2</v>
      </c>
      <c r="Q22" s="4">
        <f t="shared" si="0"/>
        <v>1.9181818181818182</v>
      </c>
      <c r="R22" s="4">
        <f t="shared" si="5"/>
        <v>3.1909090909090914</v>
      </c>
      <c r="S22" s="4">
        <f t="shared" si="1"/>
        <v>12.727272727272732</v>
      </c>
      <c r="T22" s="4">
        <f t="shared" si="2"/>
        <v>3.4090909090909092</v>
      </c>
      <c r="U22" s="1">
        <f t="shared" si="3"/>
        <v>2.3435374149659864</v>
      </c>
      <c r="V22" s="3">
        <f t="shared" si="4"/>
        <v>0.90170940170940161</v>
      </c>
    </row>
    <row r="23" spans="1:22" x14ac:dyDescent="0.3">
      <c r="A23" s="2">
        <v>22</v>
      </c>
      <c r="B23" s="2">
        <v>21</v>
      </c>
      <c r="C23" s="2">
        <v>663</v>
      </c>
      <c r="D23" s="2">
        <v>37</v>
      </c>
      <c r="E23" s="2">
        <v>75</v>
      </c>
      <c r="F23" s="4">
        <v>32.9</v>
      </c>
      <c r="G23" s="4">
        <v>2.09</v>
      </c>
      <c r="H23" s="4">
        <v>4.2000000000000003E-2</v>
      </c>
      <c r="I23" s="4">
        <v>0.26600000000000001</v>
      </c>
      <c r="J23" s="4">
        <v>5.6000000000000001E-2</v>
      </c>
      <c r="K23" s="4">
        <v>0.30499999999999999</v>
      </c>
      <c r="L23" s="4">
        <v>0.109</v>
      </c>
      <c r="M23" s="4">
        <v>8.5000000000000006E-2</v>
      </c>
      <c r="N23" s="4">
        <v>1.7999999999999999E-2</v>
      </c>
      <c r="O23" s="4">
        <v>7.0000000000000001E-3</v>
      </c>
      <c r="P23" s="4">
        <v>3.6999999999999998E-2</v>
      </c>
      <c r="Q23" s="4">
        <f t="shared" si="0"/>
        <v>1.437837837837838</v>
      </c>
      <c r="R23" s="4">
        <f t="shared" si="5"/>
        <v>2.4729729729729732</v>
      </c>
      <c r="S23" s="4">
        <f t="shared" si="1"/>
        <v>11.08108108108109</v>
      </c>
      <c r="T23" s="4">
        <f t="shared" si="2"/>
        <v>2.0270270270270272</v>
      </c>
      <c r="U23" s="1">
        <f t="shared" si="3"/>
        <v>2.6178160919540234</v>
      </c>
      <c r="V23" s="3">
        <f t="shared" si="4"/>
        <v>0.87213114754098364</v>
      </c>
    </row>
    <row r="24" spans="1:22" x14ac:dyDescent="0.3">
      <c r="A24" s="2">
        <v>23</v>
      </c>
      <c r="B24" s="2">
        <v>21</v>
      </c>
      <c r="C24" s="2">
        <v>663</v>
      </c>
      <c r="D24" s="2">
        <v>11</v>
      </c>
      <c r="E24" s="2">
        <v>75</v>
      </c>
      <c r="F24" s="4">
        <v>9.8000000000000007</v>
      </c>
      <c r="G24" s="4">
        <v>0.79</v>
      </c>
      <c r="H24" s="4">
        <v>5.7000000000000002E-2</v>
      </c>
      <c r="I24" s="4">
        <v>0.154</v>
      </c>
      <c r="J24" s="4">
        <v>5.5E-2</v>
      </c>
      <c r="K24" s="4">
        <v>0.159</v>
      </c>
      <c r="L24" s="4">
        <v>8.8999999999999996E-2</v>
      </c>
      <c r="M24" s="4">
        <v>3.6999999999999998E-2</v>
      </c>
      <c r="N24" s="4">
        <v>1.2E-2</v>
      </c>
      <c r="O24" s="4">
        <v>0</v>
      </c>
      <c r="P24" s="4">
        <v>1.2999999999999999E-2</v>
      </c>
      <c r="Q24" s="4">
        <f t="shared" si="0"/>
        <v>2.8000000000000003</v>
      </c>
      <c r="R24" s="4">
        <f t="shared" si="5"/>
        <v>4.336363636363636</v>
      </c>
      <c r="S24" s="4">
        <f t="shared" si="1"/>
        <v>10.909090909090901</v>
      </c>
      <c r="T24" s="4">
        <f t="shared" si="2"/>
        <v>6.8181818181818183</v>
      </c>
      <c r="U24" s="1">
        <f t="shared" si="3"/>
        <v>1.9040816326530612</v>
      </c>
      <c r="V24" s="3">
        <f t="shared" si="4"/>
        <v>0.96855345911949686</v>
      </c>
    </row>
    <row r="25" spans="1:22" x14ac:dyDescent="0.3">
      <c r="A25" s="2">
        <v>24</v>
      </c>
      <c r="B25" s="2">
        <v>21</v>
      </c>
      <c r="C25" s="2">
        <v>663</v>
      </c>
      <c r="D25" s="2">
        <v>22</v>
      </c>
      <c r="E25" s="2">
        <v>75</v>
      </c>
      <c r="F25" s="4">
        <v>19.2</v>
      </c>
      <c r="G25" s="4">
        <v>1.41</v>
      </c>
      <c r="H25" s="4">
        <v>5.2999999999999999E-2</v>
      </c>
      <c r="I25" s="4">
        <v>0.19900000000000001</v>
      </c>
      <c r="J25" s="4">
        <v>5.7000000000000002E-2</v>
      </c>
      <c r="K25" s="4">
        <v>0.22500000000000001</v>
      </c>
      <c r="L25" s="4">
        <v>0.109</v>
      </c>
      <c r="M25" s="4">
        <v>5.8999999999999997E-2</v>
      </c>
      <c r="N25" s="4">
        <v>1.7000000000000001E-2</v>
      </c>
      <c r="O25" s="4">
        <v>3.0000000000000001E-3</v>
      </c>
      <c r="P25" s="4">
        <v>2.1999999999999999E-2</v>
      </c>
      <c r="Q25" s="4">
        <f t="shared" si="0"/>
        <v>1.8090909090909091</v>
      </c>
      <c r="R25" s="4">
        <f t="shared" si="5"/>
        <v>3.0681818181818183</v>
      </c>
      <c r="S25" s="4">
        <f t="shared" si="1"/>
        <v>12.727272727272732</v>
      </c>
      <c r="T25" s="4">
        <f t="shared" si="2"/>
        <v>3.4090909090909092</v>
      </c>
      <c r="U25" s="1">
        <f t="shared" si="3"/>
        <v>2.1389337641357025</v>
      </c>
      <c r="V25" s="3">
        <f t="shared" si="4"/>
        <v>0.88444444444444448</v>
      </c>
    </row>
    <row r="26" spans="1:22" x14ac:dyDescent="0.3">
      <c r="A26" s="2">
        <v>25</v>
      </c>
      <c r="B26" s="2">
        <v>21</v>
      </c>
      <c r="C26" s="2">
        <v>693</v>
      </c>
      <c r="D26" s="2">
        <v>22</v>
      </c>
      <c r="E26" s="2">
        <v>75</v>
      </c>
      <c r="F26" s="4">
        <v>18.3</v>
      </c>
      <c r="G26" s="4">
        <v>1.87</v>
      </c>
      <c r="H26" s="4">
        <v>7.9000000000000001E-2</v>
      </c>
      <c r="I26" s="4">
        <v>0.224</v>
      </c>
      <c r="J26" s="4">
        <v>0.111</v>
      </c>
      <c r="K26" s="4">
        <v>0.221</v>
      </c>
      <c r="L26" s="4">
        <v>0.22</v>
      </c>
      <c r="M26" s="4">
        <v>7.2999999999999995E-2</v>
      </c>
      <c r="N26" s="4">
        <v>1.7000000000000001E-2</v>
      </c>
      <c r="O26" s="4">
        <v>8.0000000000000002E-3</v>
      </c>
      <c r="P26" s="4">
        <v>3.3000000000000002E-2</v>
      </c>
      <c r="Q26" s="4">
        <f t="shared" si="0"/>
        <v>2.0363636363636366</v>
      </c>
      <c r="R26" s="4">
        <f t="shared" si="5"/>
        <v>3.0136363636363637</v>
      </c>
      <c r="S26" s="4">
        <f t="shared" si="1"/>
        <v>16.818181818181809</v>
      </c>
      <c r="T26" s="4">
        <f t="shared" si="2"/>
        <v>3.4090909090909092</v>
      </c>
      <c r="U26" s="1">
        <f t="shared" si="3"/>
        <v>1.294170403587444</v>
      </c>
      <c r="V26" s="3">
        <f t="shared" si="4"/>
        <v>1.0135746606334841</v>
      </c>
    </row>
    <row r="27" spans="1:22" x14ac:dyDescent="0.3">
      <c r="A27" s="2">
        <v>26</v>
      </c>
      <c r="B27" s="2">
        <v>21</v>
      </c>
      <c r="C27" s="2">
        <v>693</v>
      </c>
      <c r="D27" s="2">
        <v>11</v>
      </c>
      <c r="E27" s="2">
        <v>37</v>
      </c>
      <c r="F27" s="4">
        <v>8.6999999999999993</v>
      </c>
      <c r="G27" s="4">
        <v>1.51</v>
      </c>
      <c r="H27" s="4">
        <v>9.4E-2</v>
      </c>
      <c r="I27" s="4">
        <v>8.6999999999999994E-2</v>
      </c>
      <c r="J27" s="4">
        <v>8.8999999999999996E-2</v>
      </c>
      <c r="K27" s="4">
        <v>0.105</v>
      </c>
      <c r="L27" s="4">
        <v>0.24099999999999999</v>
      </c>
      <c r="M27" s="4">
        <v>4.1000000000000002E-2</v>
      </c>
      <c r="N27" s="4">
        <v>2.1999999999999999E-2</v>
      </c>
      <c r="O27" s="4">
        <v>4.0000000000000001E-3</v>
      </c>
      <c r="P27" s="4">
        <v>1.9E-2</v>
      </c>
      <c r="Q27" s="4">
        <f t="shared" si="0"/>
        <v>1.5818181818181818</v>
      </c>
      <c r="R27" s="4">
        <f t="shared" si="5"/>
        <v>2.8636363636363638</v>
      </c>
      <c r="S27" s="4">
        <f t="shared" si="1"/>
        <v>20.90909090909091</v>
      </c>
      <c r="T27" s="4">
        <f t="shared" si="2"/>
        <v>3.3636363636363638</v>
      </c>
      <c r="U27" s="1">
        <f t="shared" si="3"/>
        <v>0.62084870848708484</v>
      </c>
      <c r="V27" s="3">
        <f t="shared" si="4"/>
        <v>0.82857142857142851</v>
      </c>
    </row>
    <row r="28" spans="1:22" x14ac:dyDescent="0.3">
      <c r="A28" s="2">
        <v>27</v>
      </c>
      <c r="B28" s="2">
        <v>21</v>
      </c>
      <c r="C28" s="2">
        <v>693</v>
      </c>
      <c r="D28" s="2">
        <v>37</v>
      </c>
      <c r="E28" s="2">
        <v>130</v>
      </c>
      <c r="F28" s="4">
        <v>31.6</v>
      </c>
      <c r="G28" s="4">
        <v>2.29</v>
      </c>
      <c r="H28" s="4">
        <v>6.7000000000000004E-2</v>
      </c>
      <c r="I28" s="4">
        <v>0.38600000000000001</v>
      </c>
      <c r="J28" s="4">
        <v>0.14299999999999999</v>
      </c>
      <c r="K28" s="4">
        <v>0.33</v>
      </c>
      <c r="L28" s="4">
        <v>0.23</v>
      </c>
      <c r="M28" s="4">
        <v>6.0999999999999999E-2</v>
      </c>
      <c r="N28" s="4">
        <v>2.9000000000000001E-2</v>
      </c>
      <c r="O28" s="4">
        <v>8.9999999999999993E-3</v>
      </c>
      <c r="P28" s="4">
        <v>4.3999999999999997E-2</v>
      </c>
      <c r="Q28" s="4">
        <f t="shared" si="0"/>
        <v>2.0864864864864865</v>
      </c>
      <c r="R28" s="4">
        <f t="shared" si="5"/>
        <v>2.6756756756756759</v>
      </c>
      <c r="S28" s="4">
        <f t="shared" si="1"/>
        <v>14.594594594594589</v>
      </c>
      <c r="T28" s="4">
        <f t="shared" si="2"/>
        <v>3.5135135135135136</v>
      </c>
      <c r="U28" s="1">
        <f t="shared" si="3"/>
        <v>1.5632621951219512</v>
      </c>
      <c r="V28" s="3">
        <f t="shared" si="4"/>
        <v>1.1696969696969697</v>
      </c>
    </row>
    <row r="29" spans="1:22" x14ac:dyDescent="0.3">
      <c r="A29" s="2">
        <v>28</v>
      </c>
      <c r="B29" s="2">
        <v>21</v>
      </c>
      <c r="C29" s="2">
        <v>693</v>
      </c>
      <c r="D29" s="2">
        <v>22</v>
      </c>
      <c r="E29" s="2">
        <v>75</v>
      </c>
      <c r="F29" s="4">
        <v>18.399999999999999</v>
      </c>
      <c r="G29" s="4">
        <v>1.79</v>
      </c>
      <c r="H29" s="4">
        <v>8.1000000000000003E-2</v>
      </c>
      <c r="I29" s="4">
        <v>0.19700000000000001</v>
      </c>
      <c r="J29" s="4">
        <v>0.122</v>
      </c>
      <c r="K29" s="4">
        <v>0.188</v>
      </c>
      <c r="L29" s="4">
        <v>0.23100000000000001</v>
      </c>
      <c r="M29" s="4">
        <v>6.2E-2</v>
      </c>
      <c r="N29" s="4">
        <v>2.4E-2</v>
      </c>
      <c r="O29" s="4">
        <v>5.0000000000000001E-3</v>
      </c>
      <c r="P29" s="4">
        <v>2.3E-2</v>
      </c>
      <c r="Q29" s="4">
        <f t="shared" si="0"/>
        <v>1.790909090909091</v>
      </c>
      <c r="R29" s="4">
        <f t="shared" si="5"/>
        <v>2.5636363636363639</v>
      </c>
      <c r="S29" s="4">
        <f t="shared" si="1"/>
        <v>16.36363636363637</v>
      </c>
      <c r="T29" s="4">
        <f t="shared" si="2"/>
        <v>3.4090909090909092</v>
      </c>
      <c r="U29" s="1">
        <f t="shared" si="3"/>
        <v>1.0722996515679439</v>
      </c>
      <c r="V29" s="3">
        <f t="shared" si="4"/>
        <v>1.0478723404255319</v>
      </c>
    </row>
    <row r="30" spans="1:22" x14ac:dyDescent="0.3">
      <c r="A30" s="2">
        <v>29</v>
      </c>
      <c r="B30" s="2">
        <v>21</v>
      </c>
      <c r="C30" s="2">
        <v>693</v>
      </c>
      <c r="D30" s="2">
        <v>22</v>
      </c>
      <c r="E30" s="2">
        <v>112</v>
      </c>
      <c r="F30" s="4">
        <v>18.399999999999999</v>
      </c>
      <c r="G30" s="4">
        <v>1.64</v>
      </c>
      <c r="H30" s="4">
        <v>0.10199999999999999</v>
      </c>
      <c r="I30" s="4">
        <v>0.23100000000000001</v>
      </c>
      <c r="J30" s="4">
        <v>0.18</v>
      </c>
      <c r="K30" s="4">
        <v>0.20200000000000001</v>
      </c>
      <c r="L30" s="4">
        <v>0.27700000000000002</v>
      </c>
      <c r="M30" s="4">
        <v>5.6000000000000001E-2</v>
      </c>
      <c r="N30" s="4">
        <v>4.2000000000000003E-2</v>
      </c>
      <c r="O30" s="4">
        <v>6.0000000000000001E-3</v>
      </c>
      <c r="P30" s="4">
        <v>0.02</v>
      </c>
      <c r="Q30" s="4">
        <f t="shared" si="0"/>
        <v>2.1</v>
      </c>
      <c r="R30" s="4">
        <f t="shared" si="5"/>
        <v>2.7545454545454549</v>
      </c>
      <c r="S30" s="4">
        <f t="shared" si="1"/>
        <v>16.36363636363637</v>
      </c>
      <c r="T30" s="4">
        <f t="shared" si="2"/>
        <v>5.0909090909090908</v>
      </c>
      <c r="U30" s="1">
        <f t="shared" si="3"/>
        <v>0.90610006854009595</v>
      </c>
      <c r="V30" s="3">
        <f t="shared" si="4"/>
        <v>1.1435643564356435</v>
      </c>
    </row>
    <row r="31" spans="1:22" x14ac:dyDescent="0.3">
      <c r="A31" s="2">
        <v>30</v>
      </c>
      <c r="B31" s="2">
        <v>21</v>
      </c>
      <c r="C31" s="2">
        <v>693</v>
      </c>
      <c r="D31" s="2">
        <v>22</v>
      </c>
      <c r="E31" s="2">
        <v>45</v>
      </c>
      <c r="F31" s="4">
        <v>19.3</v>
      </c>
      <c r="G31" s="4">
        <v>1.59</v>
      </c>
      <c r="H31" s="4">
        <v>5.5E-2</v>
      </c>
      <c r="I31" s="4">
        <v>0.13300000000000001</v>
      </c>
      <c r="J31" s="4">
        <v>7.5999999999999998E-2</v>
      </c>
      <c r="K31" s="4">
        <v>0.126</v>
      </c>
      <c r="L31" s="4">
        <v>0.16700000000000001</v>
      </c>
      <c r="M31" s="4">
        <v>4.8000000000000001E-2</v>
      </c>
      <c r="N31" s="4">
        <v>1.2E-2</v>
      </c>
      <c r="O31" s="4">
        <v>4.0000000000000001E-3</v>
      </c>
      <c r="P31" s="4">
        <v>1.4E-2</v>
      </c>
      <c r="Q31" s="4">
        <f t="shared" si="0"/>
        <v>1.2090909090909092</v>
      </c>
      <c r="R31" s="4">
        <f t="shared" si="5"/>
        <v>1.7181818181818183</v>
      </c>
      <c r="S31" s="4">
        <f t="shared" si="1"/>
        <v>12.272727272727268</v>
      </c>
      <c r="T31" s="4">
        <f t="shared" si="2"/>
        <v>2.0454545454545454</v>
      </c>
      <c r="U31" s="1">
        <f t="shared" si="3"/>
        <v>1.1102464332036315</v>
      </c>
      <c r="V31" s="3">
        <f t="shared" si="4"/>
        <v>1.0555555555555556</v>
      </c>
    </row>
    <row r="32" spans="1:22" x14ac:dyDescent="0.3">
      <c r="A32" s="2">
        <v>31</v>
      </c>
      <c r="B32" s="2">
        <v>21</v>
      </c>
      <c r="C32" s="2">
        <v>693</v>
      </c>
      <c r="D32" s="2">
        <v>22</v>
      </c>
      <c r="E32" s="2">
        <v>75</v>
      </c>
      <c r="F32" s="4">
        <v>18.5</v>
      </c>
      <c r="G32" s="4">
        <v>1.73</v>
      </c>
      <c r="H32" s="4">
        <v>8.5000000000000006E-2</v>
      </c>
      <c r="I32" s="4">
        <v>0.185</v>
      </c>
      <c r="J32" s="4">
        <v>0.129</v>
      </c>
      <c r="K32" s="4">
        <v>0.17199999999999999</v>
      </c>
      <c r="L32" s="4">
        <v>0.23</v>
      </c>
      <c r="M32" s="4">
        <v>6.2E-2</v>
      </c>
      <c r="N32" s="4">
        <v>3.1E-2</v>
      </c>
      <c r="O32" s="4">
        <v>4.0000000000000001E-3</v>
      </c>
      <c r="P32" s="4">
        <v>2.1999999999999999E-2</v>
      </c>
      <c r="Q32" s="4">
        <f t="shared" si="0"/>
        <v>1.6818181818181819</v>
      </c>
      <c r="R32" s="4">
        <f t="shared" si="5"/>
        <v>2.3454545454545452</v>
      </c>
      <c r="S32" s="4">
        <f t="shared" si="1"/>
        <v>15.909090909090907</v>
      </c>
      <c r="T32" s="4">
        <f t="shared" si="2"/>
        <v>3.4090909090909092</v>
      </c>
      <c r="U32" s="1">
        <f t="shared" si="3"/>
        <v>0.97631133671742809</v>
      </c>
      <c r="V32" s="3">
        <f t="shared" si="4"/>
        <v>1.0755813953488373</v>
      </c>
    </row>
    <row r="33" spans="1:22" x14ac:dyDescent="0.3">
      <c r="A33" s="2">
        <v>32</v>
      </c>
      <c r="B33" s="2">
        <v>21</v>
      </c>
      <c r="C33" s="2">
        <v>693</v>
      </c>
      <c r="D33" s="2">
        <v>37</v>
      </c>
      <c r="E33" s="2">
        <v>75</v>
      </c>
      <c r="F33" s="4">
        <v>31.2</v>
      </c>
      <c r="G33" s="4">
        <v>2.65</v>
      </c>
      <c r="H33" s="4">
        <v>8.4000000000000005E-2</v>
      </c>
      <c r="I33" s="4">
        <v>0.245</v>
      </c>
      <c r="J33" s="4">
        <v>0.125</v>
      </c>
      <c r="K33" s="4">
        <v>0.25</v>
      </c>
      <c r="L33" s="4">
        <v>0.27700000000000002</v>
      </c>
      <c r="M33" s="4">
        <v>6.5000000000000002E-2</v>
      </c>
      <c r="N33" s="4">
        <v>2.3E-2</v>
      </c>
      <c r="O33" s="4">
        <v>7.0000000000000001E-3</v>
      </c>
      <c r="P33" s="4">
        <v>2.9000000000000001E-2</v>
      </c>
      <c r="Q33" s="4">
        <f t="shared" si="0"/>
        <v>1.3243243243243243</v>
      </c>
      <c r="R33" s="4">
        <f t="shared" si="5"/>
        <v>2.0270270270270272</v>
      </c>
      <c r="S33" s="4">
        <f t="shared" si="1"/>
        <v>15.675675675675683</v>
      </c>
      <c r="T33" s="4">
        <f t="shared" si="2"/>
        <v>2.0270270270270272</v>
      </c>
      <c r="U33" s="1">
        <f t="shared" si="3"/>
        <v>1.1646433990895295</v>
      </c>
      <c r="V33" s="3">
        <f t="shared" si="4"/>
        <v>0.98</v>
      </c>
    </row>
    <row r="34" spans="1:22" x14ac:dyDescent="0.3">
      <c r="A34" s="2">
        <v>33</v>
      </c>
      <c r="B34" s="2">
        <v>21</v>
      </c>
      <c r="C34" s="2">
        <v>693</v>
      </c>
      <c r="D34" s="2">
        <v>11</v>
      </c>
      <c r="E34" s="2">
        <v>75</v>
      </c>
      <c r="F34" s="4">
        <v>10.4</v>
      </c>
      <c r="G34" s="4">
        <v>0.97</v>
      </c>
      <c r="H34" s="4">
        <v>9.6000000000000002E-2</v>
      </c>
      <c r="I34" s="4">
        <v>0.121</v>
      </c>
      <c r="J34" s="4">
        <v>0.14699999999999999</v>
      </c>
      <c r="K34" s="4">
        <v>9.7000000000000003E-2</v>
      </c>
      <c r="L34" s="4">
        <v>0.182</v>
      </c>
      <c r="M34" s="4">
        <v>0.03</v>
      </c>
      <c r="N34" s="4">
        <v>2.5000000000000001E-2</v>
      </c>
      <c r="O34" s="4">
        <v>3.0000000000000001E-3</v>
      </c>
      <c r="P34" s="4">
        <v>1.0999999999999999E-2</v>
      </c>
      <c r="Q34" s="4">
        <f t="shared" ref="Q34:Q65" si="6">2*I34/D34*100</f>
        <v>2.1999999999999997</v>
      </c>
      <c r="R34" s="4">
        <f t="shared" si="5"/>
        <v>2.6454545454545455</v>
      </c>
      <c r="S34" s="4">
        <f t="shared" ref="S34:S65" si="7">(1-F34/D34)*100</f>
        <v>5.4545454545454568</v>
      </c>
      <c r="T34" s="4">
        <f t="shared" ref="T34:T65" si="8">E34/D34</f>
        <v>6.8181818181818183</v>
      </c>
      <c r="U34" s="1">
        <f t="shared" ref="U34:U65" si="9">(2*I34+3*K34+4*M34+5*O34)/(2*J34+3*L34+4*N34+5*P34)</f>
        <v>0.67135678391959797</v>
      </c>
      <c r="V34" s="3">
        <f t="shared" ref="V34:V65" si="10">I34/K34</f>
        <v>1.2474226804123711</v>
      </c>
    </row>
    <row r="35" spans="1:22" x14ac:dyDescent="0.3">
      <c r="A35" s="2">
        <v>34</v>
      </c>
      <c r="B35" s="2">
        <v>21</v>
      </c>
      <c r="C35" s="2">
        <v>693</v>
      </c>
      <c r="D35" s="2">
        <v>22</v>
      </c>
      <c r="E35" s="2">
        <v>75</v>
      </c>
      <c r="F35" s="4">
        <v>18.600000000000001</v>
      </c>
      <c r="G35" s="4">
        <v>1.69</v>
      </c>
      <c r="H35" s="4">
        <v>8.7999999999999995E-2</v>
      </c>
      <c r="I35" s="4">
        <v>0.161</v>
      </c>
      <c r="J35" s="4">
        <v>0.152</v>
      </c>
      <c r="K35" s="4">
        <v>0.14099999999999999</v>
      </c>
      <c r="L35" s="4">
        <v>0.246</v>
      </c>
      <c r="M35" s="4">
        <v>5.1999999999999998E-2</v>
      </c>
      <c r="N35" s="4">
        <v>3.5000000000000003E-2</v>
      </c>
      <c r="O35" s="4">
        <v>4.0000000000000001E-3</v>
      </c>
      <c r="P35" s="4">
        <v>1.7999999999999999E-2</v>
      </c>
      <c r="Q35" s="4">
        <f t="shared" si="6"/>
        <v>1.4636363636363636</v>
      </c>
      <c r="R35" s="4">
        <f t="shared" si="5"/>
        <v>1.9227272727272724</v>
      </c>
      <c r="S35" s="4">
        <f t="shared" si="7"/>
        <v>15.454545454545443</v>
      </c>
      <c r="T35" s="4">
        <f t="shared" si="8"/>
        <v>3.4090909090909092</v>
      </c>
      <c r="U35" s="1">
        <f t="shared" si="9"/>
        <v>0.76493710691823891</v>
      </c>
      <c r="V35" s="3">
        <f t="shared" si="10"/>
        <v>1.1418439716312059</v>
      </c>
    </row>
    <row r="36" spans="1:22" x14ac:dyDescent="0.3">
      <c r="A36" s="2">
        <v>35</v>
      </c>
      <c r="B36" s="2">
        <v>21</v>
      </c>
      <c r="C36" s="2">
        <v>663</v>
      </c>
      <c r="D36" s="2">
        <v>22</v>
      </c>
      <c r="E36" s="2">
        <v>75</v>
      </c>
      <c r="F36" s="4">
        <v>19.5</v>
      </c>
      <c r="G36" s="4">
        <v>1.29</v>
      </c>
      <c r="H36" s="4">
        <v>5.5E-2</v>
      </c>
      <c r="I36" s="4">
        <v>0.14499999999999999</v>
      </c>
      <c r="J36" s="4">
        <v>6.5000000000000002E-2</v>
      </c>
      <c r="K36" s="4">
        <v>0.152</v>
      </c>
      <c r="L36" s="4">
        <v>0.14599999999999999</v>
      </c>
      <c r="M36" s="4">
        <v>5.8999999999999997E-2</v>
      </c>
      <c r="N36" s="4">
        <v>2.1000000000000001E-2</v>
      </c>
      <c r="O36" s="4">
        <v>4.0000000000000001E-3</v>
      </c>
      <c r="P36" s="4">
        <v>2.3E-2</v>
      </c>
      <c r="Q36" s="4">
        <f t="shared" si="6"/>
        <v>1.3181818181818181</v>
      </c>
      <c r="R36" s="4">
        <f t="shared" si="5"/>
        <v>2.0727272727272728</v>
      </c>
      <c r="S36" s="4">
        <f t="shared" si="7"/>
        <v>11.363636363636365</v>
      </c>
      <c r="T36" s="4">
        <f t="shared" si="8"/>
        <v>3.4090909090909092</v>
      </c>
      <c r="U36" s="1">
        <f t="shared" si="9"/>
        <v>1.3063885267275099</v>
      </c>
      <c r="V36" s="3">
        <f t="shared" si="10"/>
        <v>0.95394736842105254</v>
      </c>
    </row>
    <row r="37" spans="1:22" x14ac:dyDescent="0.3">
      <c r="A37" s="2">
        <v>36</v>
      </c>
      <c r="B37" s="2">
        <v>21</v>
      </c>
      <c r="C37" s="2">
        <v>663</v>
      </c>
      <c r="D37" s="2">
        <v>22</v>
      </c>
      <c r="E37" s="2">
        <v>75</v>
      </c>
      <c r="F37" s="4">
        <v>19.5</v>
      </c>
      <c r="G37" s="4">
        <v>1.45</v>
      </c>
      <c r="H37" s="4">
        <v>3.1E-2</v>
      </c>
      <c r="I37" s="4">
        <v>0.20599999999999999</v>
      </c>
      <c r="J37" s="4">
        <v>4.5999999999999999E-2</v>
      </c>
      <c r="K37" s="4">
        <v>0.188</v>
      </c>
      <c r="L37" s="4">
        <v>4.9000000000000002E-2</v>
      </c>
      <c r="M37" s="4">
        <v>5.7000000000000002E-2</v>
      </c>
      <c r="N37" s="4">
        <v>1.7000000000000001E-2</v>
      </c>
      <c r="O37" s="4">
        <v>7.0000000000000001E-3</v>
      </c>
      <c r="P37" s="4">
        <v>2.1999999999999999E-2</v>
      </c>
      <c r="Q37" s="4">
        <f t="shared" si="6"/>
        <v>1.8727272727272728</v>
      </c>
      <c r="R37" s="4">
        <f t="shared" si="5"/>
        <v>2.5636363636363639</v>
      </c>
      <c r="S37" s="4">
        <f t="shared" si="7"/>
        <v>11.363636363636365</v>
      </c>
      <c r="T37" s="4">
        <f t="shared" si="8"/>
        <v>3.4090909090909092</v>
      </c>
      <c r="U37" s="1">
        <f t="shared" si="9"/>
        <v>2.9712230215827331</v>
      </c>
      <c r="V37" s="3">
        <f t="shared" si="10"/>
        <v>1.0957446808510638</v>
      </c>
    </row>
    <row r="38" spans="1:22" x14ac:dyDescent="0.3">
      <c r="A38" s="2">
        <v>37</v>
      </c>
      <c r="B38" s="2">
        <v>21</v>
      </c>
      <c r="C38" s="2">
        <v>663</v>
      </c>
      <c r="D38" s="2">
        <v>11</v>
      </c>
      <c r="E38" s="2">
        <v>37</v>
      </c>
      <c r="F38" s="4">
        <v>9.5</v>
      </c>
      <c r="G38" s="4">
        <v>1.23</v>
      </c>
      <c r="H38" s="4">
        <v>3.4000000000000002E-2</v>
      </c>
      <c r="I38" s="4">
        <v>0.11700000000000001</v>
      </c>
      <c r="J38" s="4">
        <v>5.1999999999999998E-2</v>
      </c>
      <c r="K38" s="4">
        <v>0.13200000000000001</v>
      </c>
      <c r="L38" s="4">
        <v>6.2E-2</v>
      </c>
      <c r="M38" s="4">
        <v>5.0999999999999997E-2</v>
      </c>
      <c r="N38" s="4">
        <v>1.2999999999999999E-2</v>
      </c>
      <c r="O38" s="4">
        <v>8.0000000000000002E-3</v>
      </c>
      <c r="P38" s="4">
        <v>1.9E-2</v>
      </c>
      <c r="Q38" s="4">
        <f t="shared" si="6"/>
        <v>2.1272727272727274</v>
      </c>
      <c r="R38" s="4">
        <f t="shared" si="5"/>
        <v>3.6000000000000005</v>
      </c>
      <c r="S38" s="4">
        <f t="shared" si="7"/>
        <v>13.636363636363635</v>
      </c>
      <c r="T38" s="4">
        <f t="shared" si="8"/>
        <v>3.3636363636363638</v>
      </c>
      <c r="U38" s="1">
        <f t="shared" si="9"/>
        <v>2.0000000000000004</v>
      </c>
      <c r="V38" s="3">
        <f t="shared" si="10"/>
        <v>0.88636363636363635</v>
      </c>
    </row>
    <row r="39" spans="1:22" x14ac:dyDescent="0.3">
      <c r="A39" s="2">
        <v>38</v>
      </c>
      <c r="B39" s="2">
        <v>21</v>
      </c>
      <c r="C39" s="2">
        <v>663</v>
      </c>
      <c r="D39" s="2">
        <v>37</v>
      </c>
      <c r="E39" s="2">
        <v>130</v>
      </c>
      <c r="F39" s="4">
        <v>32.9</v>
      </c>
      <c r="G39" s="4">
        <v>1.85</v>
      </c>
      <c r="H39" s="4">
        <v>3.5000000000000003E-2</v>
      </c>
      <c r="I39" s="4">
        <v>0.30599999999999999</v>
      </c>
      <c r="J39" s="4">
        <v>5.8000000000000003E-2</v>
      </c>
      <c r="K39" s="4">
        <v>0.28599999999999998</v>
      </c>
      <c r="L39" s="4">
        <v>5.1999999999999998E-2</v>
      </c>
      <c r="M39" s="4">
        <v>7.4999999999999997E-2</v>
      </c>
      <c r="N39" s="4">
        <v>1.7999999999999999E-2</v>
      </c>
      <c r="O39" s="4">
        <v>7.0000000000000001E-3</v>
      </c>
      <c r="P39" s="4">
        <v>2.5999999999999999E-2</v>
      </c>
      <c r="Q39" s="4">
        <f t="shared" si="6"/>
        <v>1.6540540540540538</v>
      </c>
      <c r="R39" s="4">
        <f t="shared" si="5"/>
        <v>2.3189189189189183</v>
      </c>
      <c r="S39" s="4">
        <f t="shared" si="7"/>
        <v>11.08108108108109</v>
      </c>
      <c r="T39" s="4">
        <f t="shared" si="8"/>
        <v>3.5135135135135136</v>
      </c>
      <c r="U39" s="1">
        <f t="shared" si="9"/>
        <v>3.8080168776371299</v>
      </c>
      <c r="V39" s="3">
        <f t="shared" si="10"/>
        <v>1.06993006993007</v>
      </c>
    </row>
    <row r="40" spans="1:22" x14ac:dyDescent="0.3">
      <c r="A40" s="2">
        <v>39</v>
      </c>
      <c r="B40" s="2">
        <v>21</v>
      </c>
      <c r="C40" s="2">
        <v>663</v>
      </c>
      <c r="D40" s="2">
        <v>22</v>
      </c>
      <c r="E40" s="2">
        <v>75</v>
      </c>
      <c r="F40" s="4">
        <v>19.3</v>
      </c>
      <c r="G40" s="4">
        <v>1.55</v>
      </c>
      <c r="H40" s="4">
        <v>4.2000000000000003E-2</v>
      </c>
      <c r="I40" s="4">
        <v>0.21199999999999999</v>
      </c>
      <c r="J40" s="4">
        <v>0.06</v>
      </c>
      <c r="K40" s="4">
        <v>0.221</v>
      </c>
      <c r="L40" s="4">
        <v>5.3999999999999999E-2</v>
      </c>
      <c r="M40" s="4">
        <v>5.5E-2</v>
      </c>
      <c r="N40" s="4">
        <v>1.6E-2</v>
      </c>
      <c r="O40" s="4">
        <v>7.0000000000000001E-3</v>
      </c>
      <c r="P40" s="4">
        <v>2.3E-2</v>
      </c>
      <c r="Q40" s="4">
        <f t="shared" si="6"/>
        <v>1.927272727272727</v>
      </c>
      <c r="R40" s="4">
        <f t="shared" si="5"/>
        <v>3.0136363636363637</v>
      </c>
      <c r="S40" s="4">
        <f t="shared" si="7"/>
        <v>12.272727272727268</v>
      </c>
      <c r="T40" s="4">
        <f t="shared" si="8"/>
        <v>3.4090909090909092</v>
      </c>
      <c r="U40" s="1">
        <f t="shared" si="9"/>
        <v>2.9110629067245113</v>
      </c>
      <c r="V40" s="3">
        <f t="shared" si="10"/>
        <v>0.95927601809954743</v>
      </c>
    </row>
    <row r="41" spans="1:22" x14ac:dyDescent="0.3">
      <c r="A41" s="2">
        <v>40</v>
      </c>
      <c r="B41" s="2">
        <v>21</v>
      </c>
      <c r="C41" s="2">
        <v>663</v>
      </c>
      <c r="D41" s="2">
        <v>22</v>
      </c>
      <c r="E41" s="2">
        <v>112</v>
      </c>
      <c r="F41" s="4">
        <v>19</v>
      </c>
      <c r="G41" s="4">
        <v>1.52</v>
      </c>
      <c r="H41" s="4">
        <v>6.2E-2</v>
      </c>
      <c r="I41" s="4">
        <v>0.23699999999999999</v>
      </c>
      <c r="J41" s="4">
        <v>8.1000000000000003E-2</v>
      </c>
      <c r="K41" s="4">
        <v>0.26</v>
      </c>
      <c r="L41" s="4">
        <v>6.8000000000000005E-2</v>
      </c>
      <c r="M41" s="4">
        <v>6.9000000000000006E-2</v>
      </c>
      <c r="N41" s="4">
        <v>1.9E-2</v>
      </c>
      <c r="O41" s="4">
        <v>7.0000000000000001E-3</v>
      </c>
      <c r="P41" s="4">
        <v>2.5999999999999999E-2</v>
      </c>
      <c r="Q41" s="4">
        <f t="shared" si="6"/>
        <v>2.1545454545454543</v>
      </c>
      <c r="R41" s="4">
        <f t="shared" si="5"/>
        <v>3.5454545454545454</v>
      </c>
      <c r="S41" s="4">
        <f t="shared" si="7"/>
        <v>13.636363636363635</v>
      </c>
      <c r="T41" s="4">
        <f t="shared" si="8"/>
        <v>5.0909090909090908</v>
      </c>
      <c r="U41" s="1">
        <f t="shared" si="9"/>
        <v>2.7360139860139858</v>
      </c>
      <c r="V41" s="3">
        <f t="shared" si="10"/>
        <v>0.91153846153846141</v>
      </c>
    </row>
    <row r="42" spans="1:22" x14ac:dyDescent="0.3">
      <c r="A42" s="2">
        <v>41</v>
      </c>
      <c r="B42" s="2">
        <v>21</v>
      </c>
      <c r="C42" s="2">
        <v>663</v>
      </c>
      <c r="D42" s="2">
        <v>22</v>
      </c>
      <c r="E42" s="2">
        <v>45</v>
      </c>
      <c r="F42" s="4">
        <v>19.899999999999999</v>
      </c>
      <c r="G42" s="4">
        <v>1.37</v>
      </c>
      <c r="H42" s="4">
        <v>2.5999999999999999E-2</v>
      </c>
      <c r="I42" s="4">
        <v>0.16500000000000001</v>
      </c>
      <c r="J42" s="4">
        <v>4.1000000000000002E-2</v>
      </c>
      <c r="K42" s="4">
        <v>0.17</v>
      </c>
      <c r="L42" s="4">
        <v>4.1000000000000002E-2</v>
      </c>
      <c r="M42" s="4">
        <v>4.5999999999999999E-2</v>
      </c>
      <c r="N42" s="4">
        <v>8.9999999999999993E-3</v>
      </c>
      <c r="O42" s="4">
        <v>4.0000000000000001E-3</v>
      </c>
      <c r="P42" s="4">
        <v>1.7000000000000001E-2</v>
      </c>
      <c r="Q42" s="4">
        <f t="shared" si="6"/>
        <v>1.5000000000000002</v>
      </c>
      <c r="R42" s="4">
        <f t="shared" si="5"/>
        <v>2.3181818181818183</v>
      </c>
      <c r="S42" s="4">
        <f t="shared" si="7"/>
        <v>9.5454545454545574</v>
      </c>
      <c r="T42" s="4">
        <f t="shared" si="8"/>
        <v>2.0454545454545454</v>
      </c>
      <c r="U42" s="1">
        <f t="shared" si="9"/>
        <v>3.2024539877300615</v>
      </c>
      <c r="V42" s="3">
        <f t="shared" si="10"/>
        <v>0.97058823529411764</v>
      </c>
    </row>
    <row r="43" spans="1:22" x14ac:dyDescent="0.3">
      <c r="A43" s="2">
        <v>42</v>
      </c>
      <c r="B43" s="2">
        <v>21</v>
      </c>
      <c r="C43" s="2">
        <v>663</v>
      </c>
      <c r="D43" s="2">
        <v>22</v>
      </c>
      <c r="E43" s="2">
        <v>75</v>
      </c>
      <c r="F43" s="4">
        <v>19.2</v>
      </c>
      <c r="G43" s="4">
        <v>1.57</v>
      </c>
      <c r="H43" s="4">
        <v>3.6999999999999998E-2</v>
      </c>
      <c r="I43" s="4">
        <v>0.216</v>
      </c>
      <c r="J43" s="4">
        <v>6.8000000000000005E-2</v>
      </c>
      <c r="K43" s="4">
        <v>0.23200000000000001</v>
      </c>
      <c r="L43" s="4">
        <v>5.6000000000000001E-2</v>
      </c>
      <c r="M43" s="4">
        <v>4.9000000000000002E-2</v>
      </c>
      <c r="N43" s="4">
        <v>1.2999999999999999E-2</v>
      </c>
      <c r="O43" s="4">
        <v>7.0000000000000001E-3</v>
      </c>
      <c r="P43" s="4">
        <v>1.4999999999999999E-2</v>
      </c>
      <c r="Q43" s="4">
        <f t="shared" si="6"/>
        <v>1.9636363636363636</v>
      </c>
      <c r="R43" s="4">
        <f t="shared" si="5"/>
        <v>3.1636363636363636</v>
      </c>
      <c r="S43" s="4">
        <f t="shared" si="7"/>
        <v>12.727272727272732</v>
      </c>
      <c r="T43" s="4">
        <f t="shared" si="8"/>
        <v>3.4090909090909092</v>
      </c>
      <c r="U43" s="1">
        <f t="shared" si="9"/>
        <v>3.1531322505800459</v>
      </c>
      <c r="V43" s="3">
        <f t="shared" si="10"/>
        <v>0.93103448275862066</v>
      </c>
    </row>
    <row r="44" spans="1:22" x14ac:dyDescent="0.3">
      <c r="A44" s="2">
        <v>43</v>
      </c>
      <c r="B44" s="2">
        <v>21</v>
      </c>
      <c r="C44" s="2">
        <v>663</v>
      </c>
      <c r="D44" s="2">
        <v>37</v>
      </c>
      <c r="E44" s="2">
        <v>75</v>
      </c>
      <c r="F44" s="4">
        <v>32.799999999999997</v>
      </c>
      <c r="G44" s="4">
        <v>2.21</v>
      </c>
      <c r="H44" s="4">
        <v>3.7999999999999999E-2</v>
      </c>
      <c r="I44" s="4">
        <v>0.28399999999999997</v>
      </c>
      <c r="J44" s="4">
        <v>6.0999999999999999E-2</v>
      </c>
      <c r="K44" s="4">
        <v>0.3</v>
      </c>
      <c r="L44" s="4">
        <v>5.5E-2</v>
      </c>
      <c r="M44" s="4">
        <v>8.3000000000000004E-2</v>
      </c>
      <c r="N44" s="4">
        <v>1.6E-2</v>
      </c>
      <c r="O44" s="4">
        <v>8.9999999999999993E-3</v>
      </c>
      <c r="P44" s="4">
        <v>0.03</v>
      </c>
      <c r="Q44" s="4">
        <f t="shared" si="6"/>
        <v>1.535135135135135</v>
      </c>
      <c r="R44" s="4">
        <f t="shared" si="5"/>
        <v>2.432432432432432</v>
      </c>
      <c r="S44" s="4">
        <f t="shared" si="7"/>
        <v>11.351351351351358</v>
      </c>
      <c r="T44" s="4">
        <f t="shared" si="8"/>
        <v>2.0270270270270272</v>
      </c>
      <c r="U44" s="1">
        <f t="shared" si="9"/>
        <v>3.682634730538922</v>
      </c>
      <c r="V44" s="3">
        <f t="shared" si="10"/>
        <v>0.94666666666666666</v>
      </c>
    </row>
    <row r="45" spans="1:22" x14ac:dyDescent="0.3">
      <c r="A45" s="2">
        <v>44</v>
      </c>
      <c r="B45" s="2">
        <v>21</v>
      </c>
      <c r="C45" s="2">
        <v>663</v>
      </c>
      <c r="D45" s="2">
        <v>11</v>
      </c>
      <c r="E45" s="2">
        <v>75</v>
      </c>
      <c r="F45" s="4">
        <v>9.6999999999999993</v>
      </c>
      <c r="G45" s="4">
        <v>0.92</v>
      </c>
      <c r="H45" s="4">
        <v>4.8000000000000001E-2</v>
      </c>
      <c r="I45" s="4">
        <v>0.14299999999999999</v>
      </c>
      <c r="J45" s="4">
        <v>7.4999999999999997E-2</v>
      </c>
      <c r="K45" s="4">
        <v>0.16</v>
      </c>
      <c r="L45" s="4">
        <v>5.6000000000000001E-2</v>
      </c>
      <c r="M45" s="4">
        <v>3.3000000000000002E-2</v>
      </c>
      <c r="N45" s="4">
        <v>1.2E-2</v>
      </c>
      <c r="O45" s="4">
        <v>1E-3</v>
      </c>
      <c r="P45" s="4">
        <v>1.4999999999999999E-2</v>
      </c>
      <c r="Q45" s="4">
        <f t="shared" si="6"/>
        <v>2.6</v>
      </c>
      <c r="R45" s="4">
        <f t="shared" si="5"/>
        <v>4.3636363636363633</v>
      </c>
      <c r="S45" s="4">
        <f t="shared" si="7"/>
        <v>11.818181818181827</v>
      </c>
      <c r="T45" s="4">
        <f t="shared" si="8"/>
        <v>6.8181818181818183</v>
      </c>
      <c r="U45" s="1">
        <f t="shared" si="9"/>
        <v>2.0476190476190474</v>
      </c>
      <c r="V45" s="3">
        <f t="shared" si="10"/>
        <v>0.89374999999999993</v>
      </c>
    </row>
    <row r="46" spans="1:22" x14ac:dyDescent="0.3">
      <c r="A46" s="2">
        <v>45</v>
      </c>
      <c r="B46" s="2">
        <v>21</v>
      </c>
      <c r="C46" s="2">
        <v>663</v>
      </c>
      <c r="D46" s="2">
        <v>22</v>
      </c>
      <c r="E46" s="2">
        <v>75</v>
      </c>
      <c r="F46" s="4">
        <v>19</v>
      </c>
      <c r="G46" s="4">
        <v>1.6</v>
      </c>
      <c r="H46" s="4">
        <v>4.4999999999999998E-2</v>
      </c>
      <c r="I46" s="4">
        <v>0.21</v>
      </c>
      <c r="J46" s="4">
        <v>7.0999999999999994E-2</v>
      </c>
      <c r="K46" s="4">
        <v>0.23799999999999999</v>
      </c>
      <c r="L46" s="4">
        <v>0.06</v>
      </c>
      <c r="M46" s="4">
        <v>6.3E-2</v>
      </c>
      <c r="N46" s="4">
        <v>8.9999999999999993E-3</v>
      </c>
      <c r="O46" s="4">
        <v>6.0000000000000001E-3</v>
      </c>
      <c r="P46" s="4">
        <v>2.4E-2</v>
      </c>
      <c r="Q46" s="4">
        <f t="shared" si="6"/>
        <v>1.9090909090909089</v>
      </c>
      <c r="R46" s="4">
        <f t="shared" si="5"/>
        <v>3.2454545454545451</v>
      </c>
      <c r="S46" s="4">
        <f t="shared" si="7"/>
        <v>13.636363636363635</v>
      </c>
      <c r="T46" s="4">
        <f t="shared" si="8"/>
        <v>3.4090909090909092</v>
      </c>
      <c r="U46" s="1">
        <f t="shared" si="9"/>
        <v>2.96234309623431</v>
      </c>
      <c r="V46" s="3">
        <f t="shared" si="10"/>
        <v>0.88235294117647056</v>
      </c>
    </row>
    <row r="47" spans="1:22" x14ac:dyDescent="0.3">
      <c r="A47" s="2">
        <v>46</v>
      </c>
      <c r="B47" s="2">
        <v>21</v>
      </c>
      <c r="C47" s="2">
        <v>693</v>
      </c>
      <c r="D47" s="2">
        <v>22</v>
      </c>
      <c r="E47" s="2">
        <v>75</v>
      </c>
      <c r="F47" s="4">
        <v>18.399999999999999</v>
      </c>
      <c r="G47" s="4">
        <v>1.85</v>
      </c>
      <c r="H47" s="4">
        <v>0.08</v>
      </c>
      <c r="I47" s="4">
        <v>0.224</v>
      </c>
      <c r="J47" s="4">
        <v>0.14799999999999999</v>
      </c>
      <c r="K47" s="4">
        <v>0.22700000000000001</v>
      </c>
      <c r="L47" s="4">
        <v>0.114</v>
      </c>
      <c r="M47" s="4">
        <v>6.0999999999999999E-2</v>
      </c>
      <c r="N47" s="4">
        <v>0.2</v>
      </c>
      <c r="O47" s="4">
        <v>3.0000000000000001E-3</v>
      </c>
      <c r="P47" s="4">
        <v>1.7000000000000001E-2</v>
      </c>
      <c r="Q47" s="4">
        <f t="shared" si="6"/>
        <v>2.0363636363636366</v>
      </c>
      <c r="R47" s="4">
        <f t="shared" si="5"/>
        <v>3.0954545454545457</v>
      </c>
      <c r="S47" s="4">
        <f t="shared" si="7"/>
        <v>16.36363636363637</v>
      </c>
      <c r="T47" s="4">
        <f t="shared" si="8"/>
        <v>3.4090909090909092</v>
      </c>
      <c r="U47" s="1">
        <f t="shared" si="9"/>
        <v>0.91135915955351265</v>
      </c>
      <c r="V47" s="3">
        <f t="shared" si="10"/>
        <v>0.986784140969163</v>
      </c>
    </row>
    <row r="48" spans="1:22" x14ac:dyDescent="0.3">
      <c r="A48" s="2">
        <v>47</v>
      </c>
      <c r="B48" s="2">
        <v>21</v>
      </c>
      <c r="C48" s="2">
        <v>693</v>
      </c>
      <c r="D48" s="2">
        <v>11</v>
      </c>
      <c r="E48" s="2">
        <v>37</v>
      </c>
      <c r="F48" s="4">
        <v>8.6999999999999993</v>
      </c>
      <c r="G48" s="4">
        <v>1.54</v>
      </c>
      <c r="H48" s="4">
        <v>0.11700000000000001</v>
      </c>
      <c r="I48" s="4">
        <v>9.7000000000000003E-2</v>
      </c>
      <c r="J48" s="4">
        <v>0.14199999999999999</v>
      </c>
      <c r="K48" s="4">
        <v>0.14000000000000001</v>
      </c>
      <c r="L48" s="4">
        <v>0.13700000000000001</v>
      </c>
      <c r="M48" s="4">
        <v>4.9000000000000002E-2</v>
      </c>
      <c r="N48" s="4">
        <v>0</v>
      </c>
      <c r="O48" s="4">
        <v>3.0000000000000001E-3</v>
      </c>
      <c r="P48" s="4">
        <v>1.7999999999999999E-2</v>
      </c>
      <c r="Q48" s="4">
        <f t="shared" si="6"/>
        <v>1.7636363636363637</v>
      </c>
      <c r="R48" s="4">
        <f t="shared" si="5"/>
        <v>3.8181818181818183</v>
      </c>
      <c r="S48" s="4">
        <f t="shared" si="7"/>
        <v>20.90909090909091</v>
      </c>
      <c r="T48" s="4">
        <f t="shared" si="8"/>
        <v>3.3636363636363638</v>
      </c>
      <c r="U48" s="1">
        <f t="shared" si="9"/>
        <v>1.0509554140127388</v>
      </c>
      <c r="V48" s="3">
        <f t="shared" si="10"/>
        <v>0.69285714285714284</v>
      </c>
    </row>
    <row r="49" spans="1:22" x14ac:dyDescent="0.3">
      <c r="A49" s="2">
        <v>48</v>
      </c>
      <c r="B49" s="2">
        <v>21</v>
      </c>
      <c r="C49" s="2">
        <v>693</v>
      </c>
      <c r="D49" s="2">
        <v>37</v>
      </c>
      <c r="E49" s="2">
        <v>130</v>
      </c>
      <c r="F49" s="4">
        <v>32</v>
      </c>
      <c r="G49" s="4">
        <v>2.2799999999999998</v>
      </c>
      <c r="H49" s="4">
        <v>7.0999999999999994E-2</v>
      </c>
      <c r="I49" s="4">
        <v>0.34799999999999998</v>
      </c>
      <c r="J49" s="4">
        <v>0.16600000000000001</v>
      </c>
      <c r="K49" s="4">
        <v>0.314</v>
      </c>
      <c r="L49" s="4">
        <v>0.11600000000000001</v>
      </c>
      <c r="M49" s="4">
        <v>7.5999999999999998E-2</v>
      </c>
      <c r="N49" s="4">
        <v>2.4E-2</v>
      </c>
      <c r="O49" s="4">
        <v>7.0000000000000001E-3</v>
      </c>
      <c r="P49" s="4">
        <v>2.7E-2</v>
      </c>
      <c r="Q49" s="4">
        <f t="shared" si="6"/>
        <v>1.8810810810810807</v>
      </c>
      <c r="R49" s="4">
        <f t="shared" si="5"/>
        <v>2.5459459459459457</v>
      </c>
      <c r="S49" s="4">
        <f t="shared" si="7"/>
        <v>13.513513513513509</v>
      </c>
      <c r="T49" s="4">
        <f t="shared" si="8"/>
        <v>3.5135135135135136</v>
      </c>
      <c r="U49" s="1">
        <f t="shared" si="9"/>
        <v>2.1701427003293081</v>
      </c>
      <c r="V49" s="3">
        <f t="shared" si="10"/>
        <v>1.10828025477707</v>
      </c>
    </row>
    <row r="50" spans="1:22" x14ac:dyDescent="0.3">
      <c r="A50" s="2">
        <v>49</v>
      </c>
      <c r="B50" s="2">
        <v>21</v>
      </c>
      <c r="C50" s="2">
        <v>693</v>
      </c>
      <c r="D50" s="2">
        <v>22</v>
      </c>
      <c r="E50" s="2">
        <v>75</v>
      </c>
      <c r="F50" s="4">
        <v>18.7</v>
      </c>
      <c r="G50" s="4">
        <v>1.76</v>
      </c>
      <c r="H50" s="4">
        <v>8.4000000000000005E-2</v>
      </c>
      <c r="I50" s="4">
        <v>0.20100000000000001</v>
      </c>
      <c r="J50" s="4">
        <v>0.14799999999999999</v>
      </c>
      <c r="K50" s="4">
        <v>0.20100000000000001</v>
      </c>
      <c r="L50" s="4">
        <v>0.115</v>
      </c>
      <c r="M50" s="4">
        <v>5.8999999999999997E-2</v>
      </c>
      <c r="N50" s="4">
        <v>8.9999999999999993E-3</v>
      </c>
      <c r="O50" s="4">
        <v>5.0000000000000001E-3</v>
      </c>
      <c r="P50" s="4">
        <v>2.1999999999999999E-2</v>
      </c>
      <c r="Q50" s="4">
        <f t="shared" si="6"/>
        <v>1.8272727272727274</v>
      </c>
      <c r="R50" s="4">
        <f t="shared" si="5"/>
        <v>2.7409090909090907</v>
      </c>
      <c r="S50" s="4">
        <f t="shared" si="7"/>
        <v>15.000000000000002</v>
      </c>
      <c r="T50" s="4">
        <f t="shared" si="8"/>
        <v>3.4090909090909092</v>
      </c>
      <c r="U50" s="1">
        <f t="shared" si="9"/>
        <v>1.6086404066073694</v>
      </c>
      <c r="V50" s="3">
        <f t="shared" si="10"/>
        <v>1</v>
      </c>
    </row>
    <row r="51" spans="1:22" x14ac:dyDescent="0.3">
      <c r="A51" s="2">
        <v>50</v>
      </c>
      <c r="B51" s="2">
        <v>21</v>
      </c>
      <c r="C51" s="2">
        <v>693</v>
      </c>
      <c r="D51" s="2">
        <v>22</v>
      </c>
      <c r="E51" s="2">
        <v>112</v>
      </c>
      <c r="F51" s="4">
        <v>18.600000000000001</v>
      </c>
      <c r="G51" s="4">
        <v>1.68</v>
      </c>
      <c r="H51" s="4">
        <v>0.109</v>
      </c>
      <c r="I51" s="4">
        <v>0.21</v>
      </c>
      <c r="J51" s="4">
        <v>0.19500000000000001</v>
      </c>
      <c r="K51" s="4">
        <v>0.21099999999999999</v>
      </c>
      <c r="L51" s="4">
        <v>0.14599999999999999</v>
      </c>
      <c r="M51" s="4">
        <v>6.0999999999999999E-2</v>
      </c>
      <c r="N51" s="4">
        <v>6.0000000000000001E-3</v>
      </c>
      <c r="O51" s="4">
        <v>8.0000000000000002E-3</v>
      </c>
      <c r="P51" s="4">
        <v>2.1999999999999999E-2</v>
      </c>
      <c r="Q51" s="4">
        <f t="shared" si="6"/>
        <v>1.9090909090909089</v>
      </c>
      <c r="R51" s="4">
        <f t="shared" si="5"/>
        <v>2.8772727272727274</v>
      </c>
      <c r="S51" s="4">
        <f t="shared" si="7"/>
        <v>15.454545454545443</v>
      </c>
      <c r="T51" s="4">
        <f t="shared" si="8"/>
        <v>5.0909090909090908</v>
      </c>
      <c r="U51" s="1">
        <f t="shared" si="9"/>
        <v>1.3898128898128899</v>
      </c>
      <c r="V51" s="3">
        <f t="shared" si="10"/>
        <v>0.99526066350710896</v>
      </c>
    </row>
    <row r="52" spans="1:22" x14ac:dyDescent="0.3">
      <c r="A52" s="2">
        <v>51</v>
      </c>
      <c r="B52" s="2">
        <v>21</v>
      </c>
      <c r="C52" s="2">
        <v>693</v>
      </c>
      <c r="D52" s="2">
        <v>22</v>
      </c>
      <c r="E52" s="2">
        <v>45</v>
      </c>
      <c r="F52" s="4">
        <v>19.8</v>
      </c>
      <c r="G52" s="4">
        <v>1.41</v>
      </c>
      <c r="H52" s="4">
        <v>5.7000000000000002E-2</v>
      </c>
      <c r="I52" s="4">
        <v>0.151</v>
      </c>
      <c r="J52" s="4">
        <v>8.5999999999999993E-2</v>
      </c>
      <c r="K52" s="4">
        <v>0.13400000000000001</v>
      </c>
      <c r="L52" s="4">
        <v>7.0999999999999994E-2</v>
      </c>
      <c r="M52" s="4">
        <v>4.1000000000000002E-2</v>
      </c>
      <c r="N52" s="4">
        <v>5.0000000000000001E-3</v>
      </c>
      <c r="O52" s="4">
        <v>4.0000000000000001E-3</v>
      </c>
      <c r="P52" s="4">
        <v>1.0999999999999999E-2</v>
      </c>
      <c r="Q52" s="4">
        <f t="shared" si="6"/>
        <v>1.3727272727272726</v>
      </c>
      <c r="R52" s="4">
        <f t="shared" si="5"/>
        <v>1.8272727272727274</v>
      </c>
      <c r="S52" s="4">
        <f t="shared" si="7"/>
        <v>9.9999999999999982</v>
      </c>
      <c r="T52" s="4">
        <f t="shared" si="8"/>
        <v>2.0454545454545454</v>
      </c>
      <c r="U52" s="1">
        <f t="shared" si="9"/>
        <v>1.9304347826086958</v>
      </c>
      <c r="V52" s="3">
        <f t="shared" si="10"/>
        <v>1.1268656716417909</v>
      </c>
    </row>
    <row r="53" spans="1:22" x14ac:dyDescent="0.3">
      <c r="A53" s="2">
        <v>52</v>
      </c>
      <c r="B53" s="2">
        <v>21</v>
      </c>
      <c r="C53" s="2">
        <v>693</v>
      </c>
      <c r="D53" s="2">
        <v>22</v>
      </c>
      <c r="E53" s="2">
        <v>75</v>
      </c>
      <c r="F53" s="4">
        <v>18.7</v>
      </c>
      <c r="G53" s="4">
        <v>1.69</v>
      </c>
      <c r="H53" s="4">
        <v>8.7999999999999995E-2</v>
      </c>
      <c r="I53" s="4">
        <v>0.186</v>
      </c>
      <c r="J53" s="4">
        <v>0.15</v>
      </c>
      <c r="K53" s="4">
        <v>0.185</v>
      </c>
      <c r="L53" s="4">
        <v>0.113</v>
      </c>
      <c r="M53" s="4">
        <v>3.7999999999999999E-2</v>
      </c>
      <c r="N53" s="4">
        <v>8.9999999999999993E-3</v>
      </c>
      <c r="O53" s="4">
        <v>7.0000000000000001E-3</v>
      </c>
      <c r="P53" s="4">
        <v>1.7999999999999999E-2</v>
      </c>
      <c r="Q53" s="4">
        <f t="shared" si="6"/>
        <v>1.6909090909090909</v>
      </c>
      <c r="R53" s="4">
        <f t="shared" si="5"/>
        <v>2.5227272727272725</v>
      </c>
      <c r="S53" s="4">
        <f t="shared" si="7"/>
        <v>15.000000000000002</v>
      </c>
      <c r="T53" s="4">
        <f t="shared" si="8"/>
        <v>3.4090909090909092</v>
      </c>
      <c r="U53" s="1">
        <f t="shared" si="9"/>
        <v>1.4562091503267971</v>
      </c>
      <c r="V53" s="3">
        <f t="shared" si="10"/>
        <v>1.0054054054054054</v>
      </c>
    </row>
    <row r="54" spans="1:22" x14ac:dyDescent="0.3">
      <c r="A54" s="2">
        <v>53</v>
      </c>
      <c r="B54" s="2">
        <v>21</v>
      </c>
      <c r="C54" s="2">
        <v>693</v>
      </c>
      <c r="D54" s="2">
        <v>37</v>
      </c>
      <c r="E54" s="2">
        <v>75</v>
      </c>
      <c r="F54" s="4">
        <v>31.8</v>
      </c>
      <c r="G54" s="4">
        <v>2.63</v>
      </c>
      <c r="H54" s="4">
        <v>9.8000000000000004E-2</v>
      </c>
      <c r="I54" s="4">
        <v>0.29599999999999999</v>
      </c>
      <c r="J54" s="4">
        <v>0.13700000000000001</v>
      </c>
      <c r="K54" s="4">
        <v>0.29399999999999998</v>
      </c>
      <c r="L54" s="4">
        <v>0.124</v>
      </c>
      <c r="M54" s="4">
        <v>8.5999999999999993E-2</v>
      </c>
      <c r="N54" s="4">
        <v>0</v>
      </c>
      <c r="O54" s="4">
        <v>7.0000000000000001E-3</v>
      </c>
      <c r="P54" s="4">
        <v>0.03</v>
      </c>
      <c r="Q54" s="4">
        <f t="shared" si="6"/>
        <v>1.6</v>
      </c>
      <c r="R54" s="4">
        <f t="shared" si="5"/>
        <v>2.3837837837837834</v>
      </c>
      <c r="S54" s="4">
        <f t="shared" si="7"/>
        <v>14.054054054054054</v>
      </c>
      <c r="T54" s="4">
        <f t="shared" si="8"/>
        <v>2.0270270270270272</v>
      </c>
      <c r="U54" s="1">
        <f t="shared" si="9"/>
        <v>2.3278894472361804</v>
      </c>
      <c r="V54" s="3">
        <f t="shared" si="10"/>
        <v>1.0068027210884354</v>
      </c>
    </row>
    <row r="55" spans="1:22" x14ac:dyDescent="0.3">
      <c r="A55" s="2">
        <v>54</v>
      </c>
      <c r="B55" s="2">
        <v>21</v>
      </c>
      <c r="C55" s="2">
        <v>693</v>
      </c>
      <c r="D55" s="2">
        <v>11</v>
      </c>
      <c r="E55" s="2">
        <v>75</v>
      </c>
      <c r="F55" s="4">
        <v>10.4</v>
      </c>
      <c r="G55" s="4">
        <v>0.9</v>
      </c>
      <c r="H55" s="4">
        <v>0.10299999999999999</v>
      </c>
      <c r="I55" s="4">
        <v>0.1</v>
      </c>
      <c r="J55" s="4">
        <v>0.14199999999999999</v>
      </c>
      <c r="K55" s="4">
        <v>9.1999999999999998E-2</v>
      </c>
      <c r="L55" s="4">
        <v>9.6000000000000002E-2</v>
      </c>
      <c r="M55" s="4">
        <v>2.1000000000000001E-2</v>
      </c>
      <c r="N55" s="4">
        <v>1.6E-2</v>
      </c>
      <c r="O55" s="4">
        <v>5.0000000000000001E-3</v>
      </c>
      <c r="P55" s="4">
        <v>8.9999999999999993E-3</v>
      </c>
      <c r="Q55" s="4">
        <f t="shared" si="6"/>
        <v>1.8181818181818183</v>
      </c>
      <c r="R55" s="4">
        <f t="shared" si="5"/>
        <v>2.5090909090909093</v>
      </c>
      <c r="S55" s="4">
        <f t="shared" si="7"/>
        <v>5.4545454545454568</v>
      </c>
      <c r="T55" s="4">
        <f t="shared" si="8"/>
        <v>6.8181818181818183</v>
      </c>
      <c r="U55" s="1">
        <f t="shared" si="9"/>
        <v>0.85903083700440519</v>
      </c>
      <c r="V55" s="3">
        <f t="shared" si="10"/>
        <v>1.0869565217391306</v>
      </c>
    </row>
    <row r="56" spans="1:22" x14ac:dyDescent="0.3">
      <c r="A56" s="2">
        <v>55</v>
      </c>
      <c r="B56" s="2">
        <v>21</v>
      </c>
      <c r="C56" s="2">
        <v>693</v>
      </c>
      <c r="D56" s="2">
        <v>22</v>
      </c>
      <c r="E56" s="2">
        <v>75</v>
      </c>
      <c r="F56" s="4">
        <v>18.8</v>
      </c>
      <c r="G56" s="4">
        <v>1.66</v>
      </c>
      <c r="H56" s="4">
        <v>9.2999999999999999E-2</v>
      </c>
      <c r="I56" s="4">
        <v>0.182</v>
      </c>
      <c r="J56" s="4">
        <v>0.14000000000000001</v>
      </c>
      <c r="K56" s="4">
        <v>0.16500000000000001</v>
      </c>
      <c r="L56" s="4">
        <v>0.11799999999999999</v>
      </c>
      <c r="M56" s="4">
        <v>4.3999999999999997E-2</v>
      </c>
      <c r="N56" s="4">
        <v>0</v>
      </c>
      <c r="O56" s="4">
        <v>7.0000000000000001E-3</v>
      </c>
      <c r="P56" s="4">
        <v>8.9999999999999993E-3</v>
      </c>
      <c r="Q56" s="4">
        <f t="shared" si="6"/>
        <v>1.6545454545454543</v>
      </c>
      <c r="R56" s="4">
        <f t="shared" si="5"/>
        <v>2.25</v>
      </c>
      <c r="S56" s="4">
        <f t="shared" si="7"/>
        <v>14.54545454545454</v>
      </c>
      <c r="T56" s="4">
        <f t="shared" si="8"/>
        <v>3.4090909090909092</v>
      </c>
      <c r="U56" s="1">
        <f t="shared" si="9"/>
        <v>1.5758468335787921</v>
      </c>
      <c r="V56" s="3">
        <f t="shared" si="10"/>
        <v>1.103030303030303</v>
      </c>
    </row>
    <row r="57" spans="1:22" x14ac:dyDescent="0.3">
      <c r="A57" s="2">
        <v>56</v>
      </c>
      <c r="B57" s="2">
        <v>21</v>
      </c>
      <c r="C57" s="2">
        <v>663</v>
      </c>
      <c r="D57" s="2">
        <v>22</v>
      </c>
      <c r="E57" s="2">
        <v>75</v>
      </c>
      <c r="F57" s="4">
        <v>19.3</v>
      </c>
      <c r="G57" s="4">
        <v>1.53</v>
      </c>
      <c r="H57" s="4">
        <v>5.8999999999999997E-2</v>
      </c>
      <c r="I57" s="4">
        <v>0.19500000000000001</v>
      </c>
      <c r="J57" s="4">
        <v>0.06</v>
      </c>
      <c r="K57" s="4">
        <v>0.22</v>
      </c>
      <c r="L57" s="4">
        <v>6.8000000000000005E-2</v>
      </c>
      <c r="M57" s="4">
        <v>4.7E-2</v>
      </c>
      <c r="N57" s="4">
        <v>0.01</v>
      </c>
      <c r="O57" s="4">
        <v>6.0000000000000001E-3</v>
      </c>
      <c r="P57" s="4">
        <v>1.0999999999999999E-2</v>
      </c>
      <c r="Q57" s="4">
        <f t="shared" si="6"/>
        <v>1.7727272727272727</v>
      </c>
      <c r="R57" s="4">
        <f t="shared" si="5"/>
        <v>3.0000000000000004</v>
      </c>
      <c r="S57" s="4">
        <f t="shared" si="7"/>
        <v>12.272727272727268</v>
      </c>
      <c r="T57" s="4">
        <f t="shared" si="8"/>
        <v>3.4090909090909092</v>
      </c>
      <c r="U57" s="1">
        <f t="shared" si="9"/>
        <v>3.0262529832935563</v>
      </c>
      <c r="V57" s="3">
        <f t="shared" si="10"/>
        <v>0.88636363636363635</v>
      </c>
    </row>
    <row r="58" spans="1:22" x14ac:dyDescent="0.3">
      <c r="A58" s="2">
        <v>57</v>
      </c>
      <c r="B58" s="2">
        <v>21</v>
      </c>
      <c r="C58" s="2">
        <v>663</v>
      </c>
      <c r="D58" s="2">
        <v>22</v>
      </c>
      <c r="E58" s="2">
        <v>75</v>
      </c>
      <c r="F58" s="4">
        <v>21.3</v>
      </c>
      <c r="G58" s="4">
        <v>0.66</v>
      </c>
      <c r="H58" s="4">
        <v>1.4999999999999999E-2</v>
      </c>
      <c r="I58" s="4">
        <v>0.111</v>
      </c>
      <c r="J58" s="4">
        <v>1.2999999999999999E-2</v>
      </c>
      <c r="K58" s="4">
        <v>8.6999999999999994E-2</v>
      </c>
      <c r="L58" s="4">
        <v>0</v>
      </c>
      <c r="M58" s="4">
        <v>2.3E-2</v>
      </c>
      <c r="N58" s="4">
        <v>3.0000000000000001E-3</v>
      </c>
      <c r="O58" s="4">
        <v>5.0000000000000001E-3</v>
      </c>
      <c r="P58" s="4">
        <v>0.01</v>
      </c>
      <c r="Q58" s="4">
        <f t="shared" si="6"/>
        <v>1.009090909090909</v>
      </c>
      <c r="R58" s="4">
        <f t="shared" si="5"/>
        <v>1.1863636363636365</v>
      </c>
      <c r="S58" s="4">
        <f t="shared" si="7"/>
        <v>3.1818181818181746</v>
      </c>
      <c r="T58" s="4">
        <f t="shared" si="8"/>
        <v>3.4090909090909092</v>
      </c>
      <c r="U58" s="1">
        <f t="shared" si="9"/>
        <v>6.8181818181818183</v>
      </c>
      <c r="V58" s="3">
        <f t="shared" si="10"/>
        <v>1.2758620689655173</v>
      </c>
    </row>
    <row r="59" spans="1:22" x14ac:dyDescent="0.3">
      <c r="A59" s="2">
        <v>58</v>
      </c>
      <c r="B59" s="2">
        <v>21</v>
      </c>
      <c r="C59" s="2">
        <v>663</v>
      </c>
      <c r="D59" s="2">
        <v>11</v>
      </c>
      <c r="E59" s="2">
        <v>37</v>
      </c>
      <c r="F59" s="4">
        <v>11</v>
      </c>
      <c r="G59" s="4">
        <v>0.6</v>
      </c>
      <c r="H59" s="4">
        <v>1.4999999999999999E-2</v>
      </c>
      <c r="I59" s="4">
        <v>9.0999999999999998E-2</v>
      </c>
      <c r="J59" s="4">
        <v>1.0999999999999999E-2</v>
      </c>
      <c r="K59" s="4">
        <v>7.8E-2</v>
      </c>
      <c r="L59" s="4">
        <v>0.01</v>
      </c>
      <c r="M59" s="4">
        <v>2.1999999999999999E-2</v>
      </c>
      <c r="N59" s="4">
        <v>3.0000000000000001E-3</v>
      </c>
      <c r="O59" s="4">
        <v>3.0000000000000001E-3</v>
      </c>
      <c r="P59" s="4">
        <v>8.0000000000000002E-3</v>
      </c>
      <c r="Q59" s="4">
        <f t="shared" si="6"/>
        <v>1.6545454545454543</v>
      </c>
      <c r="R59" s="4">
        <f t="shared" si="5"/>
        <v>2.1272727272727274</v>
      </c>
      <c r="S59" s="4">
        <f t="shared" si="7"/>
        <v>0</v>
      </c>
      <c r="T59" s="4">
        <f t="shared" si="8"/>
        <v>3.3636363636363638</v>
      </c>
      <c r="U59" s="1">
        <f t="shared" si="9"/>
        <v>4.990384615384615</v>
      </c>
      <c r="V59" s="3">
        <f t="shared" si="10"/>
        <v>1.1666666666666667</v>
      </c>
    </row>
    <row r="60" spans="1:22" x14ac:dyDescent="0.3">
      <c r="A60" s="2">
        <v>59</v>
      </c>
      <c r="B60" s="2">
        <v>21</v>
      </c>
      <c r="C60" s="2">
        <v>663</v>
      </c>
      <c r="D60" s="2">
        <v>37</v>
      </c>
      <c r="E60" s="2">
        <v>130</v>
      </c>
      <c r="F60" s="4">
        <v>35.200000000000003</v>
      </c>
      <c r="G60" s="4">
        <v>0.87</v>
      </c>
      <c r="H60" s="4">
        <v>1.4E-2</v>
      </c>
      <c r="I60" s="4">
        <v>0.151</v>
      </c>
      <c r="J60" s="4">
        <v>1.7000000000000001E-2</v>
      </c>
      <c r="K60" s="4">
        <v>0.122</v>
      </c>
      <c r="L60" s="4">
        <v>0</v>
      </c>
      <c r="M60" s="4">
        <v>3.2000000000000001E-2</v>
      </c>
      <c r="N60" s="4">
        <v>4.0000000000000001E-3</v>
      </c>
      <c r="O60" s="4">
        <v>0</v>
      </c>
      <c r="P60" s="4">
        <v>8.0000000000000002E-3</v>
      </c>
      <c r="Q60" s="4">
        <f t="shared" si="6"/>
        <v>0.81621621621621632</v>
      </c>
      <c r="R60" s="4">
        <f t="shared" si="5"/>
        <v>0.98918918918918919</v>
      </c>
      <c r="S60" s="4">
        <f t="shared" si="7"/>
        <v>4.8648648648648596</v>
      </c>
      <c r="T60" s="4">
        <f t="shared" si="8"/>
        <v>3.5135135135135136</v>
      </c>
      <c r="U60" s="1">
        <f t="shared" si="9"/>
        <v>8.8444444444444432</v>
      </c>
      <c r="V60" s="3">
        <f t="shared" si="10"/>
        <v>1.2377049180327868</v>
      </c>
    </row>
    <row r="61" spans="1:22" x14ac:dyDescent="0.3">
      <c r="A61" s="2">
        <v>60</v>
      </c>
      <c r="B61" s="2">
        <v>21</v>
      </c>
      <c r="C61" s="2">
        <v>663</v>
      </c>
      <c r="D61" s="2">
        <v>22</v>
      </c>
      <c r="E61" s="2">
        <v>75</v>
      </c>
      <c r="F61" s="4">
        <v>21.2</v>
      </c>
      <c r="G61" s="4">
        <v>0.74</v>
      </c>
      <c r="H61" s="4">
        <v>4.0000000000000001E-3</v>
      </c>
      <c r="I61" s="4">
        <v>0.123</v>
      </c>
      <c r="J61" s="4">
        <v>1.4E-2</v>
      </c>
      <c r="K61" s="4">
        <v>0.10299999999999999</v>
      </c>
      <c r="L61" s="4">
        <v>1.2999999999999999E-2</v>
      </c>
      <c r="M61" s="4">
        <v>0</v>
      </c>
      <c r="N61" s="4">
        <v>0</v>
      </c>
      <c r="O61" s="4">
        <v>0</v>
      </c>
      <c r="P61" s="4">
        <v>0</v>
      </c>
      <c r="Q61" s="4">
        <f t="shared" si="6"/>
        <v>1.1181818181818182</v>
      </c>
      <c r="R61" s="4">
        <f t="shared" si="5"/>
        <v>1.4045454545454545</v>
      </c>
      <c r="S61" s="4">
        <f t="shared" si="7"/>
        <v>3.6363636363636376</v>
      </c>
      <c r="T61" s="4">
        <f t="shared" si="8"/>
        <v>3.4090909090909092</v>
      </c>
      <c r="U61" s="1">
        <f t="shared" si="9"/>
        <v>8.2835820895522367</v>
      </c>
      <c r="V61" s="3">
        <f t="shared" si="10"/>
        <v>1.1941747572815535</v>
      </c>
    </row>
    <row r="62" spans="1:22" x14ac:dyDescent="0.3">
      <c r="A62" s="2">
        <v>61</v>
      </c>
      <c r="B62" s="2">
        <v>21</v>
      </c>
      <c r="C62" s="2">
        <v>663</v>
      </c>
      <c r="D62" s="2">
        <v>22</v>
      </c>
      <c r="E62" s="2">
        <v>112</v>
      </c>
      <c r="F62" s="4">
        <v>21.1</v>
      </c>
      <c r="G62" s="4">
        <v>0.76</v>
      </c>
      <c r="H62" s="4">
        <v>2.5999999999999999E-2</v>
      </c>
      <c r="I62" s="4">
        <v>0.13900000000000001</v>
      </c>
      <c r="J62" s="4">
        <v>1.6E-2</v>
      </c>
      <c r="K62" s="4">
        <v>0.127</v>
      </c>
      <c r="L62" s="4">
        <v>1.7000000000000001E-2</v>
      </c>
      <c r="M62" s="4">
        <v>2.9000000000000001E-2</v>
      </c>
      <c r="N62" s="4">
        <v>4.0000000000000001E-3</v>
      </c>
      <c r="O62" s="4">
        <v>0</v>
      </c>
      <c r="P62" s="4">
        <v>8.9999999999999993E-3</v>
      </c>
      <c r="Q62" s="4">
        <f t="shared" si="6"/>
        <v>1.2636363636363639</v>
      </c>
      <c r="R62" s="4">
        <f t="shared" si="5"/>
        <v>1.7318181818181819</v>
      </c>
      <c r="S62" s="4">
        <f t="shared" si="7"/>
        <v>4.0909090909090899</v>
      </c>
      <c r="T62" s="4">
        <f t="shared" si="8"/>
        <v>5.0909090909090908</v>
      </c>
      <c r="U62" s="1">
        <f t="shared" si="9"/>
        <v>5.3819444444444438</v>
      </c>
      <c r="V62" s="3">
        <f t="shared" si="10"/>
        <v>1.094488188976378</v>
      </c>
    </row>
    <row r="63" spans="1:22" x14ac:dyDescent="0.3">
      <c r="A63" s="2">
        <v>62</v>
      </c>
      <c r="B63" s="2">
        <v>21</v>
      </c>
      <c r="C63" s="2">
        <v>663</v>
      </c>
      <c r="D63" s="2">
        <v>22</v>
      </c>
      <c r="E63" s="2">
        <v>45</v>
      </c>
      <c r="F63" s="4">
        <v>21.6</v>
      </c>
      <c r="G63" s="4">
        <v>0.61</v>
      </c>
      <c r="H63" s="4">
        <v>1.2E-2</v>
      </c>
      <c r="I63" s="4">
        <v>9.0999999999999998E-2</v>
      </c>
      <c r="J63" s="4">
        <v>1.2999999999999999E-2</v>
      </c>
      <c r="K63" s="4">
        <v>7.0000000000000007E-2</v>
      </c>
      <c r="L63" s="4">
        <v>1.0999999999999999E-2</v>
      </c>
      <c r="M63" s="4">
        <v>1.9E-2</v>
      </c>
      <c r="N63" s="4">
        <v>3.0000000000000001E-3</v>
      </c>
      <c r="O63" s="4">
        <v>0</v>
      </c>
      <c r="P63" s="4">
        <v>6.0000000000000001E-3</v>
      </c>
      <c r="Q63" s="4">
        <f t="shared" si="6"/>
        <v>0.82727272727272716</v>
      </c>
      <c r="R63" s="4">
        <f t="shared" si="5"/>
        <v>0.95454545454545459</v>
      </c>
      <c r="S63" s="4">
        <f t="shared" si="7"/>
        <v>1.8181818181818077</v>
      </c>
      <c r="T63" s="4">
        <f t="shared" si="8"/>
        <v>2.0454545454545454</v>
      </c>
      <c r="U63" s="1">
        <f t="shared" si="9"/>
        <v>4.6336633663366342</v>
      </c>
      <c r="V63" s="3">
        <f t="shared" si="10"/>
        <v>1.2999999999999998</v>
      </c>
    </row>
    <row r="64" spans="1:22" x14ac:dyDescent="0.3">
      <c r="A64" s="2">
        <v>63</v>
      </c>
      <c r="B64" s="2">
        <v>21</v>
      </c>
      <c r="C64" s="2">
        <v>663</v>
      </c>
      <c r="D64" s="2">
        <v>22</v>
      </c>
      <c r="E64" s="2">
        <v>75</v>
      </c>
      <c r="F64" s="4">
        <v>21.1</v>
      </c>
      <c r="G64" s="4">
        <v>0.74</v>
      </c>
      <c r="H64" s="4">
        <v>1.2999999999999999E-2</v>
      </c>
      <c r="I64" s="4">
        <v>0.122</v>
      </c>
      <c r="J64" s="4">
        <v>1.4E-2</v>
      </c>
      <c r="K64" s="4">
        <v>0.105</v>
      </c>
      <c r="L64" s="4">
        <v>1.4E-2</v>
      </c>
      <c r="M64" s="4">
        <v>2.5999999999999999E-2</v>
      </c>
      <c r="N64" s="4">
        <v>4.0000000000000001E-3</v>
      </c>
      <c r="O64" s="4">
        <v>0</v>
      </c>
      <c r="P64" s="4">
        <v>7.0000000000000001E-3</v>
      </c>
      <c r="Q64" s="4">
        <f t="shared" si="6"/>
        <v>1.1090909090909091</v>
      </c>
      <c r="R64" s="4">
        <f t="shared" si="5"/>
        <v>1.4318181818181819</v>
      </c>
      <c r="S64" s="4">
        <f t="shared" si="7"/>
        <v>4.0909090909090899</v>
      </c>
      <c r="T64" s="4">
        <f t="shared" si="8"/>
        <v>3.4090909090909092</v>
      </c>
      <c r="U64" s="1">
        <f t="shared" si="9"/>
        <v>5.4793388429752055</v>
      </c>
      <c r="V64" s="3">
        <f t="shared" si="10"/>
        <v>1.161904761904762</v>
      </c>
    </row>
    <row r="65" spans="1:22" x14ac:dyDescent="0.3">
      <c r="A65" s="2">
        <v>64</v>
      </c>
      <c r="B65" s="2">
        <v>21</v>
      </c>
      <c r="C65" s="2">
        <v>663</v>
      </c>
      <c r="D65" s="2">
        <v>37</v>
      </c>
      <c r="E65" s="2">
        <v>75</v>
      </c>
      <c r="F65" s="4">
        <v>35.200000000000003</v>
      </c>
      <c r="G65" s="4">
        <v>1.03</v>
      </c>
      <c r="H65" s="4">
        <v>2.5000000000000001E-2</v>
      </c>
      <c r="I65" s="4">
        <v>0.151</v>
      </c>
      <c r="J65" s="4">
        <v>1.4999999999999999E-2</v>
      </c>
      <c r="K65" s="4">
        <v>0.121</v>
      </c>
      <c r="L65" s="4">
        <v>0</v>
      </c>
      <c r="M65" s="4">
        <v>0.04</v>
      </c>
      <c r="N65" s="4">
        <v>4.0000000000000001E-3</v>
      </c>
      <c r="O65" s="4">
        <v>5.0000000000000001E-3</v>
      </c>
      <c r="P65" s="4">
        <v>1.2E-2</v>
      </c>
      <c r="Q65" s="4">
        <f t="shared" si="6"/>
        <v>0.81621621621621632</v>
      </c>
      <c r="R65" s="4">
        <f t="shared" si="5"/>
        <v>0.98108108108108105</v>
      </c>
      <c r="S65" s="4">
        <f t="shared" si="7"/>
        <v>4.8648648648648596</v>
      </c>
      <c r="T65" s="4">
        <f t="shared" si="8"/>
        <v>2.0270270270270272</v>
      </c>
      <c r="U65" s="1">
        <f t="shared" si="9"/>
        <v>8.018867924528303</v>
      </c>
      <c r="V65" s="3">
        <f t="shared" si="10"/>
        <v>1.2479338842975207</v>
      </c>
    </row>
    <row r="66" spans="1:22" x14ac:dyDescent="0.3">
      <c r="A66" s="2">
        <v>65</v>
      </c>
      <c r="B66" s="2">
        <v>21</v>
      </c>
      <c r="C66" s="2">
        <v>663</v>
      </c>
      <c r="D66" s="2">
        <v>11</v>
      </c>
      <c r="E66" s="2">
        <v>75</v>
      </c>
      <c r="F66" s="4">
        <v>11</v>
      </c>
      <c r="G66" s="4">
        <v>0.42</v>
      </c>
      <c r="H66" s="4">
        <v>4.0000000000000001E-3</v>
      </c>
      <c r="I66" s="4">
        <v>8.2000000000000003E-2</v>
      </c>
      <c r="J66" s="4">
        <v>1.4999999999999999E-2</v>
      </c>
      <c r="K66" s="4">
        <v>7.1999999999999995E-2</v>
      </c>
      <c r="L66" s="4">
        <v>1.4999999999999999E-2</v>
      </c>
      <c r="M66" s="4">
        <v>1E-3</v>
      </c>
      <c r="N66" s="4">
        <v>0</v>
      </c>
      <c r="O66" s="4">
        <v>0</v>
      </c>
      <c r="P66" s="4">
        <v>2.1000000000000001E-2</v>
      </c>
      <c r="Q66" s="4">
        <f t="shared" ref="Q66:Q97" si="11">2*I66/D66*100</f>
        <v>1.490909090909091</v>
      </c>
      <c r="R66" s="4">
        <f t="shared" si="5"/>
        <v>1.9636363636363632</v>
      </c>
      <c r="S66" s="4">
        <f t="shared" ref="S66:S97" si="12">(1-F66/D66)*100</f>
        <v>0</v>
      </c>
      <c r="T66" s="4">
        <f t="shared" ref="T66:T97" si="13">E66/D66</f>
        <v>6.8181818181818183</v>
      </c>
      <c r="U66" s="1">
        <f t="shared" ref="U66:U97" si="14">(2*I66+3*K66+4*M66+5*O66)/(2*J66+3*L66+4*N66+5*P66)</f>
        <v>2.1333333333333333</v>
      </c>
      <c r="V66" s="3">
        <f t="shared" ref="V66:V97" si="15">I66/K66</f>
        <v>1.1388888888888891</v>
      </c>
    </row>
    <row r="67" spans="1:22" x14ac:dyDescent="0.3">
      <c r="A67" s="2">
        <v>66</v>
      </c>
      <c r="B67" s="2">
        <v>21</v>
      </c>
      <c r="C67" s="2">
        <v>663</v>
      </c>
      <c r="D67" s="2">
        <v>22</v>
      </c>
      <c r="E67" s="2">
        <v>75</v>
      </c>
      <c r="F67" s="4">
        <v>21</v>
      </c>
      <c r="G67" s="4">
        <v>0.76</v>
      </c>
      <c r="H67" s="4">
        <v>1.4E-2</v>
      </c>
      <c r="I67" s="4">
        <v>0.123</v>
      </c>
      <c r="J67" s="4">
        <v>1.4999999999999999E-2</v>
      </c>
      <c r="K67" s="4">
        <v>0.108</v>
      </c>
      <c r="L67" s="4">
        <v>1.6E-2</v>
      </c>
      <c r="M67" s="4">
        <v>2.5999999999999999E-2</v>
      </c>
      <c r="N67" s="4">
        <v>4.0000000000000001E-3</v>
      </c>
      <c r="O67" s="4">
        <v>3.0000000000000001E-3</v>
      </c>
      <c r="P67" s="4">
        <v>8.0000000000000002E-3</v>
      </c>
      <c r="Q67" s="4">
        <f t="shared" si="11"/>
        <v>1.1181818181818182</v>
      </c>
      <c r="R67" s="4">
        <f t="shared" ref="R67:R97" si="16">K67*3/D67*100</f>
        <v>1.4727272727272727</v>
      </c>
      <c r="S67" s="4">
        <f t="shared" si="12"/>
        <v>4.5454545454545414</v>
      </c>
      <c r="T67" s="4">
        <f t="shared" si="13"/>
        <v>3.4090909090909092</v>
      </c>
      <c r="U67" s="1">
        <f t="shared" si="14"/>
        <v>5.1417910447761193</v>
      </c>
      <c r="V67" s="3">
        <f t="shared" si="15"/>
        <v>1.1388888888888888</v>
      </c>
    </row>
    <row r="68" spans="1:22" x14ac:dyDescent="0.3">
      <c r="A68" s="2">
        <v>67</v>
      </c>
      <c r="B68" s="2">
        <v>21</v>
      </c>
      <c r="C68" s="2">
        <v>693</v>
      </c>
      <c r="D68" s="2">
        <v>22</v>
      </c>
      <c r="E68" s="2">
        <v>75</v>
      </c>
      <c r="F68" s="4">
        <v>21.4</v>
      </c>
      <c r="G68" s="4">
        <v>0.56999999999999995</v>
      </c>
      <c r="H68" s="4">
        <v>3.2000000000000001E-2</v>
      </c>
      <c r="I68" s="4">
        <v>7.3999999999999996E-2</v>
      </c>
      <c r="J68" s="4">
        <v>0.04</v>
      </c>
      <c r="K68" s="4">
        <v>5.6000000000000001E-2</v>
      </c>
      <c r="L68" s="4">
        <v>2.7E-2</v>
      </c>
      <c r="M68" s="4">
        <v>1.4999999999999999E-2</v>
      </c>
      <c r="N68" s="4">
        <v>2E-3</v>
      </c>
      <c r="O68" s="4">
        <v>1E-3</v>
      </c>
      <c r="P68" s="4">
        <v>4.0000000000000001E-3</v>
      </c>
      <c r="Q68" s="4">
        <f t="shared" si="11"/>
        <v>0.67272727272727262</v>
      </c>
      <c r="R68" s="4">
        <f t="shared" si="16"/>
        <v>0.76363636363636367</v>
      </c>
      <c r="S68" s="4">
        <f t="shared" si="12"/>
        <v>2.7272727272727337</v>
      </c>
      <c r="T68" s="4">
        <f t="shared" si="13"/>
        <v>3.4090909090909092</v>
      </c>
      <c r="U68" s="1">
        <f t="shared" si="14"/>
        <v>2.0158730158730158</v>
      </c>
      <c r="V68" s="3">
        <f t="shared" si="15"/>
        <v>1.3214285714285714</v>
      </c>
    </row>
    <row r="69" spans="1:22" x14ac:dyDescent="0.3">
      <c r="A69" s="2">
        <v>68</v>
      </c>
      <c r="B69" s="2">
        <v>21</v>
      </c>
      <c r="C69" s="2">
        <v>693</v>
      </c>
      <c r="D69" s="2">
        <v>11</v>
      </c>
      <c r="E69" s="2">
        <v>37</v>
      </c>
      <c r="F69" s="4">
        <v>11.3</v>
      </c>
      <c r="G69" s="4">
        <v>0.48</v>
      </c>
      <c r="H69" s="4">
        <v>3.9E-2</v>
      </c>
      <c r="I69" s="4">
        <v>5.1999999999999998E-2</v>
      </c>
      <c r="J69" s="4">
        <v>3.6999999999999998E-2</v>
      </c>
      <c r="K69" s="4">
        <v>3.6999999999999998E-2</v>
      </c>
      <c r="L69" s="4">
        <v>2.4E-2</v>
      </c>
      <c r="M69" s="4">
        <v>1.4E-2</v>
      </c>
      <c r="N69" s="4">
        <v>2E-3</v>
      </c>
      <c r="O69" s="4">
        <v>0</v>
      </c>
      <c r="P69" s="4">
        <v>4.0000000000000001E-3</v>
      </c>
      <c r="Q69" s="4">
        <f t="shared" si="11"/>
        <v>0.94545454545454533</v>
      </c>
      <c r="R69" s="4">
        <f t="shared" si="16"/>
        <v>1.009090909090909</v>
      </c>
      <c r="S69" s="4">
        <f t="shared" si="12"/>
        <v>-2.7272727272727337</v>
      </c>
      <c r="T69" s="4">
        <f t="shared" si="13"/>
        <v>3.3636363636363638</v>
      </c>
      <c r="U69" s="1">
        <f t="shared" si="14"/>
        <v>1.5574712643678157</v>
      </c>
      <c r="V69" s="3">
        <f t="shared" si="15"/>
        <v>1.4054054054054055</v>
      </c>
    </row>
    <row r="70" spans="1:22" x14ac:dyDescent="0.3">
      <c r="A70" s="2">
        <v>69</v>
      </c>
      <c r="B70" s="2">
        <v>21</v>
      </c>
      <c r="C70" s="2">
        <v>693</v>
      </c>
      <c r="D70" s="2">
        <v>37</v>
      </c>
      <c r="E70" s="2">
        <v>130</v>
      </c>
      <c r="F70" s="4">
        <v>35.799999999999997</v>
      </c>
      <c r="G70" s="4">
        <v>0.67</v>
      </c>
      <c r="H70" s="4">
        <v>1.2E-2</v>
      </c>
      <c r="I70" s="4">
        <v>9.5000000000000001E-2</v>
      </c>
      <c r="J70" s="4">
        <v>4.2999999999999997E-2</v>
      </c>
      <c r="K70" s="4">
        <v>7.0999999999999994E-2</v>
      </c>
      <c r="L70" s="4">
        <v>2.8000000000000001E-2</v>
      </c>
      <c r="M70" s="4">
        <v>1.2999999999999999E-2</v>
      </c>
      <c r="N70" s="4">
        <v>3.0000000000000001E-3</v>
      </c>
      <c r="O70" s="4">
        <v>0</v>
      </c>
      <c r="P70" s="4">
        <v>5.0000000000000001E-3</v>
      </c>
      <c r="Q70" s="4">
        <f t="shared" si="11"/>
        <v>0.5135135135135136</v>
      </c>
      <c r="R70" s="4">
        <f t="shared" si="16"/>
        <v>0.57567567567567557</v>
      </c>
      <c r="S70" s="4">
        <f t="shared" si="12"/>
        <v>3.2432432432432545</v>
      </c>
      <c r="T70" s="4">
        <f t="shared" si="13"/>
        <v>3.5135135135135136</v>
      </c>
      <c r="U70" s="1">
        <f t="shared" si="14"/>
        <v>2.1980676328502415</v>
      </c>
      <c r="V70" s="3">
        <f t="shared" si="15"/>
        <v>1.3380281690140847</v>
      </c>
    </row>
    <row r="71" spans="1:22" x14ac:dyDescent="0.3">
      <c r="A71" s="2">
        <v>70</v>
      </c>
      <c r="B71" s="2">
        <v>21</v>
      </c>
      <c r="C71" s="2">
        <v>693</v>
      </c>
      <c r="D71" s="2">
        <v>22</v>
      </c>
      <c r="E71" s="2">
        <v>75</v>
      </c>
      <c r="F71" s="4">
        <v>21.6</v>
      </c>
      <c r="G71" s="4">
        <v>0.5</v>
      </c>
      <c r="H71" s="4">
        <v>3.9E-2</v>
      </c>
      <c r="I71" s="4">
        <v>0.06</v>
      </c>
      <c r="J71" s="4">
        <v>3.9E-2</v>
      </c>
      <c r="K71" s="4">
        <v>4.5999999999999999E-2</v>
      </c>
      <c r="L71" s="4">
        <v>2.5000000000000001E-2</v>
      </c>
      <c r="M71" s="4">
        <v>1.4E-2</v>
      </c>
      <c r="N71" s="4">
        <v>3.0000000000000001E-3</v>
      </c>
      <c r="O71" s="4">
        <v>2E-3</v>
      </c>
      <c r="P71" s="4">
        <v>4.0000000000000001E-3</v>
      </c>
      <c r="Q71" s="4">
        <f t="shared" si="11"/>
        <v>0.54545454545454541</v>
      </c>
      <c r="R71" s="4">
        <f t="shared" si="16"/>
        <v>0.62727272727272732</v>
      </c>
      <c r="S71" s="4">
        <f t="shared" si="12"/>
        <v>1.8181818181818077</v>
      </c>
      <c r="T71" s="4">
        <f t="shared" si="13"/>
        <v>3.4090909090909092</v>
      </c>
      <c r="U71" s="1">
        <f t="shared" si="14"/>
        <v>1.7513513513513512</v>
      </c>
      <c r="V71" s="3">
        <f t="shared" si="15"/>
        <v>1.3043478260869565</v>
      </c>
    </row>
    <row r="72" spans="1:22" x14ac:dyDescent="0.3">
      <c r="A72" s="2">
        <v>71</v>
      </c>
      <c r="B72" s="2">
        <v>21</v>
      </c>
      <c r="C72" s="2">
        <v>693</v>
      </c>
      <c r="D72" s="2">
        <v>22</v>
      </c>
      <c r="E72" s="2">
        <v>112</v>
      </c>
      <c r="F72" s="4">
        <v>21.7</v>
      </c>
      <c r="G72" s="4">
        <v>0.48</v>
      </c>
      <c r="H72" s="4">
        <v>1.4E-2</v>
      </c>
      <c r="I72" s="4">
        <v>6.0999999999999999E-2</v>
      </c>
      <c r="J72" s="4">
        <v>4.2999999999999997E-2</v>
      </c>
      <c r="K72" s="4">
        <v>5.1999999999999998E-2</v>
      </c>
      <c r="L72" s="4">
        <v>2.9000000000000001E-2</v>
      </c>
      <c r="M72" s="4">
        <v>1.6E-2</v>
      </c>
      <c r="N72" s="4">
        <v>1E-3</v>
      </c>
      <c r="O72" s="4">
        <v>4.0000000000000001E-3</v>
      </c>
      <c r="P72" s="4">
        <v>5.0000000000000001E-3</v>
      </c>
      <c r="Q72" s="4">
        <f t="shared" si="11"/>
        <v>0.55454545454545456</v>
      </c>
      <c r="R72" s="4">
        <f t="shared" si="16"/>
        <v>0.70909090909090911</v>
      </c>
      <c r="S72" s="4">
        <f t="shared" si="12"/>
        <v>1.3636363636363669</v>
      </c>
      <c r="T72" s="4">
        <f t="shared" si="13"/>
        <v>5.0909090909090908</v>
      </c>
      <c r="U72" s="1">
        <f t="shared" si="14"/>
        <v>1.7920792079207923</v>
      </c>
      <c r="V72" s="3">
        <f t="shared" si="15"/>
        <v>1.1730769230769231</v>
      </c>
    </row>
    <row r="73" spans="1:22" x14ac:dyDescent="0.3">
      <c r="A73" s="2">
        <v>72</v>
      </c>
      <c r="B73" s="2">
        <v>21</v>
      </c>
      <c r="C73" s="2">
        <v>693</v>
      </c>
      <c r="D73" s="2">
        <v>22</v>
      </c>
      <c r="E73" s="2">
        <v>45</v>
      </c>
      <c r="F73" s="4">
        <v>22</v>
      </c>
      <c r="G73" s="4">
        <v>0.42</v>
      </c>
      <c r="H73" s="4">
        <v>2.7E-2</v>
      </c>
      <c r="I73" s="4">
        <v>4.1000000000000002E-2</v>
      </c>
      <c r="J73" s="4">
        <v>3.3000000000000002E-2</v>
      </c>
      <c r="K73" s="4">
        <v>2.8000000000000001E-2</v>
      </c>
      <c r="L73" s="4">
        <v>1.7999999999999999E-2</v>
      </c>
      <c r="M73" s="4">
        <v>8.9999999999999993E-3</v>
      </c>
      <c r="N73" s="4">
        <v>4.0000000000000001E-3</v>
      </c>
      <c r="O73" s="4">
        <v>0</v>
      </c>
      <c r="P73" s="4">
        <v>3.0000000000000001E-3</v>
      </c>
      <c r="Q73" s="4">
        <f t="shared" si="11"/>
        <v>0.37272727272727274</v>
      </c>
      <c r="R73" s="4">
        <f t="shared" si="16"/>
        <v>0.38181818181818183</v>
      </c>
      <c r="S73" s="4">
        <f t="shared" si="12"/>
        <v>0</v>
      </c>
      <c r="T73" s="4">
        <f t="shared" si="13"/>
        <v>2.0454545454545454</v>
      </c>
      <c r="U73" s="1">
        <f t="shared" si="14"/>
        <v>1.3377483443708609</v>
      </c>
      <c r="V73" s="3">
        <f t="shared" si="15"/>
        <v>1.4642857142857144</v>
      </c>
    </row>
    <row r="74" spans="1:22" x14ac:dyDescent="0.3">
      <c r="A74" s="2">
        <v>73</v>
      </c>
      <c r="B74" s="2">
        <v>21</v>
      </c>
      <c r="C74" s="2">
        <v>693</v>
      </c>
      <c r="D74" s="2">
        <v>22</v>
      </c>
      <c r="E74" s="2">
        <v>75</v>
      </c>
      <c r="F74" s="4">
        <v>21.6</v>
      </c>
      <c r="G74" s="4">
        <v>0.48</v>
      </c>
      <c r="H74" s="4">
        <v>2.5999999999999999E-2</v>
      </c>
      <c r="I74" s="4">
        <v>5.5E-2</v>
      </c>
      <c r="J74" s="4">
        <v>0.04</v>
      </c>
      <c r="K74" s="4">
        <v>4.1000000000000002E-2</v>
      </c>
      <c r="L74" s="4">
        <v>2.4E-2</v>
      </c>
      <c r="M74" s="4">
        <v>1.0999999999999999E-2</v>
      </c>
      <c r="N74" s="4">
        <v>3.0000000000000001E-3</v>
      </c>
      <c r="O74" s="4">
        <v>0</v>
      </c>
      <c r="P74" s="4">
        <v>3.0000000000000001E-3</v>
      </c>
      <c r="Q74" s="4">
        <f t="shared" si="11"/>
        <v>0.5</v>
      </c>
      <c r="R74" s="4">
        <f t="shared" si="16"/>
        <v>0.55909090909090908</v>
      </c>
      <c r="S74" s="4">
        <f t="shared" si="12"/>
        <v>1.8181818181818077</v>
      </c>
      <c r="T74" s="4">
        <f t="shared" si="13"/>
        <v>3.4090909090909092</v>
      </c>
      <c r="U74" s="1">
        <f t="shared" si="14"/>
        <v>1.5474860335195524</v>
      </c>
      <c r="V74" s="3">
        <f t="shared" si="15"/>
        <v>1.3414634146341462</v>
      </c>
    </row>
    <row r="75" spans="1:22" x14ac:dyDescent="0.3">
      <c r="A75" s="2">
        <v>74</v>
      </c>
      <c r="B75" s="2">
        <v>21</v>
      </c>
      <c r="C75" s="2">
        <v>693</v>
      </c>
      <c r="D75" s="2">
        <v>37</v>
      </c>
      <c r="E75" s="2">
        <v>75</v>
      </c>
      <c r="F75" s="4">
        <v>35.6</v>
      </c>
      <c r="G75" s="4">
        <v>0.86</v>
      </c>
      <c r="H75" s="4">
        <v>3.2000000000000001E-2</v>
      </c>
      <c r="I75" s="4">
        <v>0.10199999999999999</v>
      </c>
      <c r="J75" s="4">
        <v>4.3999999999999997E-2</v>
      </c>
      <c r="K75" s="4">
        <v>7.3999999999999996E-2</v>
      </c>
      <c r="L75" s="4">
        <v>2.8000000000000001E-2</v>
      </c>
      <c r="M75" s="4">
        <v>1.4E-2</v>
      </c>
      <c r="N75" s="4">
        <v>2E-3</v>
      </c>
      <c r="O75" s="4">
        <v>1.2E-2</v>
      </c>
      <c r="P75" s="4">
        <v>7.0000000000000001E-3</v>
      </c>
      <c r="Q75" s="4">
        <f t="shared" si="11"/>
        <v>0.55135135135135127</v>
      </c>
      <c r="R75" s="4">
        <f t="shared" si="16"/>
        <v>0.6</v>
      </c>
      <c r="S75" s="4">
        <f t="shared" si="12"/>
        <v>3.7837837837837784</v>
      </c>
      <c r="T75" s="4">
        <f t="shared" si="13"/>
        <v>2.0270270270270272</v>
      </c>
      <c r="U75" s="1">
        <f t="shared" si="14"/>
        <v>2.5209302325581393</v>
      </c>
      <c r="V75" s="3">
        <f t="shared" si="15"/>
        <v>1.3783783783783783</v>
      </c>
    </row>
    <row r="76" spans="1:22" x14ac:dyDescent="0.3">
      <c r="A76" s="2">
        <v>75</v>
      </c>
      <c r="B76" s="2">
        <v>21</v>
      </c>
      <c r="C76" s="2">
        <v>693</v>
      </c>
      <c r="D76" s="2">
        <v>11</v>
      </c>
      <c r="E76" s="2">
        <v>75</v>
      </c>
      <c r="F76" s="4">
        <v>11.7</v>
      </c>
      <c r="G76" s="4">
        <v>0.22</v>
      </c>
      <c r="H76" s="4">
        <v>4.5999999999999999E-2</v>
      </c>
      <c r="I76" s="4">
        <v>2.4E-2</v>
      </c>
      <c r="J76" s="4">
        <v>0.03</v>
      </c>
      <c r="K76" s="4">
        <v>0.02</v>
      </c>
      <c r="L76" s="4">
        <v>1.7999999999999999E-2</v>
      </c>
      <c r="M76" s="4">
        <v>0.01</v>
      </c>
      <c r="N76" s="4">
        <v>5.0000000000000001E-3</v>
      </c>
      <c r="O76" s="4">
        <v>1.2E-2</v>
      </c>
      <c r="P76" s="4">
        <v>6.0000000000000001E-3</v>
      </c>
      <c r="Q76" s="4">
        <f t="shared" si="11"/>
        <v>0.4363636363636364</v>
      </c>
      <c r="R76" s="4">
        <f t="shared" si="16"/>
        <v>0.54545454545454541</v>
      </c>
      <c r="S76" s="4">
        <f t="shared" si="12"/>
        <v>-6.3636363636363491</v>
      </c>
      <c r="T76" s="4">
        <f t="shared" si="13"/>
        <v>6.8181818181818183</v>
      </c>
      <c r="U76" s="1">
        <f t="shared" si="14"/>
        <v>1.2682926829268293</v>
      </c>
      <c r="V76" s="3">
        <f t="shared" si="15"/>
        <v>1.2</v>
      </c>
    </row>
    <row r="77" spans="1:22" x14ac:dyDescent="0.3">
      <c r="A77" s="2">
        <v>76</v>
      </c>
      <c r="B77" s="2">
        <v>21</v>
      </c>
      <c r="C77" s="2">
        <v>693</v>
      </c>
      <c r="D77" s="2">
        <v>22</v>
      </c>
      <c r="E77" s="2">
        <v>75</v>
      </c>
      <c r="F77" s="4">
        <v>21.6</v>
      </c>
      <c r="G77" s="4">
        <v>0.47</v>
      </c>
      <c r="H77" s="4">
        <v>4.1000000000000002E-2</v>
      </c>
      <c r="I77" s="4">
        <v>0.05</v>
      </c>
      <c r="J77" s="4">
        <v>0.04</v>
      </c>
      <c r="K77" s="4">
        <v>3.9E-2</v>
      </c>
      <c r="L77" s="4">
        <v>2.4E-2</v>
      </c>
      <c r="M77" s="4">
        <v>1.4E-2</v>
      </c>
      <c r="N77" s="4">
        <v>2E-3</v>
      </c>
      <c r="O77" s="4">
        <v>2E-3</v>
      </c>
      <c r="P77" s="4">
        <v>5.0000000000000001E-3</v>
      </c>
      <c r="Q77" s="4">
        <f t="shared" si="11"/>
        <v>0.45454545454545459</v>
      </c>
      <c r="R77" s="4">
        <f t="shared" si="16"/>
        <v>0.53181818181818186</v>
      </c>
      <c r="S77" s="4">
        <f t="shared" si="12"/>
        <v>1.8181818181818077</v>
      </c>
      <c r="T77" s="4">
        <f t="shared" si="13"/>
        <v>3.4090909090909092</v>
      </c>
      <c r="U77" s="1">
        <f t="shared" si="14"/>
        <v>1.5297297297297296</v>
      </c>
      <c r="V77" s="3">
        <f t="shared" si="15"/>
        <v>1.2820512820512822</v>
      </c>
    </row>
    <row r="78" spans="1:22" x14ac:dyDescent="0.3">
      <c r="A78" s="2">
        <v>77</v>
      </c>
      <c r="B78" s="2">
        <v>21</v>
      </c>
      <c r="C78" s="2">
        <v>663</v>
      </c>
      <c r="D78" s="2">
        <v>22</v>
      </c>
      <c r="E78" s="2">
        <v>75</v>
      </c>
      <c r="F78" s="4">
        <v>21.3</v>
      </c>
      <c r="G78" s="4">
        <v>0.66</v>
      </c>
      <c r="H78" s="4">
        <v>3.1E-2</v>
      </c>
      <c r="I78" s="4">
        <v>9.8000000000000004E-2</v>
      </c>
      <c r="J78" s="4">
        <v>1.6E-2</v>
      </c>
      <c r="K78" s="4">
        <v>8.5999999999999993E-2</v>
      </c>
      <c r="L78" s="4">
        <v>1.6E-2</v>
      </c>
      <c r="M78" s="4">
        <v>7.0000000000000001E-3</v>
      </c>
      <c r="N78" s="4">
        <v>0</v>
      </c>
      <c r="O78" s="4">
        <v>8.9999999999999993E-3</v>
      </c>
      <c r="P78" s="4">
        <v>4.0000000000000001E-3</v>
      </c>
      <c r="Q78" s="4">
        <f t="shared" si="11"/>
        <v>0.89090909090909098</v>
      </c>
      <c r="R78" s="4">
        <f t="shared" si="16"/>
        <v>1.1727272727272726</v>
      </c>
      <c r="S78" s="4">
        <f t="shared" si="12"/>
        <v>3.1818181818181746</v>
      </c>
      <c r="T78" s="4">
        <f t="shared" si="13"/>
        <v>3.4090909090909092</v>
      </c>
      <c r="U78" s="1">
        <f t="shared" si="14"/>
        <v>5.27</v>
      </c>
      <c r="V78" s="3">
        <f t="shared" si="15"/>
        <v>1.1395348837209303</v>
      </c>
    </row>
    <row r="79" spans="1:22" x14ac:dyDescent="0.3">
      <c r="A79" s="5">
        <v>78</v>
      </c>
      <c r="B79" s="5">
        <v>21</v>
      </c>
      <c r="C79" s="5">
        <v>673</v>
      </c>
      <c r="D79" s="5">
        <v>22</v>
      </c>
      <c r="E79" s="5">
        <v>112</v>
      </c>
      <c r="F79" s="6">
        <v>16.600000000000001</v>
      </c>
      <c r="G79" s="6">
        <v>1.55</v>
      </c>
      <c r="H79" s="6">
        <v>4.8000000000000001E-2</v>
      </c>
      <c r="I79" s="6">
        <v>0.439</v>
      </c>
      <c r="J79" s="6">
        <v>4.5999999999999999E-2</v>
      </c>
      <c r="K79" s="6">
        <v>0.42199999999999999</v>
      </c>
      <c r="L79" s="6">
        <v>0.08</v>
      </c>
      <c r="M79" s="6">
        <v>5.3999999999999999E-2</v>
      </c>
      <c r="N79" s="6">
        <v>1.2E-2</v>
      </c>
      <c r="O79" s="6">
        <v>4.0000000000000001E-3</v>
      </c>
      <c r="P79" s="6">
        <v>1.9E-2</v>
      </c>
      <c r="Q79" s="6">
        <f t="shared" si="11"/>
        <v>3.9909090909090907</v>
      </c>
      <c r="R79" s="6">
        <f t="shared" si="16"/>
        <v>5.7545454545454549</v>
      </c>
      <c r="S79" s="6">
        <f t="shared" si="12"/>
        <v>24.545454545454536</v>
      </c>
      <c r="T79" s="6">
        <f t="shared" si="13"/>
        <v>5.0909090909090908</v>
      </c>
      <c r="U79" s="7">
        <f t="shared" si="14"/>
        <v>5.010526315789475</v>
      </c>
      <c r="V79" s="3">
        <f t="shared" si="15"/>
        <v>1.0402843601895735</v>
      </c>
    </row>
    <row r="80" spans="1:22" x14ac:dyDescent="0.3">
      <c r="A80" s="2">
        <v>79</v>
      </c>
      <c r="B80" s="2">
        <v>21</v>
      </c>
      <c r="C80" s="2">
        <v>673</v>
      </c>
      <c r="D80" s="2">
        <v>22</v>
      </c>
      <c r="E80" s="2">
        <v>45</v>
      </c>
      <c r="F80" s="4">
        <v>17.5</v>
      </c>
      <c r="G80" s="4">
        <v>1.89</v>
      </c>
      <c r="H80" s="4">
        <v>2.9000000000000001E-2</v>
      </c>
      <c r="I80" s="4">
        <v>0.28899999999999998</v>
      </c>
      <c r="J80" s="4">
        <v>3.6999999999999998E-2</v>
      </c>
      <c r="K80" s="4">
        <v>0.32500000000000001</v>
      </c>
      <c r="L80" s="4">
        <v>0.06</v>
      </c>
      <c r="M80" s="4">
        <v>5.8000000000000003E-2</v>
      </c>
      <c r="N80" s="4">
        <v>3.0000000000000001E-3</v>
      </c>
      <c r="O80" s="4">
        <v>3.0000000000000001E-3</v>
      </c>
      <c r="P80" s="4">
        <v>1.7000000000000001E-2</v>
      </c>
      <c r="Q80" s="4">
        <f t="shared" si="11"/>
        <v>2.627272727272727</v>
      </c>
      <c r="R80" s="4">
        <f t="shared" si="16"/>
        <v>4.4318181818181817</v>
      </c>
      <c r="S80" s="4">
        <f t="shared" si="12"/>
        <v>20.45454545454546</v>
      </c>
      <c r="T80" s="4">
        <f t="shared" si="13"/>
        <v>2.0454545454545454</v>
      </c>
      <c r="U80" s="1">
        <f t="shared" si="14"/>
        <v>5.1282051282051269</v>
      </c>
      <c r="V80" s="3">
        <f t="shared" si="15"/>
        <v>0.88923076923076916</v>
      </c>
    </row>
    <row r="81" spans="1:22" x14ac:dyDescent="0.3">
      <c r="A81" s="2">
        <v>80</v>
      </c>
      <c r="B81" s="2">
        <v>21</v>
      </c>
      <c r="C81" s="2">
        <v>673</v>
      </c>
      <c r="D81" s="2">
        <v>22</v>
      </c>
      <c r="E81" s="2">
        <v>75</v>
      </c>
      <c r="F81" s="4">
        <v>16.8</v>
      </c>
      <c r="G81" s="4">
        <v>1.8</v>
      </c>
      <c r="H81" s="4">
        <v>4.1000000000000002E-2</v>
      </c>
      <c r="I81" s="4">
        <v>0.35499999999999998</v>
      </c>
      <c r="J81" s="4">
        <v>4.3999999999999997E-2</v>
      </c>
      <c r="K81" s="4">
        <v>0.38900000000000001</v>
      </c>
      <c r="L81" s="4">
        <v>8.4000000000000005E-2</v>
      </c>
      <c r="M81" s="4">
        <v>5.1999999999999998E-2</v>
      </c>
      <c r="N81" s="4">
        <v>8.0000000000000002E-3</v>
      </c>
      <c r="O81" s="4">
        <v>2E-3</v>
      </c>
      <c r="P81" s="4">
        <v>3.1E-2</v>
      </c>
      <c r="Q81" s="4">
        <f t="shared" si="11"/>
        <v>3.2272727272727271</v>
      </c>
      <c r="R81" s="4">
        <f t="shared" si="16"/>
        <v>5.3045454545454547</v>
      </c>
      <c r="S81" s="4">
        <f t="shared" si="12"/>
        <v>23.636363636363633</v>
      </c>
      <c r="T81" s="4">
        <f t="shared" si="13"/>
        <v>3.4090909090909092</v>
      </c>
      <c r="U81" s="1">
        <f t="shared" si="14"/>
        <v>3.9753320683111948</v>
      </c>
      <c r="V81" s="3">
        <f t="shared" si="15"/>
        <v>0.91259640102827755</v>
      </c>
    </row>
    <row r="82" spans="1:22" x14ac:dyDescent="0.3">
      <c r="A82" s="2">
        <v>81</v>
      </c>
      <c r="B82" s="2">
        <v>21</v>
      </c>
      <c r="C82" s="2">
        <v>673</v>
      </c>
      <c r="D82" s="2">
        <v>37</v>
      </c>
      <c r="E82" s="2">
        <v>75</v>
      </c>
      <c r="F82" s="4">
        <v>29.1</v>
      </c>
      <c r="G82" s="4">
        <v>2.69</v>
      </c>
      <c r="H82" s="4">
        <v>4.5999999999999999E-2</v>
      </c>
      <c r="I82" s="4">
        <v>0.43</v>
      </c>
      <c r="J82" s="4">
        <v>4.7E-2</v>
      </c>
      <c r="K82" s="4">
        <v>0.49399999999999999</v>
      </c>
      <c r="L82" s="4">
        <v>9.0999999999999998E-2</v>
      </c>
      <c r="M82" s="4">
        <v>6.5000000000000002E-2</v>
      </c>
      <c r="N82" s="4">
        <v>0</v>
      </c>
      <c r="O82" s="4">
        <v>6.0000000000000001E-3</v>
      </c>
      <c r="P82" s="4">
        <v>2.5000000000000001E-2</v>
      </c>
      <c r="Q82" s="4">
        <f t="shared" si="11"/>
        <v>2.3243243243243241</v>
      </c>
      <c r="R82" s="4">
        <f t="shared" si="16"/>
        <v>4.0054054054054049</v>
      </c>
      <c r="S82" s="4">
        <f t="shared" si="12"/>
        <v>21.351351351351344</v>
      </c>
      <c r="T82" s="4">
        <f t="shared" si="13"/>
        <v>2.0270270270270272</v>
      </c>
      <c r="U82" s="1">
        <f t="shared" si="14"/>
        <v>5.3495934959349594</v>
      </c>
      <c r="V82" s="3">
        <f t="shared" si="15"/>
        <v>0.87044534412955465</v>
      </c>
    </row>
    <row r="83" spans="1:22" x14ac:dyDescent="0.3">
      <c r="A83" s="5">
        <v>82</v>
      </c>
      <c r="B83" s="5">
        <v>21</v>
      </c>
      <c r="C83" s="5">
        <v>673</v>
      </c>
      <c r="D83" s="5">
        <v>11</v>
      </c>
      <c r="E83" s="5">
        <v>75</v>
      </c>
      <c r="F83" s="6">
        <v>8.4</v>
      </c>
      <c r="G83" s="6">
        <v>0.95</v>
      </c>
      <c r="H83" s="6">
        <v>4.3999999999999997E-2</v>
      </c>
      <c r="I83" s="4">
        <v>0.248</v>
      </c>
      <c r="J83" s="6">
        <v>4.2999999999999997E-2</v>
      </c>
      <c r="K83" s="6">
        <v>0.26200000000000001</v>
      </c>
      <c r="L83" s="6">
        <v>9.2999999999999999E-2</v>
      </c>
      <c r="M83" s="6">
        <v>3.9E-2</v>
      </c>
      <c r="N83" s="6">
        <v>6.0000000000000001E-3</v>
      </c>
      <c r="O83" s="6">
        <v>2E-3</v>
      </c>
      <c r="P83" s="6">
        <v>0.02</v>
      </c>
      <c r="Q83" s="6">
        <f t="shared" si="11"/>
        <v>4.5090909090909088</v>
      </c>
      <c r="R83" s="4">
        <f t="shared" si="16"/>
        <v>7.1454545454545455</v>
      </c>
      <c r="S83" s="6">
        <f t="shared" si="12"/>
        <v>23.636363636363633</v>
      </c>
      <c r="T83" s="6">
        <f t="shared" si="13"/>
        <v>6.8181818181818183</v>
      </c>
      <c r="U83" s="7">
        <f t="shared" si="14"/>
        <v>2.9611451942740286</v>
      </c>
      <c r="V83" s="3">
        <f t="shared" si="15"/>
        <v>0.94656488549618312</v>
      </c>
    </row>
    <row r="84" spans="1:22" x14ac:dyDescent="0.3">
      <c r="A84" s="2">
        <v>83</v>
      </c>
      <c r="B84" s="2">
        <v>21</v>
      </c>
      <c r="C84" s="2">
        <v>673</v>
      </c>
      <c r="D84" s="2">
        <v>22</v>
      </c>
      <c r="E84" s="2">
        <v>75</v>
      </c>
      <c r="F84" s="4">
        <v>16.8</v>
      </c>
      <c r="G84" s="4">
        <v>1.79</v>
      </c>
      <c r="H84" s="4">
        <v>4.5999999999999999E-2</v>
      </c>
      <c r="I84" s="4">
        <v>0.315</v>
      </c>
      <c r="J84" s="4">
        <v>4.7E-2</v>
      </c>
      <c r="K84" s="4">
        <v>0.36899999999999999</v>
      </c>
      <c r="L84" s="4">
        <v>0.108</v>
      </c>
      <c r="M84" s="4">
        <v>5.0999999999999997E-2</v>
      </c>
      <c r="N84" s="4">
        <v>8.0000000000000002E-3</v>
      </c>
      <c r="O84" s="4">
        <v>5.0000000000000001E-3</v>
      </c>
      <c r="P84" s="4">
        <v>0.02</v>
      </c>
      <c r="Q84" s="4">
        <f t="shared" si="11"/>
        <v>2.8636363636363638</v>
      </c>
      <c r="R84" s="4">
        <f t="shared" si="16"/>
        <v>5.0318181818181813</v>
      </c>
      <c r="S84" s="4">
        <f t="shared" si="12"/>
        <v>23.636363636363633</v>
      </c>
      <c r="T84" s="4">
        <f t="shared" si="13"/>
        <v>3.4090909090909092</v>
      </c>
      <c r="U84" s="1">
        <f t="shared" si="14"/>
        <v>3.5745454545454542</v>
      </c>
      <c r="V84" s="3">
        <f t="shared" si="15"/>
        <v>0.85365853658536583</v>
      </c>
    </row>
    <row r="85" spans="1:22" x14ac:dyDescent="0.3">
      <c r="A85" s="2">
        <v>84</v>
      </c>
      <c r="B85" s="2">
        <v>21</v>
      </c>
      <c r="C85" s="2">
        <v>683</v>
      </c>
      <c r="D85" s="2">
        <v>22</v>
      </c>
      <c r="E85" s="2">
        <v>75</v>
      </c>
      <c r="F85" s="4">
        <v>16.100000000000001</v>
      </c>
      <c r="G85" s="4">
        <v>2.02</v>
      </c>
      <c r="H85" s="4">
        <v>6.8000000000000005E-2</v>
      </c>
      <c r="I85" s="4">
        <v>0.33900000000000002</v>
      </c>
      <c r="J85" s="4">
        <v>6.6000000000000003E-2</v>
      </c>
      <c r="K85" s="4">
        <v>0.38300000000000001</v>
      </c>
      <c r="L85" s="4">
        <v>0.153</v>
      </c>
      <c r="M85" s="4">
        <v>6.4000000000000001E-2</v>
      </c>
      <c r="N85" s="4">
        <v>8.9999999999999993E-3</v>
      </c>
      <c r="O85" s="4">
        <v>4.0000000000000001E-3</v>
      </c>
      <c r="P85" s="4">
        <v>2.5000000000000001E-2</v>
      </c>
      <c r="Q85" s="4">
        <f t="shared" si="11"/>
        <v>3.081818181818182</v>
      </c>
      <c r="R85" s="4">
        <f t="shared" si="16"/>
        <v>5.2227272727272727</v>
      </c>
      <c r="S85" s="4">
        <f t="shared" si="12"/>
        <v>26.818181818181806</v>
      </c>
      <c r="T85" s="4">
        <f t="shared" si="13"/>
        <v>3.4090909090909092</v>
      </c>
      <c r="U85" s="1">
        <f t="shared" si="14"/>
        <v>2.7965425531914896</v>
      </c>
      <c r="V85" s="3">
        <f t="shared" si="15"/>
        <v>0.88511749347258495</v>
      </c>
    </row>
    <row r="86" spans="1:22" x14ac:dyDescent="0.3">
      <c r="A86" s="2">
        <v>85</v>
      </c>
      <c r="B86" s="2">
        <v>21</v>
      </c>
      <c r="C86" s="2">
        <v>683</v>
      </c>
      <c r="D86" s="2">
        <v>11</v>
      </c>
      <c r="E86" s="2">
        <v>37</v>
      </c>
      <c r="F86" s="4">
        <v>7.5</v>
      </c>
      <c r="G86" s="4">
        <v>1.56</v>
      </c>
      <c r="H86" s="4">
        <v>0.06</v>
      </c>
      <c r="I86" s="4">
        <v>0.18099999999999999</v>
      </c>
      <c r="J86" s="4">
        <v>5.8000000000000003E-2</v>
      </c>
      <c r="K86" s="4">
        <v>0.251</v>
      </c>
      <c r="L86" s="4">
        <v>0.161</v>
      </c>
      <c r="M86" s="4">
        <v>4.5999999999999999E-2</v>
      </c>
      <c r="N86" s="4">
        <v>0</v>
      </c>
      <c r="O86" s="4">
        <v>1E-3</v>
      </c>
      <c r="P86" s="4">
        <v>2.7E-2</v>
      </c>
      <c r="Q86" s="4">
        <f t="shared" si="11"/>
        <v>3.290909090909091</v>
      </c>
      <c r="R86" s="4">
        <f t="shared" si="16"/>
        <v>6.8454545454545448</v>
      </c>
      <c r="S86" s="4">
        <f t="shared" si="12"/>
        <v>31.818181818181824</v>
      </c>
      <c r="T86" s="4">
        <f t="shared" si="13"/>
        <v>3.3636363636363638</v>
      </c>
      <c r="U86" s="1">
        <f t="shared" si="14"/>
        <v>1.7765667574931878</v>
      </c>
      <c r="V86" s="3">
        <f t="shared" si="15"/>
        <v>0.7211155378486056</v>
      </c>
    </row>
    <row r="87" spans="1:22" x14ac:dyDescent="0.3">
      <c r="A87" s="2">
        <v>86</v>
      </c>
      <c r="B87" s="2">
        <v>21</v>
      </c>
      <c r="C87" s="2">
        <v>683</v>
      </c>
      <c r="D87" s="2">
        <v>37</v>
      </c>
      <c r="E87" s="2">
        <v>130</v>
      </c>
      <c r="F87" s="4">
        <v>28.1</v>
      </c>
      <c r="G87" s="4">
        <v>2.5299999999999998</v>
      </c>
      <c r="H87" s="4">
        <v>9.7000000000000003E-2</v>
      </c>
      <c r="I87" s="4">
        <v>0.51200000000000001</v>
      </c>
      <c r="J87" s="4">
        <v>8.2000000000000003E-2</v>
      </c>
      <c r="K87" s="4">
        <v>0.52300000000000002</v>
      </c>
      <c r="L87" s="4">
        <v>0.183</v>
      </c>
      <c r="M87" s="4">
        <v>0.06</v>
      </c>
      <c r="N87" s="4">
        <v>1.7999999999999999E-2</v>
      </c>
      <c r="O87" s="4">
        <v>3.0000000000000001E-3</v>
      </c>
      <c r="P87" s="4">
        <v>1.4999999999999999E-2</v>
      </c>
      <c r="Q87" s="4">
        <f t="shared" si="11"/>
        <v>2.7675675675675677</v>
      </c>
      <c r="R87" s="4">
        <f t="shared" si="16"/>
        <v>4.2405405405405405</v>
      </c>
      <c r="S87" s="4">
        <f t="shared" si="12"/>
        <v>24.054054054054053</v>
      </c>
      <c r="T87" s="4">
        <f t="shared" si="13"/>
        <v>3.5135135135135136</v>
      </c>
      <c r="U87" s="1">
        <f t="shared" si="14"/>
        <v>3.3116279069767449</v>
      </c>
      <c r="V87" s="3">
        <f t="shared" si="15"/>
        <v>0.97896749521988524</v>
      </c>
    </row>
    <row r="88" spans="1:22" x14ac:dyDescent="0.3">
      <c r="A88" s="2">
        <v>87</v>
      </c>
      <c r="B88" s="2">
        <v>21</v>
      </c>
      <c r="C88" s="2">
        <v>683</v>
      </c>
      <c r="D88" s="2">
        <v>22</v>
      </c>
      <c r="E88" s="2">
        <v>75</v>
      </c>
      <c r="F88" s="4">
        <v>16.2</v>
      </c>
      <c r="G88" s="4">
        <v>2</v>
      </c>
      <c r="H88" s="4">
        <v>0.08</v>
      </c>
      <c r="I88" s="4">
        <v>0.317</v>
      </c>
      <c r="J88" s="4">
        <v>7.1999999999999995E-2</v>
      </c>
      <c r="K88" s="4">
        <v>0.35599999999999998</v>
      </c>
      <c r="L88" s="4">
        <v>0.17199999999999999</v>
      </c>
      <c r="M88" s="4">
        <v>5.0999999999999997E-2</v>
      </c>
      <c r="N88" s="4">
        <v>1.0999999999999999E-2</v>
      </c>
      <c r="O88" s="4">
        <v>3.0000000000000001E-3</v>
      </c>
      <c r="P88" s="4">
        <v>0.02</v>
      </c>
      <c r="Q88" s="4">
        <f t="shared" si="11"/>
        <v>2.8818181818181818</v>
      </c>
      <c r="R88" s="4">
        <f t="shared" si="16"/>
        <v>4.8545454545454554</v>
      </c>
      <c r="S88" s="4">
        <f t="shared" si="12"/>
        <v>26.363636363636367</v>
      </c>
      <c r="T88" s="4">
        <f t="shared" si="13"/>
        <v>3.4090909090909092</v>
      </c>
      <c r="U88" s="1">
        <f t="shared" si="14"/>
        <v>2.3893034825870645</v>
      </c>
      <c r="V88" s="3">
        <f t="shared" si="15"/>
        <v>0.8904494382022472</v>
      </c>
    </row>
    <row r="89" spans="1:22" x14ac:dyDescent="0.3">
      <c r="A89" s="2">
        <v>88</v>
      </c>
      <c r="B89" s="2">
        <v>21</v>
      </c>
      <c r="C89" s="2">
        <v>683</v>
      </c>
      <c r="D89" s="2">
        <v>22</v>
      </c>
      <c r="E89" s="2">
        <v>112</v>
      </c>
      <c r="F89" s="4">
        <v>15.8</v>
      </c>
      <c r="G89" s="4">
        <v>1.73</v>
      </c>
      <c r="H89" s="4">
        <v>9.2999999999999999E-2</v>
      </c>
      <c r="I89" s="4">
        <v>0.35399999999999998</v>
      </c>
      <c r="J89" s="4">
        <v>9.7000000000000003E-2</v>
      </c>
      <c r="K89" s="4">
        <v>0.36499999999999999</v>
      </c>
      <c r="L89" s="4">
        <v>0.219</v>
      </c>
      <c r="M89" s="4">
        <v>7.5999999999999998E-2</v>
      </c>
      <c r="N89" s="4">
        <v>2.9000000000000001E-2</v>
      </c>
      <c r="O89" s="4">
        <v>5.0000000000000001E-3</v>
      </c>
      <c r="P89" s="4">
        <v>0.02</v>
      </c>
      <c r="Q89" s="4">
        <f t="shared" si="11"/>
        <v>3.2181818181818178</v>
      </c>
      <c r="R89" s="4">
        <f t="shared" si="16"/>
        <v>4.9772727272727275</v>
      </c>
      <c r="S89" s="4">
        <f t="shared" si="12"/>
        <v>28.181818181818173</v>
      </c>
      <c r="T89" s="4">
        <f t="shared" si="13"/>
        <v>5.0909090909090908</v>
      </c>
      <c r="U89" s="1">
        <f t="shared" si="14"/>
        <v>1.9981255857544515</v>
      </c>
      <c r="V89" s="3">
        <f t="shared" si="15"/>
        <v>0.96986301369863015</v>
      </c>
    </row>
    <row r="90" spans="1:22" x14ac:dyDescent="0.3">
      <c r="A90" s="2">
        <v>89</v>
      </c>
      <c r="B90" s="2">
        <v>21</v>
      </c>
      <c r="C90" s="2">
        <v>683</v>
      </c>
      <c r="D90" s="2">
        <v>22</v>
      </c>
      <c r="E90" s="2">
        <v>45</v>
      </c>
      <c r="F90" s="4">
        <v>17.100000000000001</v>
      </c>
      <c r="G90" s="4">
        <v>2.1</v>
      </c>
      <c r="H90" s="4">
        <v>6.6000000000000003E-2</v>
      </c>
      <c r="I90" s="4">
        <v>0.252</v>
      </c>
      <c r="J90" s="4">
        <v>5.5E-2</v>
      </c>
      <c r="K90" s="4">
        <v>0.29699999999999999</v>
      </c>
      <c r="L90" s="4">
        <v>0.13500000000000001</v>
      </c>
      <c r="M90" s="4">
        <v>5.8000000000000003E-2</v>
      </c>
      <c r="N90" s="4">
        <v>8.0000000000000002E-3</v>
      </c>
      <c r="O90" s="4">
        <v>3.0000000000000001E-3</v>
      </c>
      <c r="P90" s="4">
        <v>2.8000000000000001E-2</v>
      </c>
      <c r="Q90" s="4">
        <f t="shared" si="11"/>
        <v>2.290909090909091</v>
      </c>
      <c r="R90" s="4">
        <f t="shared" si="16"/>
        <v>4.05</v>
      </c>
      <c r="S90" s="4">
        <f t="shared" si="12"/>
        <v>22.272727272727266</v>
      </c>
      <c r="T90" s="4">
        <f t="shared" si="13"/>
        <v>2.0454545454545454</v>
      </c>
      <c r="U90" s="1">
        <f t="shared" si="14"/>
        <v>2.3901018922852981</v>
      </c>
      <c r="V90" s="3">
        <f t="shared" si="15"/>
        <v>0.84848484848484851</v>
      </c>
    </row>
    <row r="91" spans="1:22" x14ac:dyDescent="0.3">
      <c r="A91" s="2">
        <v>90</v>
      </c>
      <c r="B91" s="2">
        <v>21</v>
      </c>
      <c r="C91" s="2">
        <v>683</v>
      </c>
      <c r="D91" s="2">
        <v>22</v>
      </c>
      <c r="E91" s="2">
        <v>75</v>
      </c>
      <c r="F91" s="4">
        <v>16.3</v>
      </c>
      <c r="G91" s="4">
        <v>1.98</v>
      </c>
      <c r="H91" s="4">
        <v>8.6999999999999994E-2</v>
      </c>
      <c r="I91" s="4">
        <v>0.32</v>
      </c>
      <c r="J91" s="4">
        <v>7.2999999999999995E-2</v>
      </c>
      <c r="K91" s="4">
        <v>0.35</v>
      </c>
      <c r="L91" s="4">
        <v>0.17399999999999999</v>
      </c>
      <c r="M91" s="4">
        <v>7.2999999999999995E-2</v>
      </c>
      <c r="N91" s="4">
        <v>6.0000000000000001E-3</v>
      </c>
      <c r="O91" s="4">
        <v>3.0000000000000001E-3</v>
      </c>
      <c r="P91" s="4">
        <v>2.4E-2</v>
      </c>
      <c r="Q91" s="4">
        <f t="shared" si="11"/>
        <v>2.9090909090909092</v>
      </c>
      <c r="R91" s="4">
        <f t="shared" si="16"/>
        <v>4.7727272727272725</v>
      </c>
      <c r="S91" s="4">
        <f t="shared" si="12"/>
        <v>25.909090909090903</v>
      </c>
      <c r="T91" s="4">
        <f t="shared" si="13"/>
        <v>3.4090909090909092</v>
      </c>
      <c r="U91" s="1">
        <f t="shared" si="14"/>
        <v>2.4593596059113296</v>
      </c>
      <c r="V91" s="3">
        <f t="shared" si="15"/>
        <v>0.91428571428571437</v>
      </c>
    </row>
    <row r="92" spans="1:22" x14ac:dyDescent="0.3">
      <c r="A92" s="2">
        <v>91</v>
      </c>
      <c r="B92" s="2">
        <v>21</v>
      </c>
      <c r="C92" s="2">
        <v>683</v>
      </c>
      <c r="D92" s="2">
        <v>37</v>
      </c>
      <c r="E92" s="2">
        <v>75</v>
      </c>
      <c r="F92" s="4">
        <v>28.2</v>
      </c>
      <c r="G92" s="4">
        <v>3.07</v>
      </c>
      <c r="H92" s="4">
        <v>8.6999999999999994E-2</v>
      </c>
      <c r="I92" s="4">
        <v>0.41299999999999998</v>
      </c>
      <c r="J92" s="4">
        <v>7.1999999999999995E-2</v>
      </c>
      <c r="K92" s="4">
        <v>0.48899999999999999</v>
      </c>
      <c r="L92" s="4">
        <v>0.182</v>
      </c>
      <c r="M92" s="4">
        <v>9.4E-2</v>
      </c>
      <c r="N92" s="4">
        <v>1.2E-2</v>
      </c>
      <c r="O92" s="4">
        <v>5.0000000000000001E-3</v>
      </c>
      <c r="P92" s="4">
        <v>4.2000000000000003E-2</v>
      </c>
      <c r="Q92" s="4">
        <f t="shared" si="11"/>
        <v>2.2324324324324323</v>
      </c>
      <c r="R92" s="4">
        <f t="shared" si="16"/>
        <v>3.964864864864865</v>
      </c>
      <c r="S92" s="4">
        <f t="shared" si="12"/>
        <v>23.783783783783786</v>
      </c>
      <c r="T92" s="4">
        <f t="shared" si="13"/>
        <v>2.0270270270270272</v>
      </c>
      <c r="U92" s="1">
        <f t="shared" si="14"/>
        <v>2.8417721518987338</v>
      </c>
      <c r="V92" s="3">
        <f t="shared" si="15"/>
        <v>0.84458077709611445</v>
      </c>
    </row>
    <row r="93" spans="1:22" x14ac:dyDescent="0.3">
      <c r="A93" s="5">
        <v>92</v>
      </c>
      <c r="B93" s="5">
        <v>21</v>
      </c>
      <c r="C93" s="5">
        <v>683</v>
      </c>
      <c r="D93" s="5">
        <v>11</v>
      </c>
      <c r="E93" s="5">
        <v>75</v>
      </c>
      <c r="F93" s="6">
        <v>8.1</v>
      </c>
      <c r="G93" s="6">
        <v>1.02</v>
      </c>
      <c r="H93" s="6">
        <v>7.0000000000000007E-2</v>
      </c>
      <c r="I93" s="6">
        <v>0.222</v>
      </c>
      <c r="J93" s="6">
        <v>9.2999999999999999E-2</v>
      </c>
      <c r="K93" s="6">
        <v>0.20499999999999999</v>
      </c>
      <c r="L93" s="6">
        <v>0.17</v>
      </c>
      <c r="M93" s="6">
        <v>4.1000000000000002E-2</v>
      </c>
      <c r="N93" s="6">
        <v>2.1000000000000001E-2</v>
      </c>
      <c r="O93" s="6">
        <v>2E-3</v>
      </c>
      <c r="P93" s="6">
        <v>1.6E-2</v>
      </c>
      <c r="Q93" s="6">
        <f t="shared" si="11"/>
        <v>4.0363636363636362</v>
      </c>
      <c r="R93" s="6">
        <f t="shared" si="16"/>
        <v>5.5909090909090908</v>
      </c>
      <c r="S93" s="6">
        <f t="shared" si="12"/>
        <v>26.363636363636367</v>
      </c>
      <c r="T93" s="6">
        <f t="shared" si="13"/>
        <v>6.8181818181818183</v>
      </c>
      <c r="U93" s="7">
        <f t="shared" si="14"/>
        <v>1.4337209302325582</v>
      </c>
      <c r="V93" s="3">
        <f t="shared" si="15"/>
        <v>1.0829268292682928</v>
      </c>
    </row>
    <row r="94" spans="1:22" x14ac:dyDescent="0.3">
      <c r="A94" s="2">
        <v>93</v>
      </c>
      <c r="B94" s="2">
        <v>21</v>
      </c>
      <c r="C94" s="2">
        <v>683</v>
      </c>
      <c r="D94" s="2">
        <v>22</v>
      </c>
      <c r="E94" s="2">
        <v>75</v>
      </c>
      <c r="F94" s="4">
        <v>16.3</v>
      </c>
      <c r="G94" s="4">
        <v>1.97</v>
      </c>
      <c r="H94" s="4">
        <v>9.2999999999999999E-2</v>
      </c>
      <c r="I94" s="4">
        <v>0.29299999999999998</v>
      </c>
      <c r="J94" s="4">
        <v>8.5000000000000006E-2</v>
      </c>
      <c r="K94" s="4">
        <v>0.312</v>
      </c>
      <c r="L94" s="4">
        <v>0.19800000000000001</v>
      </c>
      <c r="M94" s="4">
        <v>8.4000000000000005E-2</v>
      </c>
      <c r="N94" s="4">
        <v>0.02</v>
      </c>
      <c r="O94" s="4">
        <v>5.0000000000000001E-3</v>
      </c>
      <c r="P94" s="4">
        <v>3.3000000000000002E-2</v>
      </c>
      <c r="Q94" s="4">
        <f t="shared" si="11"/>
        <v>2.6636363636363636</v>
      </c>
      <c r="R94" s="4">
        <f t="shared" si="16"/>
        <v>4.2545454545454549</v>
      </c>
      <c r="S94" s="4">
        <f t="shared" si="12"/>
        <v>25.909090909090903</v>
      </c>
      <c r="T94" s="4">
        <f t="shared" si="13"/>
        <v>3.4090909090909092</v>
      </c>
      <c r="U94" s="1">
        <f t="shared" si="14"/>
        <v>1.866204162537165</v>
      </c>
      <c r="V94" s="3">
        <f t="shared" si="15"/>
        <v>0.9391025641025641</v>
      </c>
    </row>
    <row r="95" spans="1:22" x14ac:dyDescent="0.3">
      <c r="A95" s="2">
        <v>94</v>
      </c>
      <c r="B95" s="2">
        <v>21</v>
      </c>
      <c r="C95" s="2">
        <v>663</v>
      </c>
      <c r="D95" s="2">
        <v>22</v>
      </c>
      <c r="E95" s="2">
        <v>75</v>
      </c>
      <c r="F95" s="4">
        <v>17.8</v>
      </c>
      <c r="G95" s="4">
        <v>1.49</v>
      </c>
      <c r="H95" s="4">
        <v>5.2999999999999999E-2</v>
      </c>
      <c r="I95" s="4">
        <v>0.24099999999999999</v>
      </c>
      <c r="J95" s="4">
        <v>0.04</v>
      </c>
      <c r="K95" s="4">
        <v>0.28399999999999997</v>
      </c>
      <c r="L95" s="4">
        <v>0.113</v>
      </c>
      <c r="M95" s="4">
        <v>2.1000000000000001E-2</v>
      </c>
      <c r="N95" s="4">
        <v>2E-3</v>
      </c>
      <c r="O95" s="4">
        <v>3.5000000000000003E-2</v>
      </c>
      <c r="P95" s="4">
        <v>2.8000000000000001E-2</v>
      </c>
      <c r="Q95" s="4">
        <f t="shared" si="11"/>
        <v>2.1909090909090909</v>
      </c>
      <c r="R95" s="4">
        <f t="shared" si="16"/>
        <v>3.8727272727272721</v>
      </c>
      <c r="S95" s="4">
        <f t="shared" si="12"/>
        <v>19.090909090909093</v>
      </c>
      <c r="T95" s="4">
        <f t="shared" si="13"/>
        <v>3.4090909090909092</v>
      </c>
      <c r="U95" s="1">
        <f t="shared" si="14"/>
        <v>2.8095238095238093</v>
      </c>
      <c r="V95" s="3">
        <f t="shared" si="15"/>
        <v>0.84859154929577474</v>
      </c>
    </row>
    <row r="96" spans="1:22" x14ac:dyDescent="0.3">
      <c r="A96" s="2">
        <v>95</v>
      </c>
      <c r="B96" s="2">
        <v>21</v>
      </c>
      <c r="C96" s="2">
        <v>683</v>
      </c>
      <c r="D96" s="2">
        <v>22</v>
      </c>
      <c r="E96" s="2">
        <v>75</v>
      </c>
      <c r="F96" s="4">
        <v>16.3</v>
      </c>
      <c r="G96" s="4">
        <v>1.97</v>
      </c>
      <c r="H96" s="4">
        <v>9.2999999999999999E-2</v>
      </c>
      <c r="I96" s="4">
        <v>0.29299999999999998</v>
      </c>
      <c r="J96" s="4">
        <v>8.5000000000000006E-2</v>
      </c>
      <c r="K96" s="4">
        <v>0.312</v>
      </c>
      <c r="L96" s="4">
        <v>0.19800000000000001</v>
      </c>
      <c r="M96" s="4">
        <v>3.5999999999999997E-2</v>
      </c>
      <c r="N96" s="4">
        <v>5.0000000000000001E-3</v>
      </c>
      <c r="O96" s="4">
        <v>3.0000000000000001E-3</v>
      </c>
      <c r="P96" s="4">
        <v>6.0000000000000001E-3</v>
      </c>
      <c r="Q96" s="4">
        <f t="shared" si="11"/>
        <v>2.6636363636363636</v>
      </c>
      <c r="R96" s="4">
        <f t="shared" si="16"/>
        <v>4.2545454545454549</v>
      </c>
      <c r="S96" s="4">
        <f t="shared" si="12"/>
        <v>25.909090909090903</v>
      </c>
      <c r="T96" s="4">
        <f t="shared" si="13"/>
        <v>3.4090909090909092</v>
      </c>
      <c r="U96" s="1">
        <f t="shared" si="14"/>
        <v>2.0651105651105643</v>
      </c>
      <c r="V96" s="3">
        <f t="shared" si="15"/>
        <v>0.9391025641025641</v>
      </c>
    </row>
    <row r="97" spans="1:22" x14ac:dyDescent="0.3">
      <c r="A97" s="2">
        <v>96</v>
      </c>
      <c r="B97" s="2">
        <v>21</v>
      </c>
      <c r="C97" s="2">
        <v>663</v>
      </c>
      <c r="D97" s="2">
        <v>22</v>
      </c>
      <c r="E97" s="2">
        <v>75</v>
      </c>
      <c r="F97" s="4">
        <v>17.8</v>
      </c>
      <c r="G97" s="4">
        <v>1.49</v>
      </c>
      <c r="H97" s="4">
        <v>5.2999999999999999E-2</v>
      </c>
      <c r="I97" s="4">
        <v>0.24099999999999999</v>
      </c>
      <c r="J97" s="4">
        <v>0.04</v>
      </c>
      <c r="K97" s="4">
        <v>0.28399999999999997</v>
      </c>
      <c r="L97" s="4">
        <v>0.113</v>
      </c>
      <c r="M97" s="4">
        <v>4.0000000000000001E-3</v>
      </c>
      <c r="N97" s="4">
        <v>2E-3</v>
      </c>
      <c r="O97" s="4">
        <v>0</v>
      </c>
      <c r="P97" s="4">
        <v>1E-3</v>
      </c>
      <c r="Q97" s="4">
        <f t="shared" si="11"/>
        <v>2.1909090909090909</v>
      </c>
      <c r="R97" s="4">
        <f t="shared" si="16"/>
        <v>3.8727272727272721</v>
      </c>
      <c r="S97" s="4">
        <f t="shared" si="12"/>
        <v>19.090909090909093</v>
      </c>
      <c r="T97" s="4">
        <f t="shared" si="13"/>
        <v>3.4090909090909092</v>
      </c>
      <c r="U97" s="1">
        <f t="shared" si="14"/>
        <v>3.1249999999999991</v>
      </c>
      <c r="V97" s="3">
        <f t="shared" si="15"/>
        <v>0.84859154929577474</v>
      </c>
    </row>
    <row r="98" spans="1:22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22" x14ac:dyDescent="0.3">
      <c r="A99" s="2"/>
      <c r="B99" s="2"/>
      <c r="C99" s="2"/>
      <c r="D99" s="2" t="s">
        <v>24</v>
      </c>
      <c r="E99" s="2">
        <v>92</v>
      </c>
      <c r="F99" s="2" t="s">
        <v>22</v>
      </c>
      <c r="G99" s="3">
        <f>G93/D93*100</f>
        <v>9.2727272727272734</v>
      </c>
      <c r="H99" s="8">
        <f>H93/D93*100</f>
        <v>0.63636363636363635</v>
      </c>
      <c r="I99" s="8">
        <f>I93*2/D93*100</f>
        <v>4.0363636363636362</v>
      </c>
      <c r="J99" s="8">
        <f>J93*2/D93*100</f>
        <v>1.6909090909090909</v>
      </c>
      <c r="K99" s="8">
        <f>K93*3/D93*100</f>
        <v>5.5909090909090908</v>
      </c>
      <c r="L99" s="8">
        <f>L93*3/D93*100</f>
        <v>4.6363636363636367</v>
      </c>
      <c r="M99" s="8">
        <f>M93*4/D93*100</f>
        <v>1.490909090909091</v>
      </c>
      <c r="N99" s="8">
        <f>N93*4/D93*100</f>
        <v>0.76363636363636367</v>
      </c>
      <c r="O99" s="8">
        <f>O93*5/D93*100</f>
        <v>9.0909090909090912E-2</v>
      </c>
      <c r="P99" s="8">
        <f>P93*5/D93*100</f>
        <v>0.72727272727272729</v>
      </c>
    </row>
    <row r="100" spans="1:22" x14ac:dyDescent="0.3">
      <c r="F100" t="s">
        <v>23</v>
      </c>
      <c r="G100" s="3">
        <f>G99/$S$93</f>
        <v>0.35172413793103446</v>
      </c>
      <c r="H100" s="3">
        <f>H99/$S$93</f>
        <v>2.4137931034482755E-2</v>
      </c>
      <c r="I100" s="3">
        <f>I99/$S$93</f>
        <v>0.15310344827586203</v>
      </c>
      <c r="J100" s="3">
        <f>J99/$S$93</f>
        <v>6.4137931034482745E-2</v>
      </c>
      <c r="K100" s="3">
        <f>K99/$S$93</f>
        <v>0.21206896551724136</v>
      </c>
      <c r="L100" s="3">
        <f>L99/$S$93</f>
        <v>0.17586206896551723</v>
      </c>
      <c r="M100" s="3">
        <f>M99/$S$93</f>
        <v>5.6551724137931032E-2</v>
      </c>
      <c r="N100" s="3">
        <f>N99/$S$93</f>
        <v>2.8965517241379309E-2</v>
      </c>
      <c r="O100" s="3">
        <f>O99/$S$93</f>
        <v>3.448275862068965E-3</v>
      </c>
      <c r="P100" s="3">
        <f>P99/$S$93</f>
        <v>2.758620689655172E-2</v>
      </c>
    </row>
    <row r="102" spans="1:22" x14ac:dyDescent="0.3">
      <c r="G102" s="1"/>
      <c r="H102" s="1"/>
      <c r="I102" s="1"/>
      <c r="J102" s="1"/>
      <c r="K102" s="1"/>
      <c r="L102" s="1"/>
      <c r="M102" s="1"/>
      <c r="N102" s="1"/>
      <c r="O102" s="1"/>
      <c r="P102" s="1"/>
    </row>
  </sheetData>
  <autoFilter ref="A1:V97" xr:uid="{6337FE3C-E9D4-473A-94D9-BB2A5807A80A}"/>
  <conditionalFormatting sqref="S1:S1048576 T1:T97 U1">
    <cfRule type="cellIs" dxfId="9" priority="10" operator="equal">
      <formula>MAX($S:$S)</formula>
    </cfRule>
    <cfRule type="cellIs" dxfId="8" priority="12" operator="lessThan">
      <formula>0</formula>
    </cfRule>
  </conditionalFormatting>
  <conditionalFormatting sqref="Q1:R1048576">
    <cfRule type="cellIs" dxfId="7" priority="9" operator="equal">
      <formula>MAX($Q:$Q)</formula>
    </cfRule>
  </conditionalFormatting>
  <conditionalFormatting sqref="U1:U1048576">
    <cfRule type="cellIs" dxfId="6" priority="8" operator="equal">
      <formula>MAX($U:$U)</formula>
    </cfRule>
  </conditionalFormatting>
  <conditionalFormatting sqref="K1:K99 K101:K1048576">
    <cfRule type="cellIs" dxfId="5" priority="6" operator="equal">
      <formula>MIN($K:$K)</formula>
    </cfRule>
  </conditionalFormatting>
  <conditionalFormatting sqref="I2:I97">
    <cfRule type="cellIs" dxfId="4" priority="5" operator="lessThan">
      <formula>$K$2</formula>
    </cfRule>
  </conditionalFormatting>
  <conditionalFormatting sqref="I2:I97">
    <cfRule type="cellIs" dxfId="3" priority="4" operator="greaterThan">
      <formula>$K$2</formula>
    </cfRule>
  </conditionalFormatting>
  <conditionalFormatting sqref="V2:V1048576">
    <cfRule type="cellIs" dxfId="2" priority="3" operator="greaterThan">
      <formula>1</formula>
    </cfRule>
  </conditionalFormatting>
  <conditionalFormatting sqref="R2:R97">
    <cfRule type="cellIs" dxfId="1" priority="2" operator="equal">
      <formula>MAX($R$2:$R$97)</formula>
    </cfRule>
    <cfRule type="cellIs" dxfId="0" priority="1" operator="equal">
      <formula>MIN($R$2:$R$97)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2022-08-15T12:06:21Z</dcterms:created>
  <dcterms:modified xsi:type="dcterms:W3CDTF">2022-09-08T10:37:04Z</dcterms:modified>
</cp:coreProperties>
</file>