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Carbon dioxide to propanol\Data\"/>
    </mc:Choice>
  </mc:AlternateContent>
  <xr:revisionPtr revIDLastSave="0" documentId="13_ncr:1_{06552434-3B27-44B3-B299-D48E4489F53F}" xr6:coauthVersionLast="47" xr6:coauthVersionMax="47" xr10:uidLastSave="{00000000-0000-0000-0000-000000000000}"/>
  <bookViews>
    <workbookView xWindow="-120" yWindow="-120" windowWidth="29040" windowHeight="17640" activeTab="3" xr2:uid="{00000000-000D-0000-FFFF-FFFF00000000}"/>
  </bookViews>
  <sheets>
    <sheet name="Data" sheetId="5" r:id="rId1"/>
    <sheet name="LCA results - cradle to gate" sheetId="3" r:id="rId2"/>
    <sheet name="LCA contri - cradle to gate" sheetId="6" r:id="rId3"/>
    <sheet name="Economic resul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" i="4" l="1"/>
  <c r="J7" i="4" s="1"/>
  <c r="I6" i="4"/>
  <c r="I5" i="4"/>
  <c r="I4" i="4"/>
  <c r="D11" i="4"/>
  <c r="D10" i="4"/>
  <c r="G5" i="5"/>
  <c r="G4" i="5"/>
  <c r="J4" i="4" l="1"/>
  <c r="H9" i="4" s="1"/>
  <c r="I9" i="4" s="1"/>
  <c r="J5" i="4"/>
  <c r="H10" i="4" s="1"/>
  <c r="I10" i="4" s="1"/>
  <c r="J6" i="4"/>
  <c r="H11" i="4" s="1"/>
  <c r="I11" i="4" s="1"/>
  <c r="B5" i="4"/>
  <c r="I12" i="4" l="1"/>
  <c r="B14" i="4" s="1"/>
  <c r="D7" i="5"/>
  <c r="E7" i="5" s="1"/>
  <c r="D6" i="5"/>
  <c r="D5" i="5"/>
  <c r="D4" i="5"/>
  <c r="E5" i="5" l="1"/>
  <c r="C6" i="4" s="1"/>
  <c r="D6" i="4" s="1"/>
  <c r="E4" i="5"/>
  <c r="E6" i="5"/>
  <c r="C7" i="4" s="1"/>
  <c r="D7" i="4" l="1"/>
  <c r="C9" i="4"/>
  <c r="D9" i="4" s="1"/>
  <c r="C8" i="4"/>
  <c r="D8" i="4" s="1"/>
  <c r="C5" i="4"/>
  <c r="D5" i="4" s="1"/>
  <c r="C4" i="4"/>
  <c r="D4" i="4" s="1"/>
  <c r="B16" i="4" l="1"/>
  <c r="D16" i="4" s="1"/>
  <c r="B15" i="4"/>
  <c r="D15" i="4" s="1"/>
  <c r="B18" i="4"/>
  <c r="D18" i="4" s="1"/>
  <c r="B17" i="4"/>
  <c r="D17" i="4" s="1"/>
</calcChain>
</file>

<file path=xl/sharedStrings.xml><?xml version="1.0" encoding="utf-8"?>
<sst xmlns="http://schemas.openxmlformats.org/spreadsheetml/2006/main" count="272" uniqueCount="91">
  <si>
    <t>Carbon dioxide</t>
  </si>
  <si>
    <t>kmol/hr</t>
  </si>
  <si>
    <t>Propanol (1 kmol/hr)</t>
  </si>
  <si>
    <t>M. Wt.</t>
  </si>
  <si>
    <t>kg/hr</t>
  </si>
  <si>
    <t>Hydrogen</t>
  </si>
  <si>
    <t>Ethylene</t>
  </si>
  <si>
    <t>Propanol</t>
  </si>
  <si>
    <t>kg/kg of propanol</t>
  </si>
  <si>
    <t>Type</t>
  </si>
  <si>
    <t>Output</t>
  </si>
  <si>
    <t>Process</t>
  </si>
  <si>
    <t>1-propanol {GLO}| market for | Cut-off, S</t>
  </si>
  <si>
    <t>BAU</t>
  </si>
  <si>
    <t>Price [$/t]</t>
  </si>
  <si>
    <t>Input [t/t propanol]</t>
  </si>
  <si>
    <t>Amount [$/t propanol]</t>
  </si>
  <si>
    <t>$/t propanol</t>
  </si>
  <si>
    <t>Cost of production assuming stoichiometric calculations and only raw material costs</t>
  </si>
  <si>
    <t>Global warming</t>
  </si>
  <si>
    <t>kg CO2 eq</t>
  </si>
  <si>
    <t>Stratospheric ozone depletion</t>
  </si>
  <si>
    <t>kg CFC11 eq</t>
  </si>
  <si>
    <t>Ionizing radiation</t>
  </si>
  <si>
    <t>kBq Co-60 eq</t>
  </si>
  <si>
    <t>Ozone formation, Human health</t>
  </si>
  <si>
    <t>kg NOx eq</t>
  </si>
  <si>
    <t>Fine particulate matter formation</t>
  </si>
  <si>
    <t>kg PM2.5 eq</t>
  </si>
  <si>
    <t>Ozone formation, Terrestrial ecosystems</t>
  </si>
  <si>
    <t>Terrestrial acidification</t>
  </si>
  <si>
    <t>kg SO2 eq</t>
  </si>
  <si>
    <t>Freshwater eutrophication</t>
  </si>
  <si>
    <t>kg P eq</t>
  </si>
  <si>
    <t>Marine eutrophication</t>
  </si>
  <si>
    <t>kg N eq</t>
  </si>
  <si>
    <t>Terrestrial ecotoxicity</t>
  </si>
  <si>
    <t>kg 1,4-DCB</t>
  </si>
  <si>
    <t>Freshwater ecotoxicity</t>
  </si>
  <si>
    <t>Marine ecotoxicity</t>
  </si>
  <si>
    <t>Human carcinogenic toxicity</t>
  </si>
  <si>
    <t>Human non-carcinogenic toxicity</t>
  </si>
  <si>
    <t>Land use</t>
  </si>
  <si>
    <t>m2a crop eq</t>
  </si>
  <si>
    <t>Mineral resource scarcity</t>
  </si>
  <si>
    <t>kg Cu eq</t>
  </si>
  <si>
    <t>Fossil resource scarcity</t>
  </si>
  <si>
    <t>kg oil eq</t>
  </si>
  <si>
    <t>Water consumption</t>
  </si>
  <si>
    <t>m3</t>
  </si>
  <si>
    <t>Feed</t>
  </si>
  <si>
    <t>Hydrogen from wind</t>
  </si>
  <si>
    <t>Ethylene BAU</t>
  </si>
  <si>
    <t>Carbon dioxide from NG</t>
  </si>
  <si>
    <t>Propanol; carbon dioxide from DAC; hydrogen from wind-powered water electrolysis; BAU ethylene; stoichiometric conversions; Abhi</t>
  </si>
  <si>
    <t>Propanol; carbon dioxide from DAC; hydrogen from wind-powered water electrolysis; ethylene from gMeOH; stoichiometric conversions; Abhi</t>
  </si>
  <si>
    <t>Propanol; carbon dioxide from NG power-plant; hydrogen from wind-powered water electrolysis; BAU ethylene; stoichiometric conversions; Abhi</t>
  </si>
  <si>
    <t>Propanol; carbon dioxide from NG power-plant; hydrogen from wind-powered water electrolysis; ethylene from gMeOH; stoichiometric conversions; Abhi</t>
  </si>
  <si>
    <t>DAC + wind + gE</t>
  </si>
  <si>
    <t>NG + wind</t>
  </si>
  <si>
    <t>NG + wind + gE</t>
  </si>
  <si>
    <t>Ethylene - gMeOH - NG</t>
  </si>
  <si>
    <t>Ethylene - gMeOH - DAC</t>
  </si>
  <si>
    <t>DAC + wind</t>
  </si>
  <si>
    <t>Global warming in kg CO2 eq</t>
  </si>
  <si>
    <t xml:space="preserve">Case </t>
  </si>
  <si>
    <t>Label</t>
  </si>
  <si>
    <t>Total</t>
  </si>
  <si>
    <t>Human health in DALY</t>
  </si>
  <si>
    <t>Ecosystems in species.yr</t>
  </si>
  <si>
    <t>Resources in USD2013</t>
  </si>
  <si>
    <t>Wind scenario</t>
  </si>
  <si>
    <t>Grid scenaraio</t>
  </si>
  <si>
    <t>Propanol; carbon dioxide from DAC; hydrogen from grid-electrolysis; BAU ethylene; stoichiometric conversions; Abhi</t>
  </si>
  <si>
    <t>DAC + grid</t>
  </si>
  <si>
    <t>DAC + grid + gE</t>
  </si>
  <si>
    <t>NG + grid</t>
  </si>
  <si>
    <t>NG + grid + gE</t>
  </si>
  <si>
    <t>Propanol; carbon dioxide from DAC; hydrogen from grid-electrolysis; ethylene from gMeOH; stoichiometric conversions; Abhi</t>
  </si>
  <si>
    <t>Propanol; carbon dioxide from NG power-plant; hydrogen from grid-electrolysis; BAU ethylene; stoichiometric conversions; Abhi</t>
  </si>
  <si>
    <t>Propanol; carbon dioxide from NG power-plant; hydrogen from grid-electrolysis; ethylene from gMeOH; stoichiometric conversions; Abhi</t>
  </si>
  <si>
    <t>Emissions</t>
  </si>
  <si>
    <t>Electricity</t>
  </si>
  <si>
    <t>Carbon dioxide from DAC - grid</t>
  </si>
  <si>
    <t>Cooling</t>
  </si>
  <si>
    <t>kmol / kg propanol</t>
  </si>
  <si>
    <t xml:space="preserve">Cooling </t>
  </si>
  <si>
    <t>$/t</t>
  </si>
  <si>
    <t>Input t/t</t>
  </si>
  <si>
    <t>Oxygen</t>
  </si>
  <si>
    <t>Natural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</si>
</sst>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8" fillId="0" borderId="0"/>
    <xf numFmtId="0" fontId="6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1" fontId="0" fillId="0" borderId="0" xfId="0" applyNumberFormat="1"/>
    <xf numFmtId="1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0" xfId="0" applyBorder="1"/>
    <xf numFmtId="0" fontId="7" fillId="0" borderId="0" xfId="1"/>
    <xf numFmtId="0" fontId="7" fillId="0" borderId="0" xfId="1" applyAlignment="1">
      <alignment horizontal="center"/>
    </xf>
    <xf numFmtId="0" fontId="7" fillId="0" borderId="1" xfId="1" applyBorder="1" applyAlignment="1">
      <alignment horizontal="center"/>
    </xf>
    <xf numFmtId="164" fontId="7" fillId="0" borderId="1" xfId="1" applyNumberFormat="1" applyBorder="1" applyAlignment="1">
      <alignment horizontal="center"/>
    </xf>
    <xf numFmtId="0" fontId="7" fillId="2" borderId="1" xfId="1" applyFill="1" applyBorder="1" applyAlignment="1">
      <alignment horizontal="center"/>
    </xf>
    <xf numFmtId="0" fontId="7" fillId="3" borderId="1" xfId="1" applyFill="1" applyBorder="1" applyAlignment="1">
      <alignment horizontal="center"/>
    </xf>
    <xf numFmtId="0" fontId="0" fillId="0" borderId="0" xfId="0" applyBorder="1" applyAlignment="1">
      <alignment horizontal="center"/>
    </xf>
    <xf numFmtId="11" fontId="0" fillId="0" borderId="0" xfId="0" applyNumberFormat="1" applyBorder="1"/>
    <xf numFmtId="164" fontId="0" fillId="0" borderId="0" xfId="0" applyNumberFormat="1" applyBorder="1" applyAlignment="1">
      <alignment horizontal="center"/>
    </xf>
    <xf numFmtId="11" fontId="0" fillId="0" borderId="0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10" fontId="8" fillId="0" borderId="1" xfId="2" applyNumberFormat="1" applyBorder="1" applyAlignment="1">
      <alignment horizontal="center"/>
    </xf>
    <xf numFmtId="2" fontId="8" fillId="0" borderId="1" xfId="2" applyNumberFormat="1" applyBorder="1" applyAlignment="1">
      <alignment horizontal="center"/>
    </xf>
    <xf numFmtId="0" fontId="6" fillId="0" borderId="0" xfId="3"/>
    <xf numFmtId="0" fontId="6" fillId="0" borderId="1" xfId="3" applyBorder="1" applyAlignment="1">
      <alignment horizontal="center"/>
    </xf>
    <xf numFmtId="11" fontId="6" fillId="0" borderId="0" xfId="3" applyNumberFormat="1"/>
    <xf numFmtId="0" fontId="6" fillId="0" borderId="0" xfId="3" applyBorder="1" applyAlignment="1">
      <alignment horizontal="center"/>
    </xf>
    <xf numFmtId="0" fontId="5" fillId="0" borderId="1" xfId="3" applyFont="1" applyBorder="1" applyAlignment="1">
      <alignment horizontal="center"/>
    </xf>
    <xf numFmtId="0" fontId="6" fillId="0" borderId="1" xfId="3" applyBorder="1"/>
    <xf numFmtId="11" fontId="6" fillId="0" borderId="1" xfId="3" applyNumberFormat="1" applyBorder="1"/>
    <xf numFmtId="0" fontId="4" fillId="0" borderId="1" xfId="3" applyFont="1" applyBorder="1" applyAlignment="1">
      <alignment horizontal="center"/>
    </xf>
    <xf numFmtId="2" fontId="7" fillId="0" borderId="1" xfId="1" applyNumberForma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1" applyFont="1" applyFill="1" applyBorder="1" applyAlignment="1">
      <alignment horizontal="center"/>
    </xf>
    <xf numFmtId="164" fontId="0" fillId="0" borderId="0" xfId="0" applyNumberFormat="1" applyFont="1" applyAlignment="1">
      <alignment horizontal="center"/>
    </xf>
    <xf numFmtId="2" fontId="0" fillId="0" borderId="0" xfId="1" applyNumberFormat="1" applyFont="1" applyFill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9" fillId="4" borderId="4" xfId="3" applyFont="1" applyFill="1" applyBorder="1" applyAlignment="1">
      <alignment horizontal="center"/>
    </xf>
    <xf numFmtId="0" fontId="9" fillId="4" borderId="3" xfId="3" applyFont="1" applyFill="1" applyBorder="1" applyAlignment="1">
      <alignment horizontal="center"/>
    </xf>
    <xf numFmtId="0" fontId="9" fillId="4" borderId="5" xfId="3" applyFont="1" applyFill="1" applyBorder="1" applyAlignment="1">
      <alignment horizontal="center"/>
    </xf>
    <xf numFmtId="0" fontId="9" fillId="0" borderId="4" xfId="3" applyFont="1" applyBorder="1" applyAlignment="1">
      <alignment horizontal="center"/>
    </xf>
    <xf numFmtId="0" fontId="9" fillId="0" borderId="3" xfId="3" applyFont="1" applyBorder="1" applyAlignment="1">
      <alignment horizontal="center"/>
    </xf>
    <xf numFmtId="0" fontId="9" fillId="0" borderId="5" xfId="3" applyFont="1" applyBorder="1" applyAlignment="1">
      <alignment horizontal="center"/>
    </xf>
    <xf numFmtId="0" fontId="9" fillId="2" borderId="4" xfId="3" applyFont="1" applyFill="1" applyBorder="1" applyAlignment="1">
      <alignment horizontal="center"/>
    </xf>
    <xf numFmtId="0" fontId="9" fillId="2" borderId="3" xfId="3" applyFont="1" applyFill="1" applyBorder="1" applyAlignment="1">
      <alignment horizontal="center"/>
    </xf>
    <xf numFmtId="0" fontId="9" fillId="2" borderId="5" xfId="3" applyFont="1" applyFill="1" applyBorder="1" applyAlignment="1">
      <alignment horizontal="center"/>
    </xf>
    <xf numFmtId="0" fontId="1" fillId="0" borderId="1" xfId="1" applyFont="1" applyBorder="1" applyAlignment="1">
      <alignment horizontal="center"/>
    </xf>
  </cellXfs>
  <cellStyles count="4">
    <cellStyle name="Normal" xfId="0" builtinId="0"/>
    <cellStyle name="Normal 2" xfId="1" xr:uid="{82AFA4B0-1728-4738-A773-8AA674A975DA}"/>
    <cellStyle name="Normal 2 2" xfId="2" xr:uid="{40E45A6C-A366-458D-AC46-91420C333C8D}"/>
    <cellStyle name="Normal 3" xfId="3" xr:uid="{404B46F1-D9C1-4448-A701-6BAAC6980303}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Global warming [kg CO2 eq]</a:t>
            </a:r>
            <a:r>
              <a:rPr lang="de-CH" sz="1400" b="0" i="0" u="none" strike="noStrike" baseline="0"/>
              <a:t> 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gate'!$C$3:$C$7</c:f>
              <c:numCache>
                <c:formatCode>0.0000</c:formatCode>
                <c:ptCount val="5"/>
                <c:pt idx="0">
                  <c:v>4.6039285999999997</c:v>
                </c:pt>
                <c:pt idx="1">
                  <c:v>0.29780991000000001</c:v>
                </c:pt>
                <c:pt idx="2">
                  <c:v>-1.2271966999999999</c:v>
                </c:pt>
                <c:pt idx="3">
                  <c:v>0.89823688000000002</c:v>
                </c:pt>
                <c:pt idx="4">
                  <c:v>0.75689618999999997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5-4963-9C01-B7766A30D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Stratospheric ozone depletion</a:t>
            </a:r>
            <a:r>
              <a:rPr lang="de-CH" sz="1400" b="0" i="0" u="none" strike="noStrike" baseline="0"/>
              <a:t> [kg CFC11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gate'!$D$3:$D$7</c:f>
              <c:numCache>
                <c:formatCode>0.00E+00</c:formatCode>
                <c:ptCount val="5"/>
                <c:pt idx="0">
                  <c:v>1.4640390000000001E-6</c:v>
                </c:pt>
                <c:pt idx="1">
                  <c:v>7.7025821000000003E-8</c:v>
                </c:pt>
                <c:pt idx="2">
                  <c:v>2.4920077000000002E-7</c:v>
                </c:pt>
                <c:pt idx="3">
                  <c:v>8.1195215999999996E-8</c:v>
                </c:pt>
                <c:pt idx="4">
                  <c:v>2.6297840999999999E-7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B-4144-82DC-4AA6AB954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Ionizing radiation [kBq Co-60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gate'!$E$3:$E$7</c:f>
              <c:numCache>
                <c:formatCode>0.0000</c:formatCode>
                <c:ptCount val="5"/>
                <c:pt idx="0">
                  <c:v>0.25496323999999998</c:v>
                </c:pt>
                <c:pt idx="1">
                  <c:v>5.5661586999999997E-3</c:v>
                </c:pt>
                <c:pt idx="2">
                  <c:v>1.9425551999999999E-2</c:v>
                </c:pt>
                <c:pt idx="3">
                  <c:v>6.1211138999999999E-3</c:v>
                </c:pt>
                <c:pt idx="4">
                  <c:v>2.1259384999999999E-2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5-43D1-B7F9-87B701457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Ozone formation, Human health [kg NOx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gate'!$F$3:$F$7</c:f>
              <c:numCache>
                <c:formatCode>0.0000</c:formatCode>
                <c:ptCount val="5"/>
                <c:pt idx="0">
                  <c:v>1.6488507999999999E-2</c:v>
                </c:pt>
                <c:pt idx="1">
                  <c:v>1.6141126E-3</c:v>
                </c:pt>
                <c:pt idx="2">
                  <c:v>1.967023E-3</c:v>
                </c:pt>
                <c:pt idx="3">
                  <c:v>1.9384038000000001E-3</c:v>
                </c:pt>
                <c:pt idx="4">
                  <c:v>3.0386335E-3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F-49D3-8060-973D896D4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Fine particulate matter formation</a:t>
            </a:r>
            <a:r>
              <a:rPr lang="de-CH" sz="1400" b="0" i="0" u="none" strike="noStrike" baseline="0"/>
              <a:t> [kg PM2.5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gate'!$G$3:$G$7</c:f>
              <c:numCache>
                <c:formatCode>0.0000</c:formatCode>
                <c:ptCount val="5"/>
                <c:pt idx="0">
                  <c:v>8.4093069999999995E-3</c:v>
                </c:pt>
                <c:pt idx="1">
                  <c:v>7.9646925000000004E-4</c:v>
                </c:pt>
                <c:pt idx="2">
                  <c:v>1.1042854999999999E-3</c:v>
                </c:pt>
                <c:pt idx="3">
                  <c:v>8.3190680000000004E-4</c:v>
                </c:pt>
                <c:pt idx="4">
                  <c:v>1.2213878E-3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7-40E5-B9C1-4CEBE00AC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Ozone formation, Terrestrial ecosystems</a:t>
            </a:r>
            <a:r>
              <a:rPr lang="de-CH" sz="1400" b="0" i="0" u="none" strike="noStrike" baseline="0"/>
              <a:t> [kg NOx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gate'!$H$3:$H$7</c:f>
              <c:numCache>
                <c:formatCode>0.00E+00</c:formatCode>
                <c:ptCount val="5"/>
                <c:pt idx="0" formatCode="0.0000">
                  <c:v>2.0628871E-2</c:v>
                </c:pt>
                <c:pt idx="1">
                  <c:v>1.7486914000000001E-3</c:v>
                </c:pt>
                <c:pt idx="2" formatCode="0.0000">
                  <c:v>2.3815083000000002E-3</c:v>
                </c:pt>
                <c:pt idx="3" formatCode="0.0000">
                  <c:v>2.0703413E-3</c:v>
                </c:pt>
                <c:pt idx="4" formatCode="0.0000">
                  <c:v>3.4443907000000001E-3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D-4453-B903-F43ACDF61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Terrestrial acidification</a:t>
            </a:r>
            <a:r>
              <a:rPr lang="de-CH" sz="1400" b="0" i="0" u="none" strike="noStrike" baseline="0"/>
              <a:t> [kg SO2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gate'!$I$3:$I$7</c:f>
              <c:numCache>
                <c:formatCode>0.0000</c:formatCode>
                <c:ptCount val="5"/>
                <c:pt idx="0">
                  <c:v>1.8631587000000002E-2</c:v>
                </c:pt>
                <c:pt idx="1">
                  <c:v>2.0460838E-3</c:v>
                </c:pt>
                <c:pt idx="2">
                  <c:v>2.0652817999999998E-3</c:v>
                </c:pt>
                <c:pt idx="3">
                  <c:v>2.1652566000000002E-3</c:v>
                </c:pt>
                <c:pt idx="4">
                  <c:v>2.4590847000000001E-3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5-49DB-8EDE-87CA59240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Freshwater eutrophication</a:t>
            </a:r>
            <a:r>
              <a:rPr lang="de-CH" sz="1400" b="0" i="0" u="none" strike="noStrike" baseline="0"/>
              <a:t> [kg P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gate'!$J$3:$J$7</c:f>
              <c:numCache>
                <c:formatCode>0.00E+00</c:formatCode>
                <c:ptCount val="5"/>
                <c:pt idx="0">
                  <c:v>1.6225464E-3</c:v>
                </c:pt>
                <c:pt idx="1">
                  <c:v>9.2395464000000001E-5</c:v>
                </c:pt>
                <c:pt idx="2">
                  <c:v>2.943237E-4</c:v>
                </c:pt>
                <c:pt idx="3">
                  <c:v>9.0998277999999999E-5</c:v>
                </c:pt>
                <c:pt idx="4">
                  <c:v>2.8970674000000001E-4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8-4088-90EA-D0EC707D4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Marine eutrophication</a:t>
            </a:r>
            <a:r>
              <a:rPr lang="de-CH" sz="1400" b="0" i="0" u="none" strike="noStrike" baseline="0"/>
              <a:t> [kg N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gate'!$K$3:$K$7</c:f>
              <c:numCache>
                <c:formatCode>0.00E+00</c:formatCode>
                <c:ptCount val="5"/>
                <c:pt idx="0">
                  <c:v>1.0706915E-4</c:v>
                </c:pt>
                <c:pt idx="1">
                  <c:v>1.1444242E-5</c:v>
                </c:pt>
                <c:pt idx="2">
                  <c:v>3.5241107999999999E-5</c:v>
                </c:pt>
                <c:pt idx="3">
                  <c:v>1.4263522999999999E-5</c:v>
                </c:pt>
                <c:pt idx="4">
                  <c:v>4.4557339999999997E-5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9-4962-9C8D-CE2BE9988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Terrestrial ecotoxicity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gate'!$L$3:$L$7</c:f>
              <c:numCache>
                <c:formatCode>0.0000</c:formatCode>
                <c:ptCount val="5"/>
                <c:pt idx="0">
                  <c:v>8.8305188999999995</c:v>
                </c:pt>
                <c:pt idx="1">
                  <c:v>1.7357050999999999</c:v>
                </c:pt>
                <c:pt idx="2">
                  <c:v>5.6665818000000003</c:v>
                </c:pt>
                <c:pt idx="3">
                  <c:v>1.7612558</c:v>
                </c:pt>
                <c:pt idx="4">
                  <c:v>5.7510132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C-4926-8F2D-9FA1DA718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Freshwater ecotoxicity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gate'!$M$3:$M$7</c:f>
              <c:numCache>
                <c:formatCode>0.0000</c:formatCode>
                <c:ptCount val="5"/>
                <c:pt idx="0">
                  <c:v>0.10247449</c:v>
                </c:pt>
                <c:pt idx="1">
                  <c:v>5.1832320000000001E-2</c:v>
                </c:pt>
                <c:pt idx="2">
                  <c:v>0.16748994</c:v>
                </c:pt>
                <c:pt idx="3">
                  <c:v>5.005884E-2</c:v>
                </c:pt>
                <c:pt idx="4">
                  <c:v>0.16162952999999999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9-4DBC-BDF7-9F92C3728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Marine ecotoxicity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gate'!$N$3:$N$7</c:f>
              <c:numCache>
                <c:formatCode>0.0000</c:formatCode>
                <c:ptCount val="5"/>
                <c:pt idx="0">
                  <c:v>0.14484010999999999</c:v>
                </c:pt>
                <c:pt idx="1">
                  <c:v>6.5053229000000004E-2</c:v>
                </c:pt>
                <c:pt idx="2">
                  <c:v>0.2097137</c:v>
                </c:pt>
                <c:pt idx="3">
                  <c:v>6.2776923999999998E-2</c:v>
                </c:pt>
                <c:pt idx="4">
                  <c:v>0.20219171999999999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9-41AE-BFC6-B5328AF4F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Human carcinogenic 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gate'!$O$3:$O$7</c:f>
              <c:numCache>
                <c:formatCode>0.0000</c:formatCode>
                <c:ptCount val="5"/>
                <c:pt idx="0">
                  <c:v>0.14768858000000001</c:v>
                </c:pt>
                <c:pt idx="1">
                  <c:v>5.2122764000000002E-2</c:v>
                </c:pt>
                <c:pt idx="2">
                  <c:v>0.14754827000000001</c:v>
                </c:pt>
                <c:pt idx="3">
                  <c:v>5.0675735999999999E-2</c:v>
                </c:pt>
                <c:pt idx="4">
                  <c:v>0.14276660999999999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E-44B7-968A-FE60F228C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Human non-carcinogenic 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gate'!$P$3:$P$7</c:f>
              <c:numCache>
                <c:formatCode>0.0000</c:formatCode>
                <c:ptCount val="5"/>
                <c:pt idx="0">
                  <c:v>4.5199340000000001</c:v>
                </c:pt>
                <c:pt idx="1">
                  <c:v>0.55537961999999996</c:v>
                </c:pt>
                <c:pt idx="2">
                  <c:v>1.7503877000000001</c:v>
                </c:pt>
                <c:pt idx="3">
                  <c:v>0.52815166000000002</c:v>
                </c:pt>
                <c:pt idx="4">
                  <c:v>1.6604137000000001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F-4CBA-AD10-862B53903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Land use</a:t>
            </a:r>
            <a:r>
              <a:rPr lang="de-CH" sz="1400" b="0" i="0" u="none" strike="noStrike" baseline="0"/>
              <a:t> [m2a crop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gate'!$Q$3:$Q$7</c:f>
              <c:numCache>
                <c:formatCode>0.0000</c:formatCode>
                <c:ptCount val="5"/>
                <c:pt idx="0">
                  <c:v>0.10146991</c:v>
                </c:pt>
                <c:pt idx="1">
                  <c:v>1.0014945000000001E-2</c:v>
                </c:pt>
                <c:pt idx="2">
                  <c:v>3.2822924000000003E-2</c:v>
                </c:pt>
                <c:pt idx="3">
                  <c:v>9.5553250999999995E-3</c:v>
                </c:pt>
                <c:pt idx="4">
                  <c:v>3.1304124000000003E-2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7-4CB7-88A7-05DC7FD52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Mineral resource scarcity</a:t>
            </a:r>
            <a:r>
              <a:rPr lang="de-CH" sz="1400" b="0" i="0" u="none" strike="noStrike" baseline="0"/>
              <a:t> [kg Cu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gate'!$R$3:$R$7</c:f>
              <c:numCache>
                <c:formatCode>0.0000</c:formatCode>
                <c:ptCount val="5"/>
                <c:pt idx="0">
                  <c:v>7.6205869000000002E-3</c:v>
                </c:pt>
                <c:pt idx="1">
                  <c:v>4.4917317999999999E-3</c:v>
                </c:pt>
                <c:pt idx="2">
                  <c:v>1.4729328E-2</c:v>
                </c:pt>
                <c:pt idx="3">
                  <c:v>4.3251595999999996E-3</c:v>
                </c:pt>
                <c:pt idx="4">
                  <c:v>1.4178895E-2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A-4B4A-AB89-02A236143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Fossil resource scarcity</a:t>
            </a:r>
            <a:r>
              <a:rPr lang="de-CH" sz="1400" b="0" i="0" u="none" strike="noStrike" baseline="0"/>
              <a:t> [kg oil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gate'!$S$3:$S$7</c:f>
              <c:numCache>
                <c:formatCode>0.0000</c:formatCode>
                <c:ptCount val="5"/>
                <c:pt idx="0">
                  <c:v>2.0455138000000002</c:v>
                </c:pt>
                <c:pt idx="1">
                  <c:v>0.78802185000000002</c:v>
                </c:pt>
                <c:pt idx="2">
                  <c:v>0.39603356000000001</c:v>
                </c:pt>
                <c:pt idx="3">
                  <c:v>0.77196657000000002</c:v>
                </c:pt>
                <c:pt idx="4">
                  <c:v>0.34297939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D-438E-A357-EB7F806F7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Water consumption</a:t>
            </a:r>
            <a:r>
              <a:rPr lang="de-CH" sz="1400" b="0" i="0" u="none" strike="noStrike" baseline="0"/>
              <a:t> [m3]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gate'!$T$3:$T$7</c:f>
              <c:numCache>
                <c:formatCode>0.0000</c:formatCode>
                <c:ptCount val="5"/>
                <c:pt idx="0">
                  <c:v>8.0522865999999998E-2</c:v>
                </c:pt>
                <c:pt idx="1">
                  <c:v>9.6798317000000005E-3</c:v>
                </c:pt>
                <c:pt idx="2">
                  <c:v>1.4067128E-2</c:v>
                </c:pt>
                <c:pt idx="3">
                  <c:v>8.2870887000000004E-3</c:v>
                </c:pt>
                <c:pt idx="4">
                  <c:v>9.4648505000000001E-3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3-454F-9BFB-E8A0E4999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138112</xdr:colOff>
      <xdr:row>8</xdr:row>
      <xdr:rowOff>9524</xdr:rowOff>
    </xdr:from>
    <xdr:to>
      <xdr:col>0</xdr:col>
      <xdr:colOff>4705350</xdr:colOff>
      <xdr:row>21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4905374</xdr:colOff>
      <xdr:row>8</xdr:row>
      <xdr:rowOff>9525</xdr:rowOff>
    </xdr:from>
    <xdr:to>
      <xdr:col>2</xdr:col>
      <xdr:colOff>85724</xdr:colOff>
      <xdr:row>21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22</xdr:row>
      <xdr:rowOff>9525</xdr:rowOff>
    </xdr:from>
    <xdr:to>
      <xdr:col>0</xdr:col>
      <xdr:colOff>4705350</xdr:colOff>
      <xdr:row>35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4905375</xdr:colOff>
      <xdr:row>22</xdr:row>
      <xdr:rowOff>9525</xdr:rowOff>
    </xdr:from>
    <xdr:to>
      <xdr:col>1</xdr:col>
      <xdr:colOff>742950</xdr:colOff>
      <xdr:row>35</xdr:row>
      <xdr:rowOff>152400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35</xdr:row>
      <xdr:rowOff>190500</xdr:rowOff>
    </xdr:from>
    <xdr:to>
      <xdr:col>0</xdr:col>
      <xdr:colOff>4676775</xdr:colOff>
      <xdr:row>49</xdr:row>
      <xdr:rowOff>133350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4914900</xdr:colOff>
      <xdr:row>36</xdr:row>
      <xdr:rowOff>0</xdr:rowOff>
    </xdr:from>
    <xdr:to>
      <xdr:col>1</xdr:col>
      <xdr:colOff>752475</xdr:colOff>
      <xdr:row>49</xdr:row>
      <xdr:rowOff>142875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104775</xdr:colOff>
      <xdr:row>49</xdr:row>
      <xdr:rowOff>180975</xdr:rowOff>
    </xdr:from>
    <xdr:to>
      <xdr:col>0</xdr:col>
      <xdr:colOff>4676775</xdr:colOff>
      <xdr:row>63</xdr:row>
      <xdr:rowOff>123825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4924424</xdr:colOff>
      <xdr:row>49</xdr:row>
      <xdr:rowOff>180975</xdr:rowOff>
    </xdr:from>
    <xdr:to>
      <xdr:col>2</xdr:col>
      <xdr:colOff>333374</xdr:colOff>
      <xdr:row>63</xdr:row>
      <xdr:rowOff>123825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95250</xdr:colOff>
      <xdr:row>64</xdr:row>
      <xdr:rowOff>9525</xdr:rowOff>
    </xdr:from>
    <xdr:to>
      <xdr:col>0</xdr:col>
      <xdr:colOff>4667250</xdr:colOff>
      <xdr:row>77</xdr:row>
      <xdr:rowOff>152400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4905375</xdr:colOff>
      <xdr:row>64</xdr:row>
      <xdr:rowOff>9525</xdr:rowOff>
    </xdr:from>
    <xdr:to>
      <xdr:col>1</xdr:col>
      <xdr:colOff>742950</xdr:colOff>
      <xdr:row>77</xdr:row>
      <xdr:rowOff>152400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114300</xdr:colOff>
      <xdr:row>78</xdr:row>
      <xdr:rowOff>19050</xdr:rowOff>
    </xdr:from>
    <xdr:to>
      <xdr:col>0</xdr:col>
      <xdr:colOff>4686300</xdr:colOff>
      <xdr:row>91</xdr:row>
      <xdr:rowOff>161925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4905375</xdr:colOff>
      <xdr:row>78</xdr:row>
      <xdr:rowOff>28575</xdr:rowOff>
    </xdr:from>
    <xdr:to>
      <xdr:col>1</xdr:col>
      <xdr:colOff>742950</xdr:colOff>
      <xdr:row>91</xdr:row>
      <xdr:rowOff>171450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95250</xdr:colOff>
      <xdr:row>92</xdr:row>
      <xdr:rowOff>28575</xdr:rowOff>
    </xdr:from>
    <xdr:to>
      <xdr:col>0</xdr:col>
      <xdr:colOff>4667250</xdr:colOff>
      <xdr:row>105</xdr:row>
      <xdr:rowOff>171450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4905375</xdr:colOff>
      <xdr:row>92</xdr:row>
      <xdr:rowOff>38100</xdr:rowOff>
    </xdr:from>
    <xdr:to>
      <xdr:col>1</xdr:col>
      <xdr:colOff>742950</xdr:colOff>
      <xdr:row>105</xdr:row>
      <xdr:rowOff>180975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104775</xdr:colOff>
      <xdr:row>106</xdr:row>
      <xdr:rowOff>38100</xdr:rowOff>
    </xdr:from>
    <xdr:to>
      <xdr:col>0</xdr:col>
      <xdr:colOff>4676775</xdr:colOff>
      <xdr:row>119</xdr:row>
      <xdr:rowOff>180975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4905375</xdr:colOff>
      <xdr:row>106</xdr:row>
      <xdr:rowOff>19050</xdr:rowOff>
    </xdr:from>
    <xdr:to>
      <xdr:col>1</xdr:col>
      <xdr:colOff>742950</xdr:colOff>
      <xdr:row>119</xdr:row>
      <xdr:rowOff>161925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104775</xdr:colOff>
      <xdr:row>120</xdr:row>
      <xdr:rowOff>38100</xdr:rowOff>
    </xdr:from>
    <xdr:to>
      <xdr:col>0</xdr:col>
      <xdr:colOff>4676775</xdr:colOff>
      <xdr:row>133</xdr:row>
      <xdr:rowOff>180975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4914900</xdr:colOff>
      <xdr:row>120</xdr:row>
      <xdr:rowOff>28575</xdr:rowOff>
    </xdr:from>
    <xdr:to>
      <xdr:col>1</xdr:col>
      <xdr:colOff>752475</xdr:colOff>
      <xdr:row>133</xdr:row>
      <xdr:rowOff>171450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547A-55CE-4C2B-80BA-D781D80DBB3E}">
  <dimension ref="A1:G7"/>
  <sheetViews>
    <sheetView zoomScale="130" zoomScaleNormal="130" workbookViewId="0">
      <selection activeCell="A3" sqref="A3:G7"/>
    </sheetView>
  </sheetViews>
  <sheetFormatPr defaultRowHeight="15" x14ac:dyDescent="0.25"/>
  <cols>
    <col min="1" max="1" width="15.5" style="9" customWidth="1"/>
    <col min="2" max="2" width="6" style="9" bestFit="1" customWidth="1"/>
    <col min="3" max="3" width="7.125" style="9" bestFit="1" customWidth="1"/>
    <col min="4" max="4" width="5" style="9" bestFit="1" customWidth="1"/>
    <col min="5" max="5" width="14.625" style="9" bestFit="1" customWidth="1"/>
    <col min="6" max="6" width="9" style="9"/>
    <col min="7" max="7" width="15.5" style="9" bestFit="1" customWidth="1"/>
    <col min="8" max="16384" width="9" style="9"/>
  </cols>
  <sheetData>
    <row r="1" spans="1:7" x14ac:dyDescent="0.25">
      <c r="A1" s="9" t="s">
        <v>2</v>
      </c>
    </row>
    <row r="3" spans="1:7" x14ac:dyDescent="0.25">
      <c r="A3" s="10"/>
      <c r="B3" s="11" t="s">
        <v>3</v>
      </c>
      <c r="C3" s="11" t="s">
        <v>1</v>
      </c>
      <c r="D3" s="11" t="s">
        <v>4</v>
      </c>
      <c r="E3" s="11" t="s">
        <v>8</v>
      </c>
      <c r="F3" s="11" t="s">
        <v>9</v>
      </c>
      <c r="G3" s="33" t="s">
        <v>85</v>
      </c>
    </row>
    <row r="4" spans="1:7" x14ac:dyDescent="0.25">
      <c r="A4" s="11" t="s">
        <v>0</v>
      </c>
      <c r="B4" s="11">
        <v>44</v>
      </c>
      <c r="C4" s="11">
        <v>1</v>
      </c>
      <c r="D4" s="11">
        <f>B4*C4</f>
        <v>44</v>
      </c>
      <c r="E4" s="12">
        <f>D4/$D$7</f>
        <v>0.73333333333333328</v>
      </c>
      <c r="F4" s="13" t="s">
        <v>50</v>
      </c>
      <c r="G4" s="32">
        <f>C4/$C$7</f>
        <v>1</v>
      </c>
    </row>
    <row r="5" spans="1:7" x14ac:dyDescent="0.25">
      <c r="A5" s="11" t="s">
        <v>5</v>
      </c>
      <c r="B5" s="11">
        <v>2</v>
      </c>
      <c r="C5" s="11">
        <v>3</v>
      </c>
      <c r="D5" s="11">
        <f>B5*C5</f>
        <v>6</v>
      </c>
      <c r="E5" s="12">
        <f>D5/$D$7</f>
        <v>0.1</v>
      </c>
      <c r="F5" s="13" t="s">
        <v>50</v>
      </c>
      <c r="G5" s="32">
        <f>C5/$C$7</f>
        <v>3</v>
      </c>
    </row>
    <row r="6" spans="1:7" x14ac:dyDescent="0.25">
      <c r="A6" s="11" t="s">
        <v>6</v>
      </c>
      <c r="B6" s="11">
        <v>28</v>
      </c>
      <c r="C6" s="11">
        <v>1</v>
      </c>
      <c r="D6" s="11">
        <f>B6*C6</f>
        <v>28</v>
      </c>
      <c r="E6" s="12">
        <f>D6/$D$7</f>
        <v>0.46666666666666667</v>
      </c>
      <c r="F6" s="13" t="s">
        <v>50</v>
      </c>
    </row>
    <row r="7" spans="1:7" x14ac:dyDescent="0.25">
      <c r="A7" s="11" t="s">
        <v>7</v>
      </c>
      <c r="B7" s="11">
        <v>60</v>
      </c>
      <c r="C7" s="11">
        <v>1</v>
      </c>
      <c r="D7" s="11">
        <f>B7*C7</f>
        <v>60</v>
      </c>
      <c r="E7" s="12">
        <f>D7/$D$7</f>
        <v>1</v>
      </c>
      <c r="F7" s="1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3"/>
  <sheetViews>
    <sheetView zoomScaleNormal="100" workbookViewId="0">
      <pane xSplit="3" topLeftCell="D1" activePane="topRight" state="frozen"/>
      <selection pane="topRight" activeCell="C4" sqref="C4"/>
    </sheetView>
  </sheetViews>
  <sheetFormatPr defaultColWidth="8.875" defaultRowHeight="15.75" x14ac:dyDescent="0.25"/>
  <cols>
    <col min="1" max="1" width="127.75" bestFit="1" customWidth="1"/>
    <col min="2" max="2" width="18" bestFit="1" customWidth="1"/>
    <col min="3" max="3" width="13.625" bestFit="1" customWidth="1"/>
    <col min="4" max="4" width="25.375" bestFit="1" customWidth="1"/>
    <col min="5" max="5" width="15" bestFit="1" customWidth="1"/>
    <col min="6" max="6" width="27.125" bestFit="1" customWidth="1"/>
    <col min="7" max="7" width="28.125" bestFit="1" customWidth="1"/>
    <col min="8" max="8" width="34.5" bestFit="1" customWidth="1"/>
    <col min="9" max="9" width="20" bestFit="1" customWidth="1"/>
    <col min="10" max="10" width="22.5" bestFit="1" customWidth="1"/>
    <col min="11" max="11" width="19.125" bestFit="1" customWidth="1"/>
    <col min="12" max="12" width="18.625" bestFit="1" customWidth="1"/>
    <col min="13" max="13" width="19.375" bestFit="1" customWidth="1"/>
    <col min="14" max="14" width="16.125" bestFit="1" customWidth="1"/>
    <col min="15" max="15" width="24.125" bestFit="1" customWidth="1"/>
    <col min="16" max="16" width="28" bestFit="1" customWidth="1"/>
    <col min="17" max="17" width="10.875" bestFit="1" customWidth="1"/>
    <col min="18" max="18" width="21.625" bestFit="1" customWidth="1"/>
    <col min="19" max="19" width="20" bestFit="1" customWidth="1"/>
    <col min="20" max="20" width="16.875" bestFit="1" customWidth="1"/>
  </cols>
  <sheetData>
    <row r="1" spans="1:20" x14ac:dyDescent="0.25">
      <c r="C1" s="2" t="s">
        <v>19</v>
      </c>
      <c r="D1" s="2" t="s">
        <v>21</v>
      </c>
      <c r="E1" s="2" t="s">
        <v>23</v>
      </c>
      <c r="F1" s="2" t="s">
        <v>25</v>
      </c>
      <c r="G1" s="2" t="s">
        <v>27</v>
      </c>
      <c r="H1" s="2" t="s">
        <v>29</v>
      </c>
      <c r="I1" s="2" t="s">
        <v>30</v>
      </c>
      <c r="J1" s="2" t="s">
        <v>32</v>
      </c>
      <c r="K1" s="2" t="s">
        <v>34</v>
      </c>
      <c r="L1" s="2" t="s">
        <v>36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44</v>
      </c>
      <c r="S1" s="2" t="s">
        <v>46</v>
      </c>
      <c r="T1" s="2" t="s">
        <v>48</v>
      </c>
    </row>
    <row r="2" spans="1:20" x14ac:dyDescent="0.25">
      <c r="A2" s="2" t="s">
        <v>11</v>
      </c>
      <c r="B2" s="2"/>
      <c r="C2" s="2" t="s">
        <v>20</v>
      </c>
      <c r="D2" s="2" t="s">
        <v>22</v>
      </c>
      <c r="E2" s="2" t="s">
        <v>24</v>
      </c>
      <c r="F2" s="2" t="s">
        <v>26</v>
      </c>
      <c r="G2" s="2" t="s">
        <v>28</v>
      </c>
      <c r="H2" s="2" t="s">
        <v>26</v>
      </c>
      <c r="I2" s="2" t="s">
        <v>31</v>
      </c>
      <c r="J2" s="2" t="s">
        <v>33</v>
      </c>
      <c r="K2" s="2" t="s">
        <v>35</v>
      </c>
      <c r="L2" s="2" t="s">
        <v>37</v>
      </c>
      <c r="M2" s="2" t="s">
        <v>37</v>
      </c>
      <c r="N2" s="2" t="s">
        <v>37</v>
      </c>
      <c r="O2" s="2" t="s">
        <v>37</v>
      </c>
      <c r="P2" s="2" t="s">
        <v>37</v>
      </c>
      <c r="Q2" s="2" t="s">
        <v>43</v>
      </c>
      <c r="R2" s="2" t="s">
        <v>45</v>
      </c>
      <c r="S2" s="2" t="s">
        <v>47</v>
      </c>
      <c r="T2" s="2" t="s">
        <v>49</v>
      </c>
    </row>
    <row r="3" spans="1:20" x14ac:dyDescent="0.25">
      <c r="A3" s="2" t="s">
        <v>12</v>
      </c>
      <c r="B3" s="2" t="s">
        <v>13</v>
      </c>
      <c r="C3" s="3">
        <v>4.6039285999999997</v>
      </c>
      <c r="D3" s="5">
        <v>1.4640390000000001E-6</v>
      </c>
      <c r="E3" s="3">
        <v>0.25496323999999998</v>
      </c>
      <c r="F3" s="3">
        <v>1.6488507999999999E-2</v>
      </c>
      <c r="G3" s="3">
        <v>8.4093069999999995E-3</v>
      </c>
      <c r="H3" s="3">
        <v>2.0628871E-2</v>
      </c>
      <c r="I3" s="3">
        <v>1.8631587000000002E-2</v>
      </c>
      <c r="J3" s="5">
        <v>1.6225464E-3</v>
      </c>
      <c r="K3" s="5">
        <v>1.0706915E-4</v>
      </c>
      <c r="L3" s="3">
        <v>8.8305188999999995</v>
      </c>
      <c r="M3" s="3">
        <v>0.10247449</v>
      </c>
      <c r="N3" s="3">
        <v>0.14484010999999999</v>
      </c>
      <c r="O3" s="3">
        <v>0.14768858000000001</v>
      </c>
      <c r="P3" s="3">
        <v>4.5199340000000001</v>
      </c>
      <c r="Q3" s="3">
        <v>0.10146991</v>
      </c>
      <c r="R3" s="3">
        <v>7.6205869000000002E-3</v>
      </c>
      <c r="S3" s="3">
        <v>2.0455138000000002</v>
      </c>
      <c r="T3" s="3">
        <v>8.0522865999999998E-2</v>
      </c>
    </row>
    <row r="4" spans="1:20" x14ac:dyDescent="0.25">
      <c r="A4" s="2" t="s">
        <v>54</v>
      </c>
      <c r="B4" s="2" t="s">
        <v>63</v>
      </c>
      <c r="C4" s="3">
        <v>0.29780991000000001</v>
      </c>
      <c r="D4" s="5">
        <v>7.7025821000000003E-8</v>
      </c>
      <c r="E4" s="3">
        <v>5.5661586999999997E-3</v>
      </c>
      <c r="F4" s="3">
        <v>1.6141126E-3</v>
      </c>
      <c r="G4" s="3">
        <v>7.9646925000000004E-4</v>
      </c>
      <c r="H4" s="5">
        <v>1.7486914000000001E-3</v>
      </c>
      <c r="I4" s="3">
        <v>2.0460838E-3</v>
      </c>
      <c r="J4" s="5">
        <v>9.2395464000000001E-5</v>
      </c>
      <c r="K4" s="5">
        <v>1.1444242E-5</v>
      </c>
      <c r="L4" s="3">
        <v>1.7357050999999999</v>
      </c>
      <c r="M4" s="3">
        <v>5.1832320000000001E-2</v>
      </c>
      <c r="N4" s="3">
        <v>6.5053229000000004E-2</v>
      </c>
      <c r="O4" s="3">
        <v>5.2122764000000002E-2</v>
      </c>
      <c r="P4" s="3">
        <v>0.55537961999999996</v>
      </c>
      <c r="Q4" s="3">
        <v>1.0014945000000001E-2</v>
      </c>
      <c r="R4" s="3">
        <v>4.4917317999999999E-3</v>
      </c>
      <c r="S4" s="3">
        <v>0.78802185000000002</v>
      </c>
      <c r="T4" s="3">
        <v>9.6798317000000005E-3</v>
      </c>
    </row>
    <row r="5" spans="1:20" x14ac:dyDescent="0.25">
      <c r="A5" s="19" t="s">
        <v>55</v>
      </c>
      <c r="B5" s="2" t="s">
        <v>58</v>
      </c>
      <c r="C5" s="3">
        <v>-1.2271966999999999</v>
      </c>
      <c r="D5" s="5">
        <v>2.4920077000000002E-7</v>
      </c>
      <c r="E5" s="3">
        <v>1.9425551999999999E-2</v>
      </c>
      <c r="F5" s="3">
        <v>1.967023E-3</v>
      </c>
      <c r="G5" s="3">
        <v>1.1042854999999999E-3</v>
      </c>
      <c r="H5" s="3">
        <v>2.3815083000000002E-3</v>
      </c>
      <c r="I5" s="3">
        <v>2.0652817999999998E-3</v>
      </c>
      <c r="J5" s="5">
        <v>2.943237E-4</v>
      </c>
      <c r="K5" s="5">
        <v>3.5241107999999999E-5</v>
      </c>
      <c r="L5" s="3">
        <v>5.6665818000000003</v>
      </c>
      <c r="M5" s="3">
        <v>0.16748994</v>
      </c>
      <c r="N5" s="3">
        <v>0.2097137</v>
      </c>
      <c r="O5" s="3">
        <v>0.14754827000000001</v>
      </c>
      <c r="P5" s="3">
        <v>1.7503877000000001</v>
      </c>
      <c r="Q5" s="3">
        <v>3.2822924000000003E-2</v>
      </c>
      <c r="R5" s="3">
        <v>1.4729328E-2</v>
      </c>
      <c r="S5" s="3">
        <v>0.39603356000000001</v>
      </c>
      <c r="T5" s="3">
        <v>1.4067128E-2</v>
      </c>
    </row>
    <row r="6" spans="1:20" x14ac:dyDescent="0.25">
      <c r="A6" s="19" t="s">
        <v>56</v>
      </c>
      <c r="B6" s="2" t="s">
        <v>59</v>
      </c>
      <c r="C6" s="3">
        <v>0.89823688000000002</v>
      </c>
      <c r="D6" s="5">
        <v>8.1195215999999996E-8</v>
      </c>
      <c r="E6" s="3">
        <v>6.1211138999999999E-3</v>
      </c>
      <c r="F6" s="3">
        <v>1.9384038000000001E-3</v>
      </c>
      <c r="G6" s="3">
        <v>8.3190680000000004E-4</v>
      </c>
      <c r="H6" s="3">
        <v>2.0703413E-3</v>
      </c>
      <c r="I6" s="3">
        <v>2.1652566000000002E-3</v>
      </c>
      <c r="J6" s="5">
        <v>9.0998277999999999E-5</v>
      </c>
      <c r="K6" s="5">
        <v>1.4263522999999999E-5</v>
      </c>
      <c r="L6" s="3">
        <v>1.7612558</v>
      </c>
      <c r="M6" s="3">
        <v>5.005884E-2</v>
      </c>
      <c r="N6" s="3">
        <v>6.2776923999999998E-2</v>
      </c>
      <c r="O6" s="3">
        <v>5.0675735999999999E-2</v>
      </c>
      <c r="P6" s="3">
        <v>0.52815166000000002</v>
      </c>
      <c r="Q6" s="3">
        <v>9.5553250999999995E-3</v>
      </c>
      <c r="R6" s="3">
        <v>4.3251595999999996E-3</v>
      </c>
      <c r="S6" s="3">
        <v>0.77196657000000002</v>
      </c>
      <c r="T6" s="3">
        <v>8.2870887000000004E-3</v>
      </c>
    </row>
    <row r="7" spans="1:20" x14ac:dyDescent="0.25">
      <c r="A7" s="19" t="s">
        <v>57</v>
      </c>
      <c r="B7" s="2" t="s">
        <v>60</v>
      </c>
      <c r="C7" s="3">
        <v>0.75689618999999997</v>
      </c>
      <c r="D7" s="5">
        <v>2.6297840999999999E-7</v>
      </c>
      <c r="E7" s="3">
        <v>2.1259384999999999E-2</v>
      </c>
      <c r="F7" s="3">
        <v>3.0386335E-3</v>
      </c>
      <c r="G7" s="3">
        <v>1.2213878E-3</v>
      </c>
      <c r="H7" s="3">
        <v>3.4443907000000001E-3</v>
      </c>
      <c r="I7" s="3">
        <v>2.4590847000000001E-3</v>
      </c>
      <c r="J7" s="5">
        <v>2.8970674000000001E-4</v>
      </c>
      <c r="K7" s="5">
        <v>4.4557339999999997E-5</v>
      </c>
      <c r="L7" s="3">
        <v>5.7510132</v>
      </c>
      <c r="M7" s="3">
        <v>0.16162952999999999</v>
      </c>
      <c r="N7" s="3">
        <v>0.20219171999999999</v>
      </c>
      <c r="O7" s="3">
        <v>0.14276660999999999</v>
      </c>
      <c r="P7" s="3">
        <v>1.6604137000000001</v>
      </c>
      <c r="Q7" s="3">
        <v>3.1304124000000003E-2</v>
      </c>
      <c r="R7" s="3">
        <v>1.4178895E-2</v>
      </c>
      <c r="S7" s="3">
        <v>0.34297939</v>
      </c>
      <c r="T7" s="3">
        <v>9.4648505000000001E-3</v>
      </c>
    </row>
    <row r="8" spans="1:20" s="8" customFormat="1" x14ac:dyDescent="0.25">
      <c r="A8" s="15"/>
      <c r="B8" s="15"/>
      <c r="C8" s="17"/>
      <c r="D8" s="18"/>
      <c r="E8" s="17"/>
      <c r="F8" s="17"/>
      <c r="G8" s="17"/>
      <c r="H8" s="17"/>
      <c r="I8" s="17"/>
      <c r="J8" s="18"/>
      <c r="K8" s="18"/>
      <c r="L8" s="17"/>
      <c r="M8" s="17"/>
      <c r="N8" s="17"/>
      <c r="O8" s="17"/>
      <c r="P8" s="17"/>
      <c r="Q8" s="17"/>
      <c r="R8" s="17"/>
      <c r="S8" s="17"/>
      <c r="T8" s="17"/>
    </row>
    <row r="9" spans="1:20" x14ac:dyDescent="0.25">
      <c r="C9" s="1"/>
      <c r="D9" s="1"/>
      <c r="E9" s="1"/>
      <c r="F9" s="1"/>
    </row>
    <row r="11" spans="1:20" x14ac:dyDescent="0.25">
      <c r="D11" s="8"/>
    </row>
    <row r="12" spans="1:20" x14ac:dyDescent="0.25">
      <c r="C12" s="4"/>
      <c r="D12" s="16"/>
      <c r="E12" s="4"/>
      <c r="F12" s="4"/>
      <c r="G12" s="4"/>
      <c r="H12" s="4"/>
      <c r="I12" s="4"/>
      <c r="J12" s="4"/>
      <c r="K12" s="4"/>
      <c r="L12" s="4"/>
    </row>
    <row r="13" spans="1:20" x14ac:dyDescent="0.25">
      <c r="D13" s="15"/>
    </row>
    <row r="14" spans="1:20" x14ac:dyDescent="0.25">
      <c r="D14" s="15"/>
    </row>
    <row r="15" spans="1:20" x14ac:dyDescent="0.25">
      <c r="D15" s="15"/>
    </row>
    <row r="16" spans="1:20" x14ac:dyDescent="0.25">
      <c r="D16" s="15"/>
    </row>
    <row r="17" spans="3:12" x14ac:dyDescent="0.25">
      <c r="D17" s="15"/>
    </row>
    <row r="18" spans="3:12" x14ac:dyDescent="0.25">
      <c r="C18" s="4"/>
      <c r="D18" s="15"/>
      <c r="I18" s="4"/>
      <c r="J18" s="4"/>
      <c r="L18" s="4"/>
    </row>
    <row r="19" spans="3:12" x14ac:dyDescent="0.25">
      <c r="C19" s="4"/>
      <c r="D19" s="15"/>
      <c r="E19" s="4"/>
      <c r="F19" s="4"/>
      <c r="G19" s="4"/>
      <c r="H19" s="4"/>
      <c r="I19" s="4"/>
      <c r="J19" s="4"/>
      <c r="K19" s="4"/>
      <c r="L19" s="4"/>
    </row>
    <row r="20" spans="3:12" x14ac:dyDescent="0.25">
      <c r="D20" s="15"/>
    </row>
    <row r="21" spans="3:12" x14ac:dyDescent="0.25">
      <c r="D21" s="15"/>
    </row>
    <row r="22" spans="3:12" x14ac:dyDescent="0.25">
      <c r="D22" s="15"/>
    </row>
    <row r="23" spans="3:12" x14ac:dyDescent="0.25">
      <c r="D23" s="8"/>
    </row>
    <row r="25" spans="3:12" x14ac:dyDescent="0.25">
      <c r="C25" s="4"/>
      <c r="D25" s="4"/>
    </row>
    <row r="26" spans="3:12" x14ac:dyDescent="0.25">
      <c r="F26" s="4"/>
      <c r="H26" s="4"/>
      <c r="I26" s="4"/>
      <c r="J26" s="4"/>
    </row>
    <row r="27" spans="3:12" x14ac:dyDescent="0.25">
      <c r="J27" s="4"/>
    </row>
    <row r="28" spans="3:12" x14ac:dyDescent="0.25">
      <c r="F28" s="4"/>
      <c r="H28" s="4"/>
      <c r="I28" s="4"/>
      <c r="J28" s="4"/>
    </row>
    <row r="29" spans="3:12" x14ac:dyDescent="0.25">
      <c r="F29" s="4"/>
      <c r="H29" s="4"/>
      <c r="I29" s="4"/>
      <c r="J29" s="4"/>
    </row>
    <row r="30" spans="3:12" x14ac:dyDescent="0.25">
      <c r="F30" s="4"/>
      <c r="G30" s="4"/>
      <c r="H30" s="4"/>
      <c r="I30" s="4"/>
      <c r="J30" s="4"/>
    </row>
    <row r="31" spans="3:12" x14ac:dyDescent="0.25">
      <c r="H31" s="4"/>
    </row>
    <row r="32" spans="3:12" x14ac:dyDescent="0.25">
      <c r="H32" s="4"/>
      <c r="I32" s="4"/>
      <c r="J32" s="4"/>
    </row>
    <row r="33" spans="6:10" x14ac:dyDescent="0.25">
      <c r="F33" s="4"/>
      <c r="H33" s="4"/>
      <c r="I33" s="4"/>
      <c r="J33" s="4"/>
    </row>
    <row r="34" spans="6:10" x14ac:dyDescent="0.25">
      <c r="F34" s="4"/>
      <c r="H34" s="4"/>
      <c r="I34" s="4"/>
      <c r="J34" s="4"/>
    </row>
    <row r="35" spans="6:10" x14ac:dyDescent="0.25">
      <c r="F35" s="4"/>
      <c r="H35" s="4"/>
      <c r="I35" s="4"/>
      <c r="J35" s="4"/>
    </row>
    <row r="36" spans="6:10" x14ac:dyDescent="0.25">
      <c r="F36" s="4"/>
      <c r="H36" s="4"/>
      <c r="I36" s="4"/>
      <c r="J36" s="4"/>
    </row>
    <row r="37" spans="6:10" x14ac:dyDescent="0.25">
      <c r="F37" s="4"/>
      <c r="G37" s="4"/>
      <c r="H37" s="4"/>
      <c r="I37" s="4"/>
    </row>
    <row r="39" spans="6:10" x14ac:dyDescent="0.25">
      <c r="J39" s="4"/>
    </row>
    <row r="40" spans="6:10" x14ac:dyDescent="0.25">
      <c r="J40" s="4"/>
    </row>
    <row r="41" spans="6:10" x14ac:dyDescent="0.25">
      <c r="J41" s="4"/>
    </row>
    <row r="42" spans="6:10" x14ac:dyDescent="0.25">
      <c r="H42" s="4"/>
      <c r="J42" s="4"/>
    </row>
    <row r="43" spans="6:10" x14ac:dyDescent="0.25">
      <c r="J43" s="4"/>
    </row>
  </sheetData>
  <sortState xmlns:xlrd2="http://schemas.microsoft.com/office/spreadsheetml/2017/richdata2" ref="B4:T7">
    <sortCondition ref="B4:B7"/>
  </sortState>
  <conditionalFormatting sqref="C8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8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8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8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8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8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C7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D7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7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7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7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7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I7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7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7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7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M7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:N7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:O7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:P7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7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7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7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:T7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C7 C3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D7 D3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7 E3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7 F3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7 G3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7 H3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I7 I3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7 J3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7 K3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7 L3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M7 M3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:N7 N3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:O7 O3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:P7 P3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7 Q3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7 R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7 S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:T7 T3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7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7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7 J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M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:N7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:O7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:P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7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7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7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:T7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7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7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7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K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L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M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N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:O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:Q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254D-1194-49C6-A64E-CFEA2209996A}">
  <dimension ref="A2:R98"/>
  <sheetViews>
    <sheetView workbookViewId="0">
      <selection activeCell="E1" sqref="E1"/>
    </sheetView>
  </sheetViews>
  <sheetFormatPr defaultRowHeight="15" x14ac:dyDescent="0.25"/>
  <cols>
    <col min="1" max="1" width="123.125" style="24" bestFit="1" customWidth="1"/>
    <col min="2" max="2" width="13.125" style="24" bestFit="1" customWidth="1"/>
    <col min="3" max="3" width="9.625" style="24" bestFit="1" customWidth="1"/>
    <col min="4" max="4" width="8.75" style="24" bestFit="1" customWidth="1"/>
    <col min="5" max="5" width="12.75" style="24" bestFit="1" customWidth="1"/>
    <col min="6" max="7" width="9.625" style="24" bestFit="1" customWidth="1"/>
    <col min="8" max="16384" width="9" style="24"/>
  </cols>
  <sheetData>
    <row r="2" spans="1:10" x14ac:dyDescent="0.25">
      <c r="A2" s="46" t="s">
        <v>71</v>
      </c>
      <c r="B2" s="47"/>
      <c r="C2" s="47"/>
      <c r="D2" s="47"/>
      <c r="E2" s="47"/>
      <c r="F2" s="47"/>
      <c r="G2" s="47"/>
      <c r="H2" s="47"/>
      <c r="I2" s="47"/>
      <c r="J2" s="48"/>
    </row>
    <row r="3" spans="1:10" x14ac:dyDescent="0.25">
      <c r="A3" s="43" t="s">
        <v>64</v>
      </c>
      <c r="B3" s="44"/>
      <c r="C3" s="44"/>
      <c r="D3" s="44"/>
      <c r="E3" s="44"/>
      <c r="F3" s="44"/>
      <c r="G3" s="44"/>
      <c r="H3" s="44"/>
      <c r="I3" s="44"/>
      <c r="J3" s="45"/>
    </row>
    <row r="4" spans="1:10" x14ac:dyDescent="0.25">
      <c r="A4" s="25" t="s">
        <v>65</v>
      </c>
      <c r="B4" s="25" t="s">
        <v>66</v>
      </c>
      <c r="C4" s="25" t="s">
        <v>67</v>
      </c>
      <c r="D4" s="25" t="s">
        <v>7</v>
      </c>
      <c r="E4" s="25" t="s">
        <v>0</v>
      </c>
      <c r="F4" s="25" t="s">
        <v>5</v>
      </c>
      <c r="G4" s="25" t="s">
        <v>6</v>
      </c>
      <c r="H4" s="25" t="s">
        <v>82</v>
      </c>
      <c r="I4" s="31" t="s">
        <v>84</v>
      </c>
      <c r="J4" s="29" t="s">
        <v>81</v>
      </c>
    </row>
    <row r="5" spans="1:10" x14ac:dyDescent="0.25">
      <c r="A5" s="25" t="s">
        <v>12</v>
      </c>
      <c r="B5" s="25" t="s">
        <v>13</v>
      </c>
      <c r="C5" s="25">
        <v>4.6039285999999997</v>
      </c>
      <c r="D5" s="25">
        <v>4.6039285999999997</v>
      </c>
      <c r="E5" s="25">
        <v>0</v>
      </c>
      <c r="F5" s="25">
        <v>0</v>
      </c>
      <c r="G5" s="25">
        <v>0</v>
      </c>
      <c r="H5" s="25">
        <v>0</v>
      </c>
      <c r="I5" s="25">
        <v>0</v>
      </c>
      <c r="J5" s="25">
        <v>0</v>
      </c>
    </row>
    <row r="6" spans="1:10" x14ac:dyDescent="0.25">
      <c r="A6" s="25" t="s">
        <v>54</v>
      </c>
      <c r="B6" s="25" t="s">
        <v>63</v>
      </c>
      <c r="C6" s="25">
        <v>0.29780991000000001</v>
      </c>
      <c r="D6" s="25">
        <v>0</v>
      </c>
      <c r="E6" s="25">
        <v>-0.50810007999999995</v>
      </c>
      <c r="F6" s="25">
        <v>9.9234470000000005E-2</v>
      </c>
      <c r="G6" s="25">
        <v>0.70667552</v>
      </c>
      <c r="H6" s="25">
        <v>0</v>
      </c>
      <c r="I6" s="25">
        <v>0</v>
      </c>
      <c r="J6" s="25">
        <v>0</v>
      </c>
    </row>
    <row r="7" spans="1:10" x14ac:dyDescent="0.25">
      <c r="A7" s="25" t="s">
        <v>55</v>
      </c>
      <c r="B7" s="25" t="s">
        <v>58</v>
      </c>
      <c r="C7" s="25">
        <v>-0.77919565999999996</v>
      </c>
      <c r="D7" s="25">
        <v>0</v>
      </c>
      <c r="E7" s="25">
        <v>-0.50810007999999995</v>
      </c>
      <c r="F7" s="25">
        <v>9.9234470000000005E-2</v>
      </c>
      <c r="G7" s="25">
        <v>-0.37033005000000002</v>
      </c>
      <c r="H7" s="25">
        <v>0</v>
      </c>
      <c r="I7" s="25">
        <v>0</v>
      </c>
      <c r="J7" s="25">
        <v>0</v>
      </c>
    </row>
    <row r="8" spans="1:10" x14ac:dyDescent="0.25">
      <c r="A8" s="25" t="s">
        <v>56</v>
      </c>
      <c r="B8" s="25" t="s">
        <v>59</v>
      </c>
      <c r="C8" s="25">
        <v>0.89823688000000002</v>
      </c>
      <c r="D8" s="25">
        <v>0</v>
      </c>
      <c r="E8" s="25">
        <v>9.2326883999999998E-2</v>
      </c>
      <c r="F8" s="25">
        <v>9.9234470000000005E-2</v>
      </c>
      <c r="G8" s="25">
        <v>0.70667552</v>
      </c>
      <c r="H8" s="25">
        <v>0</v>
      </c>
      <c r="I8" s="25">
        <v>0</v>
      </c>
      <c r="J8" s="25">
        <v>0</v>
      </c>
    </row>
    <row r="9" spans="1:10" x14ac:dyDescent="0.25">
      <c r="A9" s="25" t="s">
        <v>57</v>
      </c>
      <c r="B9" s="25" t="s">
        <v>60</v>
      </c>
      <c r="C9" s="25">
        <v>1.2048972</v>
      </c>
      <c r="D9" s="25">
        <v>0</v>
      </c>
      <c r="E9" s="25">
        <v>9.2326883999999998E-2</v>
      </c>
      <c r="F9" s="25">
        <v>9.9234470000000005E-2</v>
      </c>
      <c r="G9" s="25">
        <v>1.0133359</v>
      </c>
      <c r="H9" s="25">
        <v>0</v>
      </c>
      <c r="I9" s="25">
        <v>0</v>
      </c>
      <c r="J9" s="25">
        <v>0</v>
      </c>
    </row>
    <row r="10" spans="1:10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</row>
    <row r="11" spans="1:10" x14ac:dyDescent="0.25">
      <c r="A11" s="43" t="s">
        <v>68</v>
      </c>
      <c r="B11" s="44"/>
      <c r="C11" s="44"/>
      <c r="D11" s="44"/>
      <c r="E11" s="44"/>
      <c r="F11" s="44"/>
      <c r="G11" s="44"/>
      <c r="H11" s="44"/>
      <c r="I11" s="44"/>
      <c r="J11" s="45"/>
    </row>
    <row r="12" spans="1:10" x14ac:dyDescent="0.25">
      <c r="A12" s="25" t="s">
        <v>65</v>
      </c>
      <c r="B12" s="25" t="s">
        <v>66</v>
      </c>
      <c r="C12" s="25" t="s">
        <v>67</v>
      </c>
      <c r="D12" s="25" t="s">
        <v>7</v>
      </c>
      <c r="E12" s="25" t="s">
        <v>0</v>
      </c>
      <c r="F12" s="25" t="s">
        <v>5</v>
      </c>
      <c r="G12" s="25" t="s">
        <v>6</v>
      </c>
      <c r="H12" s="25" t="s">
        <v>82</v>
      </c>
      <c r="I12" s="31" t="s">
        <v>84</v>
      </c>
      <c r="J12" s="29" t="s">
        <v>81</v>
      </c>
    </row>
    <row r="13" spans="1:10" x14ac:dyDescent="0.25">
      <c r="A13" s="25" t="s">
        <v>12</v>
      </c>
      <c r="B13" s="25" t="s">
        <v>13</v>
      </c>
      <c r="C13" s="25">
        <v>1.1256093E-5</v>
      </c>
      <c r="D13" s="25">
        <v>1.1256093E-5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</row>
    <row r="14" spans="1:10" x14ac:dyDescent="0.25">
      <c r="A14" s="25" t="s">
        <v>54</v>
      </c>
      <c r="B14" s="25" t="s">
        <v>63</v>
      </c>
      <c r="C14" s="25">
        <v>1.099053E-6</v>
      </c>
      <c r="D14" s="25">
        <v>0</v>
      </c>
      <c r="E14" s="25">
        <v>-4.0528330999999998E-7</v>
      </c>
      <c r="F14" s="25">
        <v>5.0670837999999996E-7</v>
      </c>
      <c r="G14" s="25">
        <v>9.9762792000000005E-7</v>
      </c>
      <c r="H14" s="25">
        <v>0</v>
      </c>
      <c r="I14" s="25">
        <v>0</v>
      </c>
      <c r="J14" s="25">
        <v>0</v>
      </c>
    </row>
    <row r="15" spans="1:10" x14ac:dyDescent="0.25">
      <c r="A15" s="25" t="s">
        <v>55</v>
      </c>
      <c r="B15" s="25" t="s">
        <v>58</v>
      </c>
      <c r="C15" s="25">
        <v>1.6552007E-6</v>
      </c>
      <c r="D15" s="25">
        <v>0</v>
      </c>
      <c r="E15" s="25">
        <v>-4.0528330999999998E-7</v>
      </c>
      <c r="F15" s="25">
        <v>5.0670837999999996E-7</v>
      </c>
      <c r="G15" s="25">
        <v>1.5537756000000001E-6</v>
      </c>
      <c r="H15" s="25">
        <v>0</v>
      </c>
      <c r="I15" s="25">
        <v>0</v>
      </c>
      <c r="J15" s="25">
        <v>0</v>
      </c>
    </row>
    <row r="16" spans="1:10" x14ac:dyDescent="0.25">
      <c r="A16" s="25" t="s">
        <v>56</v>
      </c>
      <c r="B16" s="25" t="s">
        <v>59</v>
      </c>
      <c r="C16" s="25">
        <v>1.6647518E-6</v>
      </c>
      <c r="D16" s="25">
        <v>0</v>
      </c>
      <c r="E16" s="25">
        <v>1.6041547999999999E-7</v>
      </c>
      <c r="F16" s="25">
        <v>5.0670837999999996E-7</v>
      </c>
      <c r="G16" s="25">
        <v>9.9762792000000005E-7</v>
      </c>
      <c r="H16" s="25">
        <v>0</v>
      </c>
      <c r="I16" s="25">
        <v>0</v>
      </c>
      <c r="J16" s="25">
        <v>0</v>
      </c>
    </row>
    <row r="17" spans="1:18" x14ac:dyDescent="0.25">
      <c r="A17" s="25" t="s">
        <v>57</v>
      </c>
      <c r="B17" s="25" t="s">
        <v>60</v>
      </c>
      <c r="C17" s="25">
        <v>3.5245353E-6</v>
      </c>
      <c r="D17" s="25">
        <v>0</v>
      </c>
      <c r="E17" s="25">
        <v>1.6041547999999999E-7</v>
      </c>
      <c r="F17" s="25">
        <v>5.0670837999999996E-7</v>
      </c>
      <c r="G17" s="25">
        <v>2.8574115000000002E-6</v>
      </c>
      <c r="H17" s="25">
        <v>0</v>
      </c>
      <c r="I17" s="25">
        <v>0</v>
      </c>
      <c r="J17" s="25">
        <v>0</v>
      </c>
    </row>
    <row r="18" spans="1:18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N18" s="26"/>
      <c r="P18" s="26"/>
      <c r="Q18" s="26"/>
      <c r="R18" s="26"/>
    </row>
    <row r="19" spans="1:18" x14ac:dyDescent="0.25">
      <c r="A19" s="43" t="s">
        <v>69</v>
      </c>
      <c r="B19" s="44"/>
      <c r="C19" s="44"/>
      <c r="D19" s="44"/>
      <c r="E19" s="44"/>
      <c r="F19" s="44"/>
      <c r="G19" s="44"/>
      <c r="H19" s="44"/>
      <c r="I19" s="44"/>
      <c r="J19" s="45"/>
      <c r="N19" s="26"/>
      <c r="P19" s="26"/>
      <c r="Q19" s="26"/>
      <c r="R19" s="26"/>
    </row>
    <row r="20" spans="1:18" x14ac:dyDescent="0.25">
      <c r="A20" s="25" t="s">
        <v>65</v>
      </c>
      <c r="B20" s="25" t="s">
        <v>66</v>
      </c>
      <c r="C20" s="25" t="s">
        <v>67</v>
      </c>
      <c r="D20" s="25" t="s">
        <v>7</v>
      </c>
      <c r="E20" s="25" t="s">
        <v>0</v>
      </c>
      <c r="F20" s="25" t="s">
        <v>5</v>
      </c>
      <c r="G20" s="25" t="s">
        <v>6</v>
      </c>
      <c r="H20" s="25" t="s">
        <v>82</v>
      </c>
      <c r="I20" s="31" t="s">
        <v>84</v>
      </c>
      <c r="J20" s="29" t="s">
        <v>81</v>
      </c>
      <c r="N20" s="26"/>
      <c r="P20" s="26"/>
      <c r="Q20" s="26"/>
      <c r="R20" s="26"/>
    </row>
    <row r="21" spans="1:18" x14ac:dyDescent="0.25">
      <c r="A21" s="25" t="s">
        <v>12</v>
      </c>
      <c r="B21" s="25" t="s">
        <v>13</v>
      </c>
      <c r="C21" s="25">
        <v>2.2664456E-8</v>
      </c>
      <c r="D21" s="25">
        <v>2.2664456E-8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N21" s="26"/>
      <c r="P21" s="26"/>
      <c r="Q21" s="26"/>
      <c r="R21" s="26"/>
    </row>
    <row r="22" spans="1:18" x14ac:dyDescent="0.25">
      <c r="A22" s="25" t="s">
        <v>54</v>
      </c>
      <c r="B22" s="25" t="s">
        <v>63</v>
      </c>
      <c r="C22" s="25">
        <v>1.836188E-9</v>
      </c>
      <c r="D22" s="25">
        <v>0</v>
      </c>
      <c r="E22" s="25">
        <v>-1.3325081E-9</v>
      </c>
      <c r="F22" s="25">
        <v>6.3161408000000003E-10</v>
      </c>
      <c r="G22" s="25">
        <v>2.5370819999999999E-9</v>
      </c>
      <c r="H22" s="25">
        <v>0</v>
      </c>
      <c r="I22" s="25">
        <v>0</v>
      </c>
      <c r="J22" s="25">
        <v>0</v>
      </c>
      <c r="N22" s="26"/>
      <c r="P22" s="26"/>
      <c r="Q22" s="26"/>
      <c r="R22" s="26"/>
    </row>
    <row r="23" spans="1:18" x14ac:dyDescent="0.25">
      <c r="A23" s="25" t="s">
        <v>55</v>
      </c>
      <c r="B23" s="25" t="s">
        <v>58</v>
      </c>
      <c r="C23" s="25">
        <v>1.2428482999999999E-10</v>
      </c>
      <c r="D23" s="25">
        <v>0</v>
      </c>
      <c r="E23" s="25">
        <v>-1.3325081E-9</v>
      </c>
      <c r="F23" s="25">
        <v>6.3161408000000003E-10</v>
      </c>
      <c r="G23" s="25">
        <v>8.2517886000000003E-10</v>
      </c>
      <c r="H23" s="25">
        <v>0</v>
      </c>
      <c r="I23" s="25">
        <v>0</v>
      </c>
      <c r="J23" s="25">
        <v>0</v>
      </c>
      <c r="N23" s="26"/>
      <c r="P23" s="26"/>
      <c r="Q23" s="26"/>
      <c r="R23" s="26"/>
    </row>
    <row r="24" spans="1:18" x14ac:dyDescent="0.25">
      <c r="A24" s="25" t="s">
        <v>56</v>
      </c>
      <c r="B24" s="25" t="s">
        <v>59</v>
      </c>
      <c r="C24" s="25">
        <v>3.5590881999999998E-9</v>
      </c>
      <c r="D24" s="25">
        <v>0</v>
      </c>
      <c r="E24" s="25">
        <v>3.9039205000000002E-10</v>
      </c>
      <c r="F24" s="25">
        <v>6.3161408000000003E-10</v>
      </c>
      <c r="G24" s="25">
        <v>2.5370819999999999E-9</v>
      </c>
      <c r="H24" s="25">
        <v>0</v>
      </c>
      <c r="I24" s="25">
        <v>0</v>
      </c>
      <c r="J24" s="25">
        <v>0</v>
      </c>
      <c r="N24" s="26"/>
      <c r="P24" s="26"/>
      <c r="Q24" s="26"/>
      <c r="R24" s="26"/>
    </row>
    <row r="25" spans="1:18" x14ac:dyDescent="0.25">
      <c r="A25" s="25" t="s">
        <v>57</v>
      </c>
      <c r="B25" s="25" t="s">
        <v>60</v>
      </c>
      <c r="C25" s="25">
        <v>5.8175566999999997E-9</v>
      </c>
      <c r="D25" s="25">
        <v>0</v>
      </c>
      <c r="E25" s="25">
        <v>3.9039205000000002E-10</v>
      </c>
      <c r="F25" s="25">
        <v>6.3161408000000003E-10</v>
      </c>
      <c r="G25" s="25">
        <v>4.7955506000000002E-9</v>
      </c>
      <c r="H25" s="25">
        <v>0</v>
      </c>
      <c r="I25" s="25">
        <v>0</v>
      </c>
      <c r="J25" s="25">
        <v>0</v>
      </c>
      <c r="N25" s="26"/>
      <c r="P25" s="26"/>
      <c r="Q25" s="26"/>
      <c r="R25" s="26"/>
    </row>
    <row r="26" spans="1:18" x14ac:dyDescent="0.25">
      <c r="A26" s="29"/>
      <c r="B26" s="29"/>
      <c r="C26" s="30"/>
      <c r="D26" s="29"/>
      <c r="E26" s="30"/>
      <c r="F26" s="30"/>
      <c r="G26" s="30"/>
      <c r="H26" s="29"/>
      <c r="I26" s="29"/>
      <c r="J26" s="29"/>
      <c r="N26" s="26"/>
      <c r="P26" s="26"/>
      <c r="Q26" s="26"/>
      <c r="R26" s="26"/>
    </row>
    <row r="27" spans="1:18" x14ac:dyDescent="0.25">
      <c r="A27" s="43" t="s">
        <v>70</v>
      </c>
      <c r="B27" s="44"/>
      <c r="C27" s="44"/>
      <c r="D27" s="44"/>
      <c r="E27" s="44"/>
      <c r="F27" s="44"/>
      <c r="G27" s="44"/>
      <c r="H27" s="44"/>
      <c r="I27" s="44"/>
      <c r="J27" s="45"/>
      <c r="N27" s="26"/>
      <c r="P27" s="26"/>
      <c r="Q27" s="26"/>
      <c r="R27" s="26"/>
    </row>
    <row r="28" spans="1:18" x14ac:dyDescent="0.25">
      <c r="A28" s="25" t="s">
        <v>65</v>
      </c>
      <c r="B28" s="25" t="s">
        <v>66</v>
      </c>
      <c r="C28" s="25" t="s">
        <v>67</v>
      </c>
      <c r="D28" s="25" t="s">
        <v>7</v>
      </c>
      <c r="E28" s="25" t="s">
        <v>0</v>
      </c>
      <c r="F28" s="25" t="s">
        <v>5</v>
      </c>
      <c r="G28" s="25" t="s">
        <v>6</v>
      </c>
      <c r="H28" s="25" t="s">
        <v>82</v>
      </c>
      <c r="I28" s="31" t="s">
        <v>84</v>
      </c>
      <c r="J28" s="29" t="s">
        <v>81</v>
      </c>
      <c r="N28" s="26"/>
      <c r="P28" s="26"/>
      <c r="Q28" s="26"/>
      <c r="R28" s="26"/>
    </row>
    <row r="29" spans="1:18" x14ac:dyDescent="0.25">
      <c r="A29" s="25" t="s">
        <v>12</v>
      </c>
      <c r="B29" s="25" t="s">
        <v>13</v>
      </c>
      <c r="C29" s="25">
        <v>0.68911549000000005</v>
      </c>
      <c r="D29" s="25">
        <v>0.68911549000000005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N29" s="26"/>
      <c r="P29" s="26"/>
      <c r="Q29" s="26"/>
      <c r="R29" s="26"/>
    </row>
    <row r="30" spans="1:18" x14ac:dyDescent="0.25">
      <c r="A30" s="25" t="s">
        <v>54</v>
      </c>
      <c r="B30" s="25" t="s">
        <v>63</v>
      </c>
      <c r="C30" s="25">
        <v>0.32073826</v>
      </c>
      <c r="D30" s="25">
        <v>0</v>
      </c>
      <c r="E30" s="25">
        <v>3.4231448999999997E-2</v>
      </c>
      <c r="F30" s="25">
        <v>7.5363608E-3</v>
      </c>
      <c r="G30" s="25">
        <v>0.27897044999999998</v>
      </c>
      <c r="H30" s="25">
        <v>0</v>
      </c>
      <c r="I30" s="25">
        <v>0</v>
      </c>
      <c r="J30" s="25">
        <v>0</v>
      </c>
      <c r="N30" s="26"/>
      <c r="P30" s="26"/>
      <c r="Q30" s="26"/>
      <c r="R30" s="26"/>
    </row>
    <row r="31" spans="1:18" x14ac:dyDescent="0.25">
      <c r="A31" s="25" t="s">
        <v>55</v>
      </c>
      <c r="B31" s="25" t="s">
        <v>58</v>
      </c>
      <c r="C31" s="25">
        <v>0.15426957999999999</v>
      </c>
      <c r="D31" s="25">
        <v>0</v>
      </c>
      <c r="E31" s="25">
        <v>3.4231448999999997E-2</v>
      </c>
      <c r="F31" s="25">
        <v>7.5363608E-3</v>
      </c>
      <c r="G31" s="25">
        <v>0.11250177</v>
      </c>
      <c r="H31" s="25">
        <v>0</v>
      </c>
      <c r="I31" s="25">
        <v>0</v>
      </c>
      <c r="J31" s="25">
        <v>0</v>
      </c>
      <c r="N31" s="26"/>
      <c r="P31" s="26"/>
      <c r="Q31" s="26"/>
      <c r="R31" s="26"/>
    </row>
    <row r="32" spans="1:18" x14ac:dyDescent="0.25">
      <c r="A32" s="25" t="s">
        <v>56</v>
      </c>
      <c r="B32" s="25" t="s">
        <v>59</v>
      </c>
      <c r="C32" s="25">
        <v>0.31486985000000001</v>
      </c>
      <c r="D32" s="25">
        <v>0</v>
      </c>
      <c r="E32" s="25">
        <v>2.8363033999999999E-2</v>
      </c>
      <c r="F32" s="25">
        <v>7.5363608E-3</v>
      </c>
      <c r="G32" s="25">
        <v>0.27897044999999998</v>
      </c>
      <c r="H32" s="25">
        <v>0</v>
      </c>
      <c r="I32" s="25">
        <v>0</v>
      </c>
      <c r="J32" s="25">
        <v>0</v>
      </c>
      <c r="N32" s="26"/>
      <c r="P32" s="26"/>
      <c r="Q32" s="26"/>
      <c r="R32" s="26"/>
    </row>
    <row r="33" spans="1:18" x14ac:dyDescent="0.25">
      <c r="A33" s="25" t="s">
        <v>57</v>
      </c>
      <c r="B33" s="25" t="s">
        <v>60</v>
      </c>
      <c r="C33" s="25">
        <v>0.13487758</v>
      </c>
      <c r="D33" s="25">
        <v>0</v>
      </c>
      <c r="E33" s="25">
        <v>2.8363033999999999E-2</v>
      </c>
      <c r="F33" s="25">
        <v>7.5363608E-3</v>
      </c>
      <c r="G33" s="25">
        <v>9.8978181999999998E-2</v>
      </c>
      <c r="H33" s="25">
        <v>0</v>
      </c>
      <c r="I33" s="25">
        <v>0</v>
      </c>
      <c r="J33" s="25">
        <v>0</v>
      </c>
      <c r="N33" s="26"/>
      <c r="P33" s="26"/>
      <c r="Q33" s="26"/>
      <c r="R33" s="26"/>
    </row>
    <row r="34" spans="1:18" x14ac:dyDescent="0.25">
      <c r="A34" s="27"/>
      <c r="B34" s="27"/>
      <c r="C34" s="27"/>
      <c r="D34" s="27"/>
      <c r="E34" s="27"/>
      <c r="F34" s="27"/>
      <c r="G34" s="27"/>
      <c r="N34" s="26"/>
      <c r="P34" s="26"/>
      <c r="Q34" s="26"/>
      <c r="R34" s="26"/>
    </row>
    <row r="35" spans="1:18" x14ac:dyDescent="0.25">
      <c r="A35" s="27"/>
      <c r="B35" s="27"/>
      <c r="C35" s="27"/>
      <c r="D35" s="27"/>
      <c r="E35" s="27"/>
      <c r="F35" s="27"/>
      <c r="G35" s="27"/>
      <c r="P35" s="26"/>
    </row>
    <row r="37" spans="1:18" x14ac:dyDescent="0.25">
      <c r="A37" s="40" t="s">
        <v>72</v>
      </c>
      <c r="B37" s="41"/>
      <c r="C37" s="41"/>
      <c r="D37" s="41"/>
      <c r="E37" s="41"/>
      <c r="F37" s="41"/>
      <c r="G37" s="41"/>
      <c r="H37" s="41"/>
      <c r="I37" s="41"/>
      <c r="J37" s="42"/>
      <c r="N37" s="26"/>
      <c r="P37" s="26"/>
      <c r="Q37" s="26"/>
      <c r="R37" s="26"/>
    </row>
    <row r="38" spans="1:18" x14ac:dyDescent="0.25">
      <c r="A38" s="43" t="s">
        <v>64</v>
      </c>
      <c r="B38" s="44"/>
      <c r="C38" s="44"/>
      <c r="D38" s="44"/>
      <c r="E38" s="44"/>
      <c r="F38" s="44"/>
      <c r="G38" s="44"/>
      <c r="H38" s="44"/>
      <c r="I38" s="44"/>
      <c r="J38" s="45"/>
      <c r="N38" s="26"/>
      <c r="P38" s="26"/>
      <c r="Q38" s="26"/>
      <c r="R38" s="26"/>
    </row>
    <row r="39" spans="1:18" x14ac:dyDescent="0.25">
      <c r="A39" s="25" t="s">
        <v>65</v>
      </c>
      <c r="B39" s="25" t="s">
        <v>66</v>
      </c>
      <c r="C39" s="25" t="s">
        <v>67</v>
      </c>
      <c r="D39" s="25" t="s">
        <v>7</v>
      </c>
      <c r="E39" s="25" t="s">
        <v>0</v>
      </c>
      <c r="F39" s="25" t="s">
        <v>5</v>
      </c>
      <c r="G39" s="25" t="s">
        <v>6</v>
      </c>
      <c r="H39" s="25" t="s">
        <v>82</v>
      </c>
      <c r="I39" s="31" t="s">
        <v>84</v>
      </c>
      <c r="J39" s="29" t="s">
        <v>81</v>
      </c>
      <c r="N39" s="26"/>
      <c r="P39" s="26"/>
      <c r="Q39" s="26"/>
      <c r="R39" s="26"/>
    </row>
    <row r="40" spans="1:18" x14ac:dyDescent="0.25">
      <c r="A40" s="25" t="s">
        <v>12</v>
      </c>
      <c r="B40" s="25" t="s">
        <v>13</v>
      </c>
      <c r="C40" s="25">
        <v>4.6039285999999997</v>
      </c>
      <c r="D40" s="25">
        <v>4.6039285999999997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</row>
    <row r="41" spans="1:18" x14ac:dyDescent="0.25">
      <c r="A41" s="28" t="s">
        <v>73</v>
      </c>
      <c r="B41" s="28" t="s">
        <v>74</v>
      </c>
      <c r="C41" s="25">
        <v>5.0182215000000001</v>
      </c>
      <c r="D41" s="25">
        <v>0</v>
      </c>
      <c r="E41" s="25">
        <v>-0.35893471999999998</v>
      </c>
      <c r="F41" s="25">
        <v>4.6704806999999997</v>
      </c>
      <c r="G41" s="25">
        <v>0.70667552</v>
      </c>
      <c r="H41" s="25">
        <v>0</v>
      </c>
      <c r="I41" s="25">
        <v>0</v>
      </c>
      <c r="J41" s="25">
        <v>0</v>
      </c>
    </row>
    <row r="42" spans="1:18" x14ac:dyDescent="0.25">
      <c r="A42" s="25" t="s">
        <v>78</v>
      </c>
      <c r="B42" s="28" t="s">
        <v>75</v>
      </c>
      <c r="C42" s="25">
        <v>14.407117</v>
      </c>
      <c r="D42" s="25">
        <v>0</v>
      </c>
      <c r="E42" s="25">
        <v>-0.35893471999999998</v>
      </c>
      <c r="F42" s="25">
        <v>4.6704806999999997</v>
      </c>
      <c r="G42" s="25">
        <v>10.095571</v>
      </c>
      <c r="H42" s="25">
        <v>0</v>
      </c>
      <c r="I42" s="25">
        <v>0</v>
      </c>
      <c r="J42" s="25">
        <v>0</v>
      </c>
    </row>
    <row r="43" spans="1:18" x14ac:dyDescent="0.25">
      <c r="A43" s="25" t="s">
        <v>79</v>
      </c>
      <c r="B43" s="28" t="s">
        <v>76</v>
      </c>
      <c r="C43" s="25">
        <v>5.4694830999999997</v>
      </c>
      <c r="D43" s="25">
        <v>0</v>
      </c>
      <c r="E43" s="25">
        <v>9.2326883999999998E-2</v>
      </c>
      <c r="F43" s="25">
        <v>4.6704806999999997</v>
      </c>
      <c r="G43" s="25">
        <v>0.70667552</v>
      </c>
      <c r="H43" s="25">
        <v>0</v>
      </c>
      <c r="I43" s="25">
        <v>0</v>
      </c>
      <c r="J43" s="25">
        <v>0</v>
      </c>
    </row>
    <row r="44" spans="1:18" x14ac:dyDescent="0.25">
      <c r="A44" s="25" t="s">
        <v>80</v>
      </c>
      <c r="B44" s="28" t="s">
        <v>77</v>
      </c>
      <c r="C44" s="25">
        <v>15.898298</v>
      </c>
      <c r="D44" s="25">
        <v>0</v>
      </c>
      <c r="E44" s="25">
        <v>9.2326883999999998E-2</v>
      </c>
      <c r="F44" s="25">
        <v>4.6704806999999997</v>
      </c>
      <c r="G44" s="25">
        <v>11.135490000000001</v>
      </c>
      <c r="H44" s="25">
        <v>0</v>
      </c>
      <c r="I44" s="25">
        <v>0</v>
      </c>
      <c r="J44" s="25">
        <v>0</v>
      </c>
    </row>
    <row r="45" spans="1:18" x14ac:dyDescent="0.25">
      <c r="A45" s="29"/>
      <c r="B45" s="29"/>
      <c r="C45" s="29"/>
      <c r="D45" s="29"/>
      <c r="E45" s="29"/>
      <c r="F45" s="29"/>
      <c r="G45" s="29"/>
      <c r="H45" s="30"/>
      <c r="I45" s="29"/>
      <c r="J45" s="29"/>
    </row>
    <row r="46" spans="1:18" x14ac:dyDescent="0.25">
      <c r="A46" s="43" t="s">
        <v>68</v>
      </c>
      <c r="B46" s="44"/>
      <c r="C46" s="44"/>
      <c r="D46" s="44"/>
      <c r="E46" s="44"/>
      <c r="F46" s="44"/>
      <c r="G46" s="44"/>
      <c r="H46" s="44"/>
      <c r="I46" s="44"/>
      <c r="J46" s="45"/>
    </row>
    <row r="47" spans="1:18" x14ac:dyDescent="0.25">
      <c r="A47" s="25" t="s">
        <v>65</v>
      </c>
      <c r="B47" s="25" t="s">
        <v>66</v>
      </c>
      <c r="C47" s="25" t="s">
        <v>67</v>
      </c>
      <c r="D47" s="25" t="s">
        <v>7</v>
      </c>
      <c r="E47" s="25" t="s">
        <v>0</v>
      </c>
      <c r="F47" s="25" t="s">
        <v>5</v>
      </c>
      <c r="G47" s="25" t="s">
        <v>6</v>
      </c>
      <c r="H47" s="25" t="s">
        <v>82</v>
      </c>
      <c r="I47" s="31" t="s">
        <v>84</v>
      </c>
      <c r="J47" s="29" t="s">
        <v>81</v>
      </c>
    </row>
    <row r="48" spans="1:18" x14ac:dyDescent="0.25">
      <c r="A48" s="25" t="s">
        <v>12</v>
      </c>
      <c r="B48" s="25" t="s">
        <v>13</v>
      </c>
      <c r="C48" s="25">
        <v>1.1256093E-5</v>
      </c>
      <c r="D48" s="25">
        <v>1.1256093E-5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</row>
    <row r="49" spans="1:10" x14ac:dyDescent="0.25">
      <c r="A49" s="28" t="s">
        <v>73</v>
      </c>
      <c r="B49" s="28" t="s">
        <v>74</v>
      </c>
      <c r="C49" s="25">
        <v>1.3521474E-5</v>
      </c>
      <c r="D49" s="25">
        <v>0</v>
      </c>
      <c r="E49" s="25">
        <v>-1.273387E-8</v>
      </c>
      <c r="F49" s="25">
        <v>1.253658E-5</v>
      </c>
      <c r="G49" s="25">
        <v>9.9762792000000005E-7</v>
      </c>
      <c r="H49" s="25">
        <v>0</v>
      </c>
      <c r="I49" s="25">
        <v>0</v>
      </c>
      <c r="J49" s="25">
        <v>0</v>
      </c>
    </row>
    <row r="50" spans="1:10" x14ac:dyDescent="0.25">
      <c r="A50" s="25" t="s">
        <v>78</v>
      </c>
      <c r="B50" s="28" t="s">
        <v>75</v>
      </c>
      <c r="C50" s="25">
        <v>4.1620099999999998E-5</v>
      </c>
      <c r="D50" s="25">
        <v>0</v>
      </c>
      <c r="E50" s="25">
        <v>-1.273387E-8</v>
      </c>
      <c r="F50" s="25">
        <v>1.253658E-5</v>
      </c>
      <c r="G50" s="25">
        <v>2.9096253999999999E-5</v>
      </c>
      <c r="H50" s="25">
        <v>0</v>
      </c>
      <c r="I50" s="25">
        <v>0</v>
      </c>
      <c r="J50" s="25">
        <v>0</v>
      </c>
    </row>
    <row r="51" spans="1:10" x14ac:dyDescent="0.25">
      <c r="A51" s="25" t="s">
        <v>79</v>
      </c>
      <c r="B51" s="28" t="s">
        <v>76</v>
      </c>
      <c r="C51" s="25">
        <v>1.3694623000000001E-5</v>
      </c>
      <c r="D51" s="25">
        <v>0</v>
      </c>
      <c r="E51" s="25">
        <v>1.6041547999999999E-7</v>
      </c>
      <c r="F51" s="25">
        <v>1.253658E-5</v>
      </c>
      <c r="G51" s="25">
        <v>9.9762792000000005E-7</v>
      </c>
      <c r="H51" s="25">
        <v>0</v>
      </c>
      <c r="I51" s="25">
        <v>0</v>
      </c>
      <c r="J51" s="25">
        <v>0</v>
      </c>
    </row>
    <row r="52" spans="1:10" x14ac:dyDescent="0.25">
      <c r="A52" s="25" t="s">
        <v>80</v>
      </c>
      <c r="B52" s="28" t="s">
        <v>77</v>
      </c>
      <c r="C52" s="25">
        <v>4.2192266E-5</v>
      </c>
      <c r="D52" s="25">
        <v>0</v>
      </c>
      <c r="E52" s="25">
        <v>1.6041547999999999E-7</v>
      </c>
      <c r="F52" s="25">
        <v>1.253658E-5</v>
      </c>
      <c r="G52" s="25">
        <v>2.9495270999999999E-5</v>
      </c>
      <c r="H52" s="25">
        <v>0</v>
      </c>
      <c r="I52" s="25">
        <v>0</v>
      </c>
      <c r="J52" s="25">
        <v>0</v>
      </c>
    </row>
    <row r="53" spans="1:10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</row>
    <row r="54" spans="1:10" x14ac:dyDescent="0.25">
      <c r="A54" s="43" t="s">
        <v>69</v>
      </c>
      <c r="B54" s="44"/>
      <c r="C54" s="44"/>
      <c r="D54" s="44"/>
      <c r="E54" s="44"/>
      <c r="F54" s="44"/>
      <c r="G54" s="44"/>
      <c r="H54" s="44"/>
      <c r="I54" s="44"/>
      <c r="J54" s="45"/>
    </row>
    <row r="55" spans="1:10" x14ac:dyDescent="0.25">
      <c r="A55" s="25" t="s">
        <v>65</v>
      </c>
      <c r="B55" s="25" t="s">
        <v>66</v>
      </c>
      <c r="C55" s="25" t="s">
        <v>67</v>
      </c>
      <c r="D55" s="25" t="s">
        <v>7</v>
      </c>
      <c r="E55" s="25" t="s">
        <v>0</v>
      </c>
      <c r="F55" s="25" t="s">
        <v>5</v>
      </c>
      <c r="G55" s="25" t="s">
        <v>6</v>
      </c>
      <c r="H55" s="25" t="s">
        <v>82</v>
      </c>
      <c r="I55" s="31" t="s">
        <v>84</v>
      </c>
      <c r="J55" s="29" t="s">
        <v>81</v>
      </c>
    </row>
    <row r="56" spans="1:10" x14ac:dyDescent="0.25">
      <c r="A56" s="25" t="s">
        <v>12</v>
      </c>
      <c r="B56" s="25" t="s">
        <v>13</v>
      </c>
      <c r="C56" s="25">
        <v>2.2664456E-8</v>
      </c>
      <c r="D56" s="25">
        <v>2.2664456E-8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</row>
    <row r="57" spans="1:10" x14ac:dyDescent="0.25">
      <c r="A57" s="28" t="s">
        <v>73</v>
      </c>
      <c r="B57" s="28" t="s">
        <v>74</v>
      </c>
      <c r="C57" s="25">
        <v>2.2286785000000001E-8</v>
      </c>
      <c r="D57" s="25">
        <v>0</v>
      </c>
      <c r="E57" s="25">
        <v>-6.8626770999999998E-10</v>
      </c>
      <c r="F57" s="25">
        <v>2.0435969999999999E-8</v>
      </c>
      <c r="G57" s="25">
        <v>2.5370819999999999E-9</v>
      </c>
      <c r="H57" s="25">
        <v>0</v>
      </c>
      <c r="I57" s="25">
        <v>0</v>
      </c>
      <c r="J57" s="25">
        <v>0</v>
      </c>
    </row>
    <row r="58" spans="1:10" x14ac:dyDescent="0.25">
      <c r="A58" s="25" t="s">
        <v>78</v>
      </c>
      <c r="B58" s="28" t="s">
        <v>75</v>
      </c>
      <c r="C58" s="25">
        <v>6.5917098999999996E-8</v>
      </c>
      <c r="D58" s="25">
        <v>0</v>
      </c>
      <c r="E58" s="25">
        <v>-6.8626770999999998E-10</v>
      </c>
      <c r="F58" s="25">
        <v>2.0435969999999999E-8</v>
      </c>
      <c r="G58" s="25">
        <v>4.6167396E-8</v>
      </c>
      <c r="H58" s="25">
        <v>0</v>
      </c>
      <c r="I58" s="25">
        <v>0</v>
      </c>
      <c r="J58" s="25">
        <v>0</v>
      </c>
    </row>
    <row r="59" spans="1:10" x14ac:dyDescent="0.25">
      <c r="A59" s="25" t="s">
        <v>79</v>
      </c>
      <c r="B59" s="28" t="s">
        <v>76</v>
      </c>
      <c r="C59" s="25">
        <v>2.3363444000000001E-8</v>
      </c>
      <c r="D59" s="25">
        <v>0</v>
      </c>
      <c r="E59" s="25">
        <v>3.9039205000000002E-10</v>
      </c>
      <c r="F59" s="25">
        <v>2.0435969999999999E-8</v>
      </c>
      <c r="G59" s="25">
        <v>2.5370819999999999E-9</v>
      </c>
      <c r="H59" s="25">
        <v>0</v>
      </c>
      <c r="I59" s="25">
        <v>0</v>
      </c>
      <c r="J59" s="25">
        <v>0</v>
      </c>
    </row>
    <row r="60" spans="1:10" x14ac:dyDescent="0.25">
      <c r="A60" s="25" t="s">
        <v>80</v>
      </c>
      <c r="B60" s="28" t="s">
        <v>77</v>
      </c>
      <c r="C60" s="25">
        <v>6.9474888999999999E-8</v>
      </c>
      <c r="D60" s="25">
        <v>0</v>
      </c>
      <c r="E60" s="25">
        <v>3.9039205000000002E-10</v>
      </c>
      <c r="F60" s="25">
        <v>2.0435969999999999E-8</v>
      </c>
      <c r="G60" s="25">
        <v>4.8648526000000002E-8</v>
      </c>
      <c r="H60" s="25">
        <v>0</v>
      </c>
      <c r="I60" s="25">
        <v>0</v>
      </c>
      <c r="J60" s="25">
        <v>0</v>
      </c>
    </row>
    <row r="61" spans="1:10" x14ac:dyDescent="0.25">
      <c r="A61" s="29"/>
      <c r="B61" s="29"/>
      <c r="C61" s="30"/>
      <c r="D61" s="29"/>
      <c r="E61" s="30"/>
      <c r="F61" s="30"/>
      <c r="G61" s="30"/>
      <c r="H61" s="29"/>
      <c r="I61" s="29"/>
      <c r="J61" s="29"/>
    </row>
    <row r="62" spans="1:10" x14ac:dyDescent="0.25">
      <c r="A62" s="43" t="s">
        <v>70</v>
      </c>
      <c r="B62" s="44"/>
      <c r="C62" s="44"/>
      <c r="D62" s="44"/>
      <c r="E62" s="44"/>
      <c r="F62" s="44"/>
      <c r="G62" s="44"/>
      <c r="H62" s="44"/>
      <c r="I62" s="44"/>
      <c r="J62" s="45"/>
    </row>
    <row r="63" spans="1:10" x14ac:dyDescent="0.25">
      <c r="A63" s="25" t="s">
        <v>65</v>
      </c>
      <c r="B63" s="25" t="s">
        <v>66</v>
      </c>
      <c r="C63" s="25" t="s">
        <v>67</v>
      </c>
      <c r="D63" s="25" t="s">
        <v>7</v>
      </c>
      <c r="E63" s="25" t="s">
        <v>0</v>
      </c>
      <c r="F63" s="25" t="s">
        <v>5</v>
      </c>
      <c r="G63" s="25" t="s">
        <v>6</v>
      </c>
      <c r="H63" s="25" t="s">
        <v>82</v>
      </c>
      <c r="I63" s="31" t="s">
        <v>84</v>
      </c>
      <c r="J63" s="29" t="s">
        <v>81</v>
      </c>
    </row>
    <row r="64" spans="1:10" x14ac:dyDescent="0.25">
      <c r="A64" s="25" t="s">
        <v>12</v>
      </c>
      <c r="B64" s="25" t="s">
        <v>13</v>
      </c>
      <c r="C64" s="25">
        <v>0.68911549000000005</v>
      </c>
      <c r="D64" s="25">
        <v>0.68911549000000005</v>
      </c>
      <c r="E64" s="25">
        <v>0</v>
      </c>
      <c r="F64" s="25">
        <v>0</v>
      </c>
      <c r="G64" s="25">
        <v>0</v>
      </c>
      <c r="H64" s="25">
        <v>0</v>
      </c>
      <c r="I64" s="25">
        <v>0</v>
      </c>
      <c r="J64" s="25">
        <v>0</v>
      </c>
    </row>
    <row r="65" spans="1:10" x14ac:dyDescent="0.25">
      <c r="A65" s="28" t="s">
        <v>73</v>
      </c>
      <c r="B65" s="28" t="s">
        <v>74</v>
      </c>
      <c r="C65" s="25">
        <v>0.52932210000000002</v>
      </c>
      <c r="D65" s="25">
        <v>0</v>
      </c>
      <c r="E65" s="25">
        <v>4.0822714000000003E-2</v>
      </c>
      <c r="F65" s="25">
        <v>0.20952893</v>
      </c>
      <c r="G65" s="25">
        <v>0.27897044999999998</v>
      </c>
      <c r="H65" s="25">
        <v>0</v>
      </c>
      <c r="I65" s="25">
        <v>0</v>
      </c>
      <c r="J65" s="25">
        <v>0</v>
      </c>
    </row>
    <row r="66" spans="1:10" x14ac:dyDescent="0.25">
      <c r="A66" s="25" t="s">
        <v>78</v>
      </c>
      <c r="B66" s="28" t="s">
        <v>75</v>
      </c>
      <c r="C66" s="25">
        <v>0.82531686999999998</v>
      </c>
      <c r="D66" s="25">
        <v>0</v>
      </c>
      <c r="E66" s="25">
        <v>4.0822714000000003E-2</v>
      </c>
      <c r="F66" s="25">
        <v>0.20952893</v>
      </c>
      <c r="G66" s="25">
        <v>0.57496522000000005</v>
      </c>
      <c r="H66" s="25">
        <v>0</v>
      </c>
      <c r="I66" s="25">
        <v>0</v>
      </c>
      <c r="J66" s="25">
        <v>0</v>
      </c>
    </row>
    <row r="67" spans="1:10" x14ac:dyDescent="0.25">
      <c r="A67" s="25" t="s">
        <v>79</v>
      </c>
      <c r="B67" s="28" t="s">
        <v>76</v>
      </c>
      <c r="C67" s="25">
        <v>0.51686242000000004</v>
      </c>
      <c r="D67" s="25">
        <v>0</v>
      </c>
      <c r="E67" s="25">
        <v>2.8363033999999999E-2</v>
      </c>
      <c r="F67" s="25">
        <v>0.20952893</v>
      </c>
      <c r="G67" s="25">
        <v>0.27897044999999998</v>
      </c>
      <c r="H67" s="25">
        <v>0</v>
      </c>
      <c r="I67" s="25">
        <v>0</v>
      </c>
      <c r="J67" s="25">
        <v>0</v>
      </c>
    </row>
    <row r="68" spans="1:10" x14ac:dyDescent="0.25">
      <c r="A68" s="25" t="s">
        <v>80</v>
      </c>
      <c r="B68" s="28" t="s">
        <v>77</v>
      </c>
      <c r="C68" s="25">
        <v>0.78414423</v>
      </c>
      <c r="D68" s="25">
        <v>0</v>
      </c>
      <c r="E68" s="25">
        <v>2.8363033999999999E-2</v>
      </c>
      <c r="F68" s="25">
        <v>0.20952893</v>
      </c>
      <c r="G68" s="25">
        <v>0.54625226999999998</v>
      </c>
      <c r="H68" s="25">
        <v>0</v>
      </c>
      <c r="I68" s="25">
        <v>0</v>
      </c>
      <c r="J68" s="25">
        <v>0</v>
      </c>
    </row>
    <row r="70" spans="1:10" x14ac:dyDescent="0.25">
      <c r="C70" s="26"/>
      <c r="E70" s="26"/>
      <c r="F70" s="26"/>
      <c r="G70" s="26"/>
    </row>
    <row r="71" spans="1:10" x14ac:dyDescent="0.25">
      <c r="C71" s="26"/>
      <c r="E71" s="26"/>
      <c r="F71" s="26"/>
      <c r="G71" s="26"/>
    </row>
    <row r="72" spans="1:10" x14ac:dyDescent="0.25">
      <c r="C72" s="26"/>
      <c r="E72" s="26"/>
      <c r="F72" s="26"/>
      <c r="G72" s="26"/>
    </row>
    <row r="84" spans="3:7" x14ac:dyDescent="0.25">
      <c r="C84" s="26"/>
      <c r="E84" s="26"/>
      <c r="F84" s="26"/>
      <c r="G84" s="26"/>
    </row>
    <row r="85" spans="3:7" x14ac:dyDescent="0.25">
      <c r="C85" s="26"/>
      <c r="E85" s="26"/>
      <c r="F85" s="26"/>
      <c r="G85" s="26"/>
    </row>
    <row r="86" spans="3:7" x14ac:dyDescent="0.25">
      <c r="C86" s="26"/>
      <c r="E86" s="26"/>
      <c r="F86" s="26"/>
      <c r="G86" s="26"/>
    </row>
    <row r="87" spans="3:7" x14ac:dyDescent="0.25">
      <c r="C87" s="26"/>
      <c r="E87" s="26"/>
      <c r="F87" s="26"/>
      <c r="G87" s="26"/>
    </row>
    <row r="90" spans="3:7" x14ac:dyDescent="0.25">
      <c r="E90" s="26"/>
      <c r="F90" s="26"/>
      <c r="G90" s="26"/>
    </row>
    <row r="91" spans="3:7" x14ac:dyDescent="0.25">
      <c r="C91" s="26"/>
      <c r="E91" s="26"/>
      <c r="F91" s="26"/>
      <c r="G91" s="26"/>
    </row>
    <row r="97" spans="5:7" x14ac:dyDescent="0.25">
      <c r="G97" s="26"/>
    </row>
    <row r="98" spans="5:7" x14ac:dyDescent="0.25">
      <c r="E98" s="26"/>
      <c r="G98" s="26"/>
    </row>
  </sheetData>
  <mergeCells count="10">
    <mergeCell ref="A2:J2"/>
    <mergeCell ref="A3:J3"/>
    <mergeCell ref="A11:J11"/>
    <mergeCell ref="A19:J19"/>
    <mergeCell ref="A27:J27"/>
    <mergeCell ref="A37:J37"/>
    <mergeCell ref="A38:J38"/>
    <mergeCell ref="A46:J46"/>
    <mergeCell ref="A54:J54"/>
    <mergeCell ref="A62:J6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tabSelected="1" workbookViewId="0">
      <selection activeCell="F10" sqref="F10"/>
    </sheetView>
  </sheetViews>
  <sheetFormatPr defaultColWidth="8.875" defaultRowHeight="15.75" x14ac:dyDescent="0.25"/>
  <cols>
    <col min="1" max="1" width="27.875" customWidth="1"/>
    <col min="3" max="3" width="16.5" bestFit="1" customWidth="1"/>
    <col min="4" max="4" width="19.125" bestFit="1" customWidth="1"/>
    <col min="6" max="6" width="14.25" customWidth="1"/>
    <col min="10" max="10" width="14.625" bestFit="1" customWidth="1"/>
  </cols>
  <sheetData>
    <row r="1" spans="1:11" x14ac:dyDescent="0.25">
      <c r="A1" t="s">
        <v>18</v>
      </c>
    </row>
    <row r="3" spans="1:11" x14ac:dyDescent="0.25">
      <c r="B3" s="7" t="s">
        <v>14</v>
      </c>
      <c r="C3" s="7" t="s">
        <v>15</v>
      </c>
      <c r="D3" s="7" t="s">
        <v>16</v>
      </c>
      <c r="F3" s="10"/>
      <c r="G3" s="11" t="s">
        <v>3</v>
      </c>
      <c r="H3" s="11" t="s">
        <v>1</v>
      </c>
      <c r="I3" s="11" t="s">
        <v>4</v>
      </c>
      <c r="J3" s="11" t="s">
        <v>8</v>
      </c>
      <c r="K3" s="11" t="s">
        <v>9</v>
      </c>
    </row>
    <row r="4" spans="1:11" x14ac:dyDescent="0.25">
      <c r="A4" s="2" t="s">
        <v>53</v>
      </c>
      <c r="B4" s="23">
        <v>80.3</v>
      </c>
      <c r="C4" s="3">
        <f>Data!E$4</f>
        <v>0.73333333333333328</v>
      </c>
      <c r="D4" s="6">
        <f>B4*C4</f>
        <v>58.886666666666663</v>
      </c>
      <c r="F4" s="49" t="s">
        <v>90</v>
      </c>
      <c r="G4" s="11">
        <v>16</v>
      </c>
      <c r="H4" s="11">
        <v>1</v>
      </c>
      <c r="I4" s="11">
        <f>G4*H4</f>
        <v>16</v>
      </c>
      <c r="J4" s="12">
        <f>I4/$I$7</f>
        <v>0.26666666666666666</v>
      </c>
      <c r="K4" s="13" t="s">
        <v>50</v>
      </c>
    </row>
    <row r="5" spans="1:11" x14ac:dyDescent="0.25">
      <c r="A5" s="2" t="s">
        <v>83</v>
      </c>
      <c r="B5" s="6">
        <f>(94+232)/2</f>
        <v>163</v>
      </c>
      <c r="C5" s="3">
        <f>Data!E$4</f>
        <v>0.73333333333333328</v>
      </c>
      <c r="D5" s="6">
        <f>B5*C5</f>
        <v>119.53333333333333</v>
      </c>
      <c r="F5" s="39" t="s">
        <v>89</v>
      </c>
      <c r="G5" s="11">
        <v>32</v>
      </c>
      <c r="H5" s="11">
        <v>0.5</v>
      </c>
      <c r="I5" s="11">
        <f>G5*H5</f>
        <v>16</v>
      </c>
      <c r="J5" s="12">
        <f t="shared" ref="J5:J7" si="0">I5/$I$7</f>
        <v>0.26666666666666666</v>
      </c>
      <c r="K5" s="13" t="s">
        <v>50</v>
      </c>
    </row>
    <row r="6" spans="1:11" x14ac:dyDescent="0.25">
      <c r="A6" s="2" t="s">
        <v>51</v>
      </c>
      <c r="B6" s="23">
        <v>3286.4</v>
      </c>
      <c r="C6" s="3">
        <f>Data!E5</f>
        <v>0.1</v>
      </c>
      <c r="D6" s="6">
        <f t="shared" ref="D6:D11" si="1">B6*C6</f>
        <v>328.64000000000004</v>
      </c>
      <c r="F6" s="11" t="s">
        <v>6</v>
      </c>
      <c r="G6" s="11">
        <v>28</v>
      </c>
      <c r="H6" s="11">
        <v>1</v>
      </c>
      <c r="I6" s="11">
        <f>G6*H6</f>
        <v>28</v>
      </c>
      <c r="J6" s="12">
        <f t="shared" si="0"/>
        <v>0.46666666666666667</v>
      </c>
      <c r="K6" s="13" t="s">
        <v>50</v>
      </c>
    </row>
    <row r="7" spans="1:11" x14ac:dyDescent="0.25">
      <c r="A7" s="2" t="s">
        <v>52</v>
      </c>
      <c r="B7" s="6">
        <v>1293</v>
      </c>
      <c r="C7" s="3">
        <f>Data!E6</f>
        <v>0.46666666666666667</v>
      </c>
      <c r="D7" s="6">
        <f t="shared" si="1"/>
        <v>603.4</v>
      </c>
      <c r="F7" s="11" t="s">
        <v>7</v>
      </c>
      <c r="G7" s="11">
        <v>60</v>
      </c>
      <c r="H7" s="11">
        <v>1</v>
      </c>
      <c r="I7" s="11">
        <f>G7*H7</f>
        <v>60</v>
      </c>
      <c r="J7" s="12">
        <f t="shared" si="0"/>
        <v>1</v>
      </c>
      <c r="K7" s="14" t="s">
        <v>10</v>
      </c>
    </row>
    <row r="8" spans="1:11" x14ac:dyDescent="0.25">
      <c r="A8" s="2" t="s">
        <v>61</v>
      </c>
      <c r="B8" s="6">
        <v>2300</v>
      </c>
      <c r="C8" s="3">
        <f>C7</f>
        <v>0.46666666666666667</v>
      </c>
      <c r="D8" s="6">
        <f t="shared" si="1"/>
        <v>1073.3333333333333</v>
      </c>
      <c r="F8" s="34"/>
      <c r="G8" s="35" t="s">
        <v>87</v>
      </c>
      <c r="H8" s="35" t="s">
        <v>88</v>
      </c>
      <c r="I8" s="34"/>
    </row>
    <row r="9" spans="1:11" x14ac:dyDescent="0.25">
      <c r="A9" s="2" t="s">
        <v>62</v>
      </c>
      <c r="B9" s="6">
        <v>2600</v>
      </c>
      <c r="C9" s="3">
        <f>C7</f>
        <v>0.46666666666666667</v>
      </c>
      <c r="D9" s="6">
        <f t="shared" si="1"/>
        <v>1213.3333333333333</v>
      </c>
      <c r="F9" s="36" t="s">
        <v>90</v>
      </c>
      <c r="G9" s="36">
        <v>674.53</v>
      </c>
      <c r="H9" s="37">
        <f>J4</f>
        <v>0.26666666666666666</v>
      </c>
      <c r="I9" s="38">
        <f>G9*H9</f>
        <v>179.87466666666666</v>
      </c>
    </row>
    <row r="10" spans="1:11" x14ac:dyDescent="0.25">
      <c r="A10" s="2" t="s">
        <v>82</v>
      </c>
      <c r="B10" s="6">
        <v>0</v>
      </c>
      <c r="C10" s="3">
        <v>0</v>
      </c>
      <c r="D10" s="6">
        <f t="shared" si="1"/>
        <v>0</v>
      </c>
      <c r="F10" s="36" t="s">
        <v>89</v>
      </c>
      <c r="G10" s="38">
        <v>123.5</v>
      </c>
      <c r="H10" s="37">
        <f>J5</f>
        <v>0.26666666666666666</v>
      </c>
      <c r="I10" s="38">
        <f t="shared" ref="I10:I11" si="2">G10*H10</f>
        <v>32.93333333333333</v>
      </c>
    </row>
    <row r="11" spans="1:11" x14ac:dyDescent="0.25">
      <c r="A11" s="2" t="s">
        <v>86</v>
      </c>
      <c r="B11" s="6">
        <v>0</v>
      </c>
      <c r="C11" s="3">
        <v>0</v>
      </c>
      <c r="D11" s="6">
        <f t="shared" si="1"/>
        <v>0</v>
      </c>
      <c r="F11" s="36" t="s">
        <v>6</v>
      </c>
      <c r="G11" s="38">
        <v>1293</v>
      </c>
      <c r="H11" s="37">
        <f>J6</f>
        <v>0.46666666666666667</v>
      </c>
      <c r="I11" s="36">
        <f t="shared" si="2"/>
        <v>603.4</v>
      </c>
    </row>
    <row r="12" spans="1:11" x14ac:dyDescent="0.25">
      <c r="C12" s="15"/>
      <c r="D12" s="20"/>
      <c r="F12" s="34"/>
      <c r="G12" s="34"/>
      <c r="H12" s="34"/>
      <c r="I12" s="38">
        <f>I9+I10+I11</f>
        <v>816.20799999999997</v>
      </c>
    </row>
    <row r="13" spans="1:11" x14ac:dyDescent="0.25">
      <c r="F13" s="34"/>
      <c r="G13" s="34"/>
      <c r="H13" s="34"/>
      <c r="I13" s="34"/>
    </row>
    <row r="14" spans="1:11" x14ac:dyDescent="0.25">
      <c r="A14" s="2" t="s">
        <v>13</v>
      </c>
      <c r="B14" s="6">
        <f>I12</f>
        <v>816.20799999999997</v>
      </c>
      <c r="C14" s="2" t="s">
        <v>17</v>
      </c>
    </row>
    <row r="15" spans="1:11" x14ac:dyDescent="0.25">
      <c r="A15" s="2" t="s">
        <v>59</v>
      </c>
      <c r="B15" s="6">
        <f>D4+D6+D7+D10+D11</f>
        <v>990.92666666666673</v>
      </c>
      <c r="C15" s="2" t="s">
        <v>17</v>
      </c>
      <c r="D15" s="22">
        <f>($B$14-B15)/$B$14</f>
        <v>-0.21406144838897287</v>
      </c>
    </row>
    <row r="16" spans="1:11" x14ac:dyDescent="0.25">
      <c r="A16" s="2" t="s">
        <v>60</v>
      </c>
      <c r="B16" s="6">
        <f>D4+D6+D8+D10+D11</f>
        <v>1460.86</v>
      </c>
      <c r="C16" s="2" t="s">
        <v>17</v>
      </c>
      <c r="D16" s="22">
        <f>($B$14-B16)/$B$14</f>
        <v>-0.78981338090290709</v>
      </c>
    </row>
    <row r="17" spans="1:4" x14ac:dyDescent="0.25">
      <c r="A17" s="21" t="s">
        <v>63</v>
      </c>
      <c r="B17" s="6">
        <f>D5+D6+D7+D10+D11</f>
        <v>1051.5733333333333</v>
      </c>
      <c r="C17" s="2" t="s">
        <v>17</v>
      </c>
      <c r="D17" s="22">
        <f>($B$14-B17)/$B$14</f>
        <v>-0.28836440384477158</v>
      </c>
    </row>
    <row r="18" spans="1:4" x14ac:dyDescent="0.25">
      <c r="A18" s="21" t="s">
        <v>58</v>
      </c>
      <c r="B18" s="6">
        <f>D5+D6+D9+D10+D11</f>
        <v>1661.5066666666667</v>
      </c>
      <c r="C18" s="2" t="s">
        <v>17</v>
      </c>
      <c r="D18" s="22">
        <f>($B$14-B18)/$B$14</f>
        <v>-1.0356412417749725</v>
      </c>
    </row>
  </sheetData>
  <conditionalFormatting sqref="D15:D1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LCA results - cradle to gate</vt:lpstr>
      <vt:lpstr>LCA contri - cradle to gate</vt:lpstr>
      <vt:lpstr>Economic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Nabera</dc:creator>
  <cp:lastModifiedBy>Nabera  Abhinandan</cp:lastModifiedBy>
  <dcterms:created xsi:type="dcterms:W3CDTF">2022-06-01T13:07:20Z</dcterms:created>
  <dcterms:modified xsi:type="dcterms:W3CDTF">2022-07-22T09:59:33Z</dcterms:modified>
</cp:coreProperties>
</file>