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Carbon dioxide to propanol\"/>
    </mc:Choice>
  </mc:AlternateContent>
  <xr:revisionPtr revIDLastSave="0" documentId="13_ncr:1_{F7383841-F8A6-461A-8F2B-00C8BF54B318}" xr6:coauthVersionLast="47" xr6:coauthVersionMax="47" xr10:uidLastSave="{00000000-0000-0000-0000-000000000000}"/>
  <bookViews>
    <workbookView xWindow="-120" yWindow="-120" windowWidth="29040" windowHeight="17640" activeTab="3" xr2:uid="{09B83815-9199-4CFB-A3E1-3BBDA3904E12}"/>
  </bookViews>
  <sheets>
    <sheet name="Data" sheetId="1" r:id="rId1"/>
    <sheet name="LCA results" sheetId="3" r:id="rId2"/>
    <sheet name="LCA contributions" sheetId="5" r:id="rId3"/>
    <sheet name="Economic resul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" i="4" l="1"/>
  <c r="G6" i="1" l="1"/>
  <c r="G5" i="1"/>
  <c r="G4" i="1"/>
  <c r="D7" i="1"/>
  <c r="E7" i="1" s="1"/>
  <c r="D6" i="1"/>
  <c r="D5" i="1"/>
  <c r="D4" i="1"/>
  <c r="E4" i="1" l="1"/>
  <c r="C4" i="4" s="1"/>
  <c r="E5" i="1"/>
  <c r="E6" i="1"/>
  <c r="C7" i="4" l="1"/>
  <c r="C6" i="4"/>
  <c r="D6" i="4" s="1"/>
  <c r="D4" i="4"/>
  <c r="C5" i="4"/>
  <c r="D5" i="4" s="1"/>
  <c r="D7" i="4" l="1"/>
  <c r="B13" i="4" s="1"/>
  <c r="D13" i="4" s="1"/>
  <c r="C9" i="4"/>
  <c r="D9" i="4" s="1"/>
  <c r="B16" i="4" s="1"/>
  <c r="D16" i="4" s="1"/>
  <c r="C8" i="4"/>
  <c r="D8" i="4" s="1"/>
  <c r="B14" i="4" s="1"/>
  <c r="D14" i="4" s="1"/>
  <c r="B15" i="4" l="1"/>
  <c r="D15" i="4" s="1"/>
</calcChain>
</file>

<file path=xl/sharedStrings.xml><?xml version="1.0" encoding="utf-8"?>
<sst xmlns="http://schemas.openxmlformats.org/spreadsheetml/2006/main" count="155" uniqueCount="75">
  <si>
    <t>Propanol (1 kmol/hr)</t>
  </si>
  <si>
    <t>M. Wt.</t>
  </si>
  <si>
    <t>kmol/hr</t>
  </si>
  <si>
    <t>kg/hr</t>
  </si>
  <si>
    <t>kg/kg of propanol</t>
  </si>
  <si>
    <t>Type</t>
  </si>
  <si>
    <t>Carbon dioxide</t>
  </si>
  <si>
    <t>Feed</t>
  </si>
  <si>
    <t>Hydrogen</t>
  </si>
  <si>
    <t>Ethylene</t>
  </si>
  <si>
    <t>Propanol</t>
  </si>
  <si>
    <t>Output</t>
  </si>
  <si>
    <t>Molar ratio</t>
  </si>
  <si>
    <t>Stoichiometric ratio</t>
  </si>
  <si>
    <t>Global warming</t>
  </si>
  <si>
    <t>Stratospheric ozone depletion</t>
  </si>
  <si>
    <t>Ionizing radiation</t>
  </si>
  <si>
    <t>Ozone formation, Human health</t>
  </si>
  <si>
    <t>Fine particulate matter formation</t>
  </si>
  <si>
    <t>Ozone formation, Terrestrial ecosystems</t>
  </si>
  <si>
    <t>Terrestrial acidification</t>
  </si>
  <si>
    <t>Freshwater eutrophication</t>
  </si>
  <si>
    <t>Marine eutrophication</t>
  </si>
  <si>
    <t>Terrestrial ecotoxicity</t>
  </si>
  <si>
    <t>Freshwater ecotoxicity</t>
  </si>
  <si>
    <t>Marine ecotoxicity</t>
  </si>
  <si>
    <t>Human carcinogenic toxicity</t>
  </si>
  <si>
    <t>Human non-carcinogenic toxicity</t>
  </si>
  <si>
    <t>Land use</t>
  </si>
  <si>
    <t>Mineral resource scarcity</t>
  </si>
  <si>
    <t>Fossil resource scarcity</t>
  </si>
  <si>
    <t>Water consumption</t>
  </si>
  <si>
    <t>Process</t>
  </si>
  <si>
    <t>kg CO2 eq</t>
  </si>
  <si>
    <t>kg CFC11 eq</t>
  </si>
  <si>
    <t>kBq Co-60 eq</t>
  </si>
  <si>
    <t>kg NOx eq</t>
  </si>
  <si>
    <t>kg PM2.5 eq</t>
  </si>
  <si>
    <t>kg SO2 eq</t>
  </si>
  <si>
    <t>kg P eq</t>
  </si>
  <si>
    <t>kg N eq</t>
  </si>
  <si>
    <t>kg 1,4-DCB</t>
  </si>
  <si>
    <t>m2a crop eq</t>
  </si>
  <si>
    <t>kg Cu eq</t>
  </si>
  <si>
    <t>kg oil eq</t>
  </si>
  <si>
    <t>m3</t>
  </si>
  <si>
    <t>1-propanol {GLO}| market for | Cut-off, S</t>
  </si>
  <si>
    <t>BAU</t>
  </si>
  <si>
    <t>DAC + wind</t>
  </si>
  <si>
    <t>NG + wind</t>
  </si>
  <si>
    <t>Price [$/t]</t>
  </si>
  <si>
    <t>Input [t/t propanol]</t>
  </si>
  <si>
    <t>Amount [$/t propanol]</t>
  </si>
  <si>
    <t>Carbon dioxide from NG</t>
  </si>
  <si>
    <t>Carbon dioxide from DAC</t>
  </si>
  <si>
    <t>Hydrogen from wind</t>
  </si>
  <si>
    <t>Ethylene BAU</t>
  </si>
  <si>
    <t>Market price</t>
  </si>
  <si>
    <t>$/t propanol</t>
  </si>
  <si>
    <t>Cost of production assuming reaction efficiencies and only raw material costs</t>
  </si>
  <si>
    <t>DAC + wind + gE</t>
  </si>
  <si>
    <t>NG + wind + gE</t>
  </si>
  <si>
    <t>Ethylene - gMeOH - NG</t>
  </si>
  <si>
    <t>Ethylene - gMeOH - DAC</t>
  </si>
  <si>
    <t>Propanol; carbon dioxide from DAC; hydrogen from wind-powered water electrolysis; BAU ethylene; literature reaction efficiency conversions; Abhi</t>
  </si>
  <si>
    <t>Propanol; carbon dioxide from DAC; hydrogen from wind-powered water electrolysis; ethylene from gMeOH; literature reaction efficiency conversions; Abhi</t>
  </si>
  <si>
    <t>Propanol; carbon dioxide from NG power-plant; hydrogen from wind-powered water electrolysis; BAU ethylene; literature reaction efficiency conversions; Abhi</t>
  </si>
  <si>
    <t>Propanol; carbon dioxide from NG power-plant; hydrogen from wind-powered water electrolysis; ethylene from gMeOH; literature reaction efficiency conversions; Abhi</t>
  </si>
  <si>
    <t>Total</t>
  </si>
  <si>
    <t>Global warming in kg CO2 eq</t>
  </si>
  <si>
    <t xml:space="preserve">Case </t>
  </si>
  <si>
    <t>Label</t>
  </si>
  <si>
    <t>Human health in DALY</t>
  </si>
  <si>
    <t>Ecosystems in species.yr</t>
  </si>
  <si>
    <t>Resources in USD2013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</si>
</sst>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26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0" borderId="1" xfId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2" fontId="1" fillId="0" borderId="1" xfId="1" applyNumberFormat="1" applyBorder="1" applyAlignment="1">
      <alignment horizontal="center"/>
    </xf>
    <xf numFmtId="0" fontId="2" fillId="0" borderId="0" xfId="3"/>
    <xf numFmtId="0" fontId="2" fillId="0" borderId="1" xfId="3" applyBorder="1" applyAlignment="1">
      <alignment horizontal="center"/>
    </xf>
    <xf numFmtId="164" fontId="2" fillId="0" borderId="1" xfId="3" applyNumberFormat="1" applyBorder="1" applyAlignment="1">
      <alignment horizontal="center"/>
    </xf>
    <xf numFmtId="11" fontId="2" fillId="0" borderId="1" xfId="3" applyNumberFormat="1" applyBorder="1" applyAlignment="1">
      <alignment horizontal="center"/>
    </xf>
    <xf numFmtId="0" fontId="2" fillId="0" borderId="0" xfId="3" applyAlignment="1">
      <alignment horizontal="center"/>
    </xf>
    <xf numFmtId="11" fontId="2" fillId="0" borderId="0" xfId="3" applyNumberFormat="1"/>
    <xf numFmtId="0" fontId="2" fillId="0" borderId="2" xfId="3" applyBorder="1"/>
    <xf numFmtId="2" fontId="2" fillId="0" borderId="1" xfId="3" applyNumberFormat="1" applyBorder="1" applyAlignment="1">
      <alignment horizontal="center"/>
    </xf>
    <xf numFmtId="2" fontId="2" fillId="0" borderId="0" xfId="3" applyNumberFormat="1" applyAlignment="1">
      <alignment horizontal="center"/>
    </xf>
    <xf numFmtId="10" fontId="2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1" fontId="0" fillId="0" borderId="0" xfId="0" applyNumberFormat="1"/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4">
    <cellStyle name="Normal" xfId="0" builtinId="0"/>
    <cellStyle name="Normal 2" xfId="1" xr:uid="{5F129EA3-F2A8-4A77-A8AC-FB0196580E8C}"/>
    <cellStyle name="Normal 2 2" xfId="3" xr:uid="{9C064A38-B86D-483C-87B4-B34172BC66F3}"/>
    <cellStyle name="Normal 3" xfId="2" xr:uid="{A75502DA-F500-4770-BF18-3821C593C203}"/>
  </cellStyles>
  <dxfs count="2"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Global warming [kg CO2 eq]</a:t>
            </a:r>
            <a:r>
              <a:rPr lang="de-CH" sz="1400" b="0" i="0" u="none" strike="noStrike" baseline="0"/>
              <a:t> 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results'!$C$3:$C$7</c:f>
              <c:numCache>
                <c:formatCode>0.0000</c:formatCode>
                <c:ptCount val="5"/>
                <c:pt idx="0">
                  <c:v>4.6039285999999997</c:v>
                </c:pt>
                <c:pt idx="1">
                  <c:v>0.11839984000000001</c:v>
                </c:pt>
                <c:pt idx="2">
                  <c:v>-1.7640864000000001</c:v>
                </c:pt>
                <c:pt idx="3">
                  <c:v>1.1352690999999999</c:v>
                </c:pt>
                <c:pt idx="4">
                  <c:v>0.96079652000000004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4-4F9B-90DA-E4B324B92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Stratospheric ozone depletion</a:t>
            </a:r>
            <a:r>
              <a:rPr lang="de-CH" sz="1400" b="0" i="0" u="none" strike="noStrike" baseline="0"/>
              <a:t> [kg CFC11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results'!$D$3:$D$7</c:f>
              <c:numCache>
                <c:formatCode>0.00E+00</c:formatCode>
                <c:ptCount val="5"/>
                <c:pt idx="0">
                  <c:v>1.4640390000000001E-6</c:v>
                </c:pt>
                <c:pt idx="1">
                  <c:v>1.0068745999999999E-7</c:v>
                </c:pt>
                <c:pt idx="2">
                  <c:v>3.1322225E-7</c:v>
                </c:pt>
                <c:pt idx="3">
                  <c:v>1.0774865E-7</c:v>
                </c:pt>
                <c:pt idx="4">
                  <c:v>3.3214397000000001E-7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87-4755-9401-7560577FD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Ionizing radiation [kBq Co-60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results'!$E$3:$E$7</c:f>
              <c:numCache>
                <c:formatCode>0.0000</c:formatCode>
                <c:ptCount val="5"/>
                <c:pt idx="0">
                  <c:v>0.25496323999999998</c:v>
                </c:pt>
                <c:pt idx="1">
                  <c:v>6.7726708E-3</c:v>
                </c:pt>
                <c:pt idx="2">
                  <c:v>2.3880868999999999E-2</c:v>
                </c:pt>
                <c:pt idx="3">
                  <c:v>7.7125301999999996E-3</c:v>
                </c:pt>
                <c:pt idx="4">
                  <c:v>2.6399389999999998E-2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21-42B1-A732-4840120CA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Ozone formation, Human health [kg NOx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results'!$F$3:$F$7</c:f>
              <c:numCache>
                <c:formatCode>0.0000</c:formatCode>
                <c:ptCount val="5"/>
                <c:pt idx="0">
                  <c:v>1.6488507999999999E-2</c:v>
                </c:pt>
                <c:pt idx="1">
                  <c:v>1.992855E-3</c:v>
                </c:pt>
                <c:pt idx="2">
                  <c:v>2.4284916999999999E-3</c:v>
                </c:pt>
                <c:pt idx="3">
                  <c:v>2.5420670999999999E-3</c:v>
                </c:pt>
                <c:pt idx="4">
                  <c:v>3.9002035999999999E-3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1-4D62-9376-482E058EC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Fine particulate matter formation</a:t>
            </a:r>
            <a:r>
              <a:rPr lang="de-CH" sz="1400" b="0" i="0" u="none" strike="noStrike" baseline="0"/>
              <a:t> [kg PM2.5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results'!$G$3:$G$7</c:f>
              <c:numCache>
                <c:formatCode>0.0000</c:formatCode>
                <c:ptCount val="5"/>
                <c:pt idx="0">
                  <c:v>8.4093069999999995E-3</c:v>
                </c:pt>
                <c:pt idx="1">
                  <c:v>9.7352175999999998E-4</c:v>
                </c:pt>
                <c:pt idx="2">
                  <c:v>1.3534937999999999E-3</c:v>
                </c:pt>
                <c:pt idx="3">
                  <c:v>1.0335380000000001E-3</c:v>
                </c:pt>
                <c:pt idx="4">
                  <c:v>1.514318E-3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0-480A-8B02-24E147B85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Ozone formation, Terrestrial ecosystems</a:t>
            </a:r>
            <a:r>
              <a:rPr lang="de-CH" sz="1400" b="0" i="0" u="none" strike="noStrike" baseline="0"/>
              <a:t> [kg NOx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results'!$H$3:$H$7</c:f>
              <c:numCache>
                <c:formatCode>0.0000</c:formatCode>
                <c:ptCount val="5"/>
                <c:pt idx="0">
                  <c:v>2.0628871E-2</c:v>
                </c:pt>
                <c:pt idx="1">
                  <c:v>2.1619754000000001E-3</c:v>
                </c:pt>
                <c:pt idx="2">
                  <c:v>2.9431320000000002E-3</c:v>
                </c:pt>
                <c:pt idx="3">
                  <c:v>2.7067142999999999E-3</c:v>
                </c:pt>
                <c:pt idx="4">
                  <c:v>4.4028569999999996E-3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4D-4F62-B1B3-E53D9D39E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Terrestrial acidification</a:t>
            </a:r>
            <a:r>
              <a:rPr lang="de-CH" sz="1400" b="0" i="0" u="none" strike="noStrike" baseline="0"/>
              <a:t> [kg SO2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results'!$I$3:$I$7</c:f>
              <c:numCache>
                <c:formatCode>0.0000</c:formatCode>
                <c:ptCount val="5"/>
                <c:pt idx="0">
                  <c:v>1.8631587000000002E-2</c:v>
                </c:pt>
                <c:pt idx="1">
                  <c:v>2.5301696999999999E-3</c:v>
                </c:pt>
                <c:pt idx="2">
                  <c:v>2.5538678999999999E-3</c:v>
                </c:pt>
                <c:pt idx="3">
                  <c:v>2.7319979999999998E-3</c:v>
                </c:pt>
                <c:pt idx="4">
                  <c:v>3.0947028999999998E-3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A3-43FE-AE4A-0A5163EE5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Freshwater eutrophication</a:t>
            </a:r>
            <a:r>
              <a:rPr lang="de-CH" sz="1400" b="0" i="0" u="none" strike="noStrike" baseline="0"/>
              <a:t> [kg P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results'!$J$3:$J$7</c:f>
              <c:numCache>
                <c:formatCode>0.00E+00</c:formatCode>
                <c:ptCount val="5"/>
                <c:pt idx="0">
                  <c:v>1.6225464E-3</c:v>
                </c:pt>
                <c:pt idx="1">
                  <c:v>1.0608415999999999E-4</c:v>
                </c:pt>
                <c:pt idx="2">
                  <c:v>3.5534675999999998E-4</c:v>
                </c:pt>
                <c:pt idx="3">
                  <c:v>1.0371791000000001E-4</c:v>
                </c:pt>
                <c:pt idx="4">
                  <c:v>3.4900599E-4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C-49D7-BA2E-F5B4FA89A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Marine eutrophication</a:t>
            </a:r>
            <a:r>
              <a:rPr lang="de-CH" sz="1400" b="0" i="0" u="none" strike="noStrike" baseline="0"/>
              <a:t> [kg N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results'!$K$3:$K$7</c:f>
              <c:numCache>
                <c:formatCode>0.00E+00</c:formatCode>
                <c:ptCount val="5"/>
                <c:pt idx="0">
                  <c:v>1.0706915E-4</c:v>
                </c:pt>
                <c:pt idx="1">
                  <c:v>1.3256445E-5</c:v>
                </c:pt>
                <c:pt idx="2">
                  <c:v>4.2631579000000003E-5</c:v>
                </c:pt>
                <c:pt idx="3">
                  <c:v>1.8031116000000001E-5</c:v>
                </c:pt>
                <c:pt idx="4">
                  <c:v>5.5426161000000001E-5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27-45A8-8720-0E013A88A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Terrestrial ecotoxicity</a:t>
            </a:r>
            <a:r>
              <a:rPr lang="de-CH" sz="1400" b="0" i="0" u="none" strike="noStrike" baseline="0"/>
              <a:t> [kg 1,4-DCB]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results'!$L$3:$L$7</c:f>
              <c:numCache>
                <c:formatCode>0.0000</c:formatCode>
                <c:ptCount val="5"/>
                <c:pt idx="0">
                  <c:v>8.8305188999999995</c:v>
                </c:pt>
                <c:pt idx="1">
                  <c:v>1.9551265</c:v>
                </c:pt>
                <c:pt idx="2">
                  <c:v>6.8074471000000001</c:v>
                </c:pt>
                <c:pt idx="3">
                  <c:v>1.9983985</c:v>
                </c:pt>
                <c:pt idx="4">
                  <c:v>6.9234023000000002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B0-42BA-88C2-5C8DDD802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Freshwater ecotoxicity</a:t>
            </a:r>
            <a:r>
              <a:rPr lang="de-CH" sz="1400" b="0" i="0" u="none" strike="noStrike" baseline="0"/>
              <a:t> [kg 1,4-DCB]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results'!$M$3:$M$7</c:f>
              <c:numCache>
                <c:formatCode>0.0000</c:formatCode>
                <c:ptCount val="5"/>
                <c:pt idx="0">
                  <c:v>0.10247449</c:v>
                </c:pt>
                <c:pt idx="1">
                  <c:v>5.7324946000000002E-2</c:v>
                </c:pt>
                <c:pt idx="2">
                  <c:v>0.20009409</c:v>
                </c:pt>
                <c:pt idx="3">
                  <c:v>5.4321422000000001E-2</c:v>
                </c:pt>
                <c:pt idx="4">
                  <c:v>0.19204561000000001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B-4ED2-80FC-3BCB9BF25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Marine ecotoxicity</a:t>
            </a:r>
            <a:r>
              <a:rPr lang="de-CH" sz="1400" b="0" i="0" u="none" strike="noStrike" baseline="0"/>
              <a:t> [kg 1,4-DCB]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results'!$N$3:$N$7</c:f>
              <c:numCache>
                <c:formatCode>0.0000</c:formatCode>
                <c:ptCount val="5"/>
                <c:pt idx="0">
                  <c:v>0.14484010999999999</c:v>
                </c:pt>
                <c:pt idx="1">
                  <c:v>7.2066063E-2</c:v>
                </c:pt>
                <c:pt idx="2">
                  <c:v>0.25063666000000001</c:v>
                </c:pt>
                <c:pt idx="3">
                  <c:v>6.8210964999999998E-2</c:v>
                </c:pt>
                <c:pt idx="4">
                  <c:v>0.24030624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C4-4D13-B035-545BF368B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Human carcinogenic toxicity</a:t>
            </a:r>
            <a:r>
              <a:rPr lang="de-CH" sz="1400" b="0" i="0" u="none" strike="noStrike" baseline="0"/>
              <a:t> [kg 1,4-DCB]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results'!$O$3:$O$7</c:f>
              <c:numCache>
                <c:formatCode>0.0000</c:formatCode>
                <c:ptCount val="5"/>
                <c:pt idx="0">
                  <c:v>0.14768858000000001</c:v>
                </c:pt>
                <c:pt idx="1">
                  <c:v>5.876348E-2</c:v>
                </c:pt>
                <c:pt idx="2">
                  <c:v>0.17655786000000001</c:v>
                </c:pt>
                <c:pt idx="3">
                  <c:v>5.6312826000000003E-2</c:v>
                </c:pt>
                <c:pt idx="4">
                  <c:v>0.16999089000000001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7-4971-AACD-8DEA3AB86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Human non-carcinogenic toxicity</a:t>
            </a:r>
            <a:r>
              <a:rPr lang="de-CH" sz="1400" b="0" i="0" u="none" strike="noStrike" baseline="0"/>
              <a:t> [kg 1,4-DCB]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results'!$P$3:$P$7</c:f>
              <c:numCache>
                <c:formatCode>0.0000</c:formatCode>
                <c:ptCount val="5"/>
                <c:pt idx="0">
                  <c:v>4.5199340000000001</c:v>
                </c:pt>
                <c:pt idx="1">
                  <c:v>0.63049074999999999</c:v>
                </c:pt>
                <c:pt idx="2">
                  <c:v>2.1056229000000002</c:v>
                </c:pt>
                <c:pt idx="3">
                  <c:v>0.58437810999999995</c:v>
                </c:pt>
                <c:pt idx="4">
                  <c:v>1.9820557999999999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6-41FD-B8EE-138F01636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Land use</a:t>
            </a:r>
            <a:r>
              <a:rPr lang="de-CH" sz="1400" b="0" i="0" u="none" strike="noStrike" baseline="0"/>
              <a:t> [m2a crop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results'!$Q$3:$Q$7</c:f>
              <c:numCache>
                <c:formatCode>0.0000</c:formatCode>
                <c:ptCount val="5"/>
                <c:pt idx="0">
                  <c:v>0.10146991</c:v>
                </c:pt>
                <c:pt idx="1">
                  <c:v>1.1215398E-2</c:v>
                </c:pt>
                <c:pt idx="2">
                  <c:v>3.9369836999999998E-2</c:v>
                </c:pt>
                <c:pt idx="3">
                  <c:v>1.0436997E-2</c:v>
                </c:pt>
                <c:pt idx="4">
                  <c:v>3.7283971999999999E-2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F-4FDB-80C8-609E48E06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Mineral resource scarcity</a:t>
            </a:r>
            <a:r>
              <a:rPr lang="de-CH" sz="1400" b="0" i="0" u="none" strike="noStrike" baseline="0"/>
              <a:t> [kg Cu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results'!$R$3:$R$7</c:f>
              <c:numCache>
                <c:formatCode>0.0000</c:formatCode>
                <c:ptCount val="5"/>
                <c:pt idx="0">
                  <c:v>7.6205869000000002E-3</c:v>
                </c:pt>
                <c:pt idx="1">
                  <c:v>4.9713207000000002E-3</c:v>
                </c:pt>
                <c:pt idx="2">
                  <c:v>1.7608730999999999E-2</c:v>
                </c:pt>
                <c:pt idx="3">
                  <c:v>4.6892178999999997E-3</c:v>
                </c:pt>
                <c:pt idx="4">
                  <c:v>1.6852786000000002E-2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F-486E-BE58-425A02E02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Fossil resource scarcity</a:t>
            </a:r>
            <a:r>
              <a:rPr lang="de-CH" sz="1400" b="0" i="0" u="none" strike="noStrike" baseline="0"/>
              <a:t> [kg oil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results'!$S$3:$S$7</c:f>
              <c:numCache>
                <c:formatCode>0.0000</c:formatCode>
                <c:ptCount val="5"/>
                <c:pt idx="0">
                  <c:v>2.0455138000000002</c:v>
                </c:pt>
                <c:pt idx="1">
                  <c:v>1.0130007999999999</c:v>
                </c:pt>
                <c:pt idx="2">
                  <c:v>0.52912581999999997</c:v>
                </c:pt>
                <c:pt idx="3">
                  <c:v>0.98580995000000005</c:v>
                </c:pt>
                <c:pt idx="4">
                  <c:v>0.45626308999999998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9-4802-B557-30E8AA3B8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Water consumption</a:t>
            </a:r>
            <a:r>
              <a:rPr lang="de-CH" sz="1400" b="0" i="0" u="none" strike="noStrike" baseline="0"/>
              <a:t> [m3]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results'!$T$3:$T$7</c:f>
              <c:numCache>
                <c:formatCode>0.0000</c:formatCode>
                <c:ptCount val="5"/>
                <c:pt idx="0">
                  <c:v>8.0522865999999998E-2</c:v>
                </c:pt>
                <c:pt idx="1">
                  <c:v>1.2420082000000001E-2</c:v>
                </c:pt>
                <c:pt idx="2">
                  <c:v>1.7835812999999999E-2</c:v>
                </c:pt>
                <c:pt idx="3">
                  <c:v>1.0061364999999999E-2</c:v>
                </c:pt>
                <c:pt idx="4">
                  <c:v>1.1515208000000001E-2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1A-411B-8749-5B9B92246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138112</xdr:colOff>
      <xdr:row>8</xdr:row>
      <xdr:rowOff>171449</xdr:rowOff>
    </xdr:from>
    <xdr:to>
      <xdr:col>0</xdr:col>
      <xdr:colOff>4705350</xdr:colOff>
      <xdr:row>22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1A3AB8-6A58-4140-B286-A4DD631024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4762500</xdr:colOff>
      <xdr:row>8</xdr:row>
      <xdr:rowOff>180975</xdr:rowOff>
    </xdr:from>
    <xdr:to>
      <xdr:col>1</xdr:col>
      <xdr:colOff>1247775</xdr:colOff>
      <xdr:row>22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BE037F-3A68-4495-93DA-601D5A930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133350</xdr:colOff>
      <xdr:row>23</xdr:row>
      <xdr:rowOff>9525</xdr:rowOff>
    </xdr:from>
    <xdr:to>
      <xdr:col>0</xdr:col>
      <xdr:colOff>4705350</xdr:colOff>
      <xdr:row>36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BFAC2C-988C-4B8D-9896-AE401B257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4905375</xdr:colOff>
      <xdr:row>23</xdr:row>
      <xdr:rowOff>9525</xdr:rowOff>
    </xdr:from>
    <xdr:to>
      <xdr:col>1</xdr:col>
      <xdr:colOff>742950</xdr:colOff>
      <xdr:row>36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9B79D1-F9FD-4255-BF18-D0EFF0E043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36</xdr:row>
      <xdr:rowOff>190500</xdr:rowOff>
    </xdr:from>
    <xdr:to>
      <xdr:col>0</xdr:col>
      <xdr:colOff>4676775</xdr:colOff>
      <xdr:row>50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E1EF44-B691-4977-98C4-377B10FDA0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4914900</xdr:colOff>
      <xdr:row>37</xdr:row>
      <xdr:rowOff>0</xdr:rowOff>
    </xdr:from>
    <xdr:to>
      <xdr:col>1</xdr:col>
      <xdr:colOff>752475</xdr:colOff>
      <xdr:row>50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C9A6A7E-CCE9-4D01-A74E-677731F193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104775</xdr:colOff>
      <xdr:row>50</xdr:row>
      <xdr:rowOff>180975</xdr:rowOff>
    </xdr:from>
    <xdr:to>
      <xdr:col>0</xdr:col>
      <xdr:colOff>4676775</xdr:colOff>
      <xdr:row>64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A799861-6841-47D6-8EFA-DCFD646A06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4924424</xdr:colOff>
      <xdr:row>50</xdr:row>
      <xdr:rowOff>180975</xdr:rowOff>
    </xdr:from>
    <xdr:to>
      <xdr:col>2</xdr:col>
      <xdr:colOff>333374</xdr:colOff>
      <xdr:row>64</xdr:row>
      <xdr:rowOff>123825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FD70FCC-5A32-4A58-9985-F12BDBFCF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95250</xdr:colOff>
      <xdr:row>65</xdr:row>
      <xdr:rowOff>9525</xdr:rowOff>
    </xdr:from>
    <xdr:to>
      <xdr:col>0</xdr:col>
      <xdr:colOff>4667250</xdr:colOff>
      <xdr:row>78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5CA746D-B781-476B-A11A-7DCA666AEF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4905375</xdr:colOff>
      <xdr:row>65</xdr:row>
      <xdr:rowOff>9525</xdr:rowOff>
    </xdr:from>
    <xdr:to>
      <xdr:col>1</xdr:col>
      <xdr:colOff>742950</xdr:colOff>
      <xdr:row>78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B5BEC77-FA8C-4BFB-BAC2-197E71922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114300</xdr:colOff>
      <xdr:row>79</xdr:row>
      <xdr:rowOff>19050</xdr:rowOff>
    </xdr:from>
    <xdr:to>
      <xdr:col>0</xdr:col>
      <xdr:colOff>4686300</xdr:colOff>
      <xdr:row>92</xdr:row>
      <xdr:rowOff>161925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EB3A540-7154-4CA7-8271-BD9ADDE64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4905375</xdr:colOff>
      <xdr:row>79</xdr:row>
      <xdr:rowOff>28575</xdr:rowOff>
    </xdr:from>
    <xdr:to>
      <xdr:col>1</xdr:col>
      <xdr:colOff>742950</xdr:colOff>
      <xdr:row>92</xdr:row>
      <xdr:rowOff>171450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EBC2998-A219-444B-BD01-7ED6B2959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95250</xdr:colOff>
      <xdr:row>93</xdr:row>
      <xdr:rowOff>28575</xdr:rowOff>
    </xdr:from>
    <xdr:to>
      <xdr:col>0</xdr:col>
      <xdr:colOff>4667250</xdr:colOff>
      <xdr:row>106</xdr:row>
      <xdr:rowOff>171450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C07E10A-9657-4183-A905-900800A412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4905375</xdr:colOff>
      <xdr:row>93</xdr:row>
      <xdr:rowOff>38100</xdr:rowOff>
    </xdr:from>
    <xdr:to>
      <xdr:col>1</xdr:col>
      <xdr:colOff>742950</xdr:colOff>
      <xdr:row>106</xdr:row>
      <xdr:rowOff>180975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37FC531-EA81-45AC-B612-86DCDAC32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104775</xdr:colOff>
      <xdr:row>107</xdr:row>
      <xdr:rowOff>38100</xdr:rowOff>
    </xdr:from>
    <xdr:to>
      <xdr:col>0</xdr:col>
      <xdr:colOff>4676775</xdr:colOff>
      <xdr:row>120</xdr:row>
      <xdr:rowOff>180975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3D8DC99-C552-485B-8688-F96651ABB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4905375</xdr:colOff>
      <xdr:row>107</xdr:row>
      <xdr:rowOff>19050</xdr:rowOff>
    </xdr:from>
    <xdr:to>
      <xdr:col>1</xdr:col>
      <xdr:colOff>742950</xdr:colOff>
      <xdr:row>120</xdr:row>
      <xdr:rowOff>161925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8EDC635-567E-4E29-8028-95B3079AD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104775</xdr:colOff>
      <xdr:row>121</xdr:row>
      <xdr:rowOff>38100</xdr:rowOff>
    </xdr:from>
    <xdr:to>
      <xdr:col>0</xdr:col>
      <xdr:colOff>4676775</xdr:colOff>
      <xdr:row>134</xdr:row>
      <xdr:rowOff>180975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678CAFF-C9AC-4F2D-A733-59BB8AEA4E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4914900</xdr:colOff>
      <xdr:row>121</xdr:row>
      <xdr:rowOff>28575</xdr:rowOff>
    </xdr:from>
    <xdr:to>
      <xdr:col>1</xdr:col>
      <xdr:colOff>752475</xdr:colOff>
      <xdr:row>134</xdr:row>
      <xdr:rowOff>171450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D90B368-6949-434B-A46D-155012FCD4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72882-266C-4D08-9D18-BC2259FABDB9}">
  <dimension ref="A1:H7"/>
  <sheetViews>
    <sheetView zoomScale="130" zoomScaleNormal="130" workbookViewId="0">
      <selection activeCell="E12" sqref="E12"/>
    </sheetView>
  </sheetViews>
  <sheetFormatPr defaultRowHeight="15" x14ac:dyDescent="0.25"/>
  <cols>
    <col min="1" max="1" width="17.7109375" style="1" customWidth="1"/>
    <col min="2" max="2" width="6.85546875" style="1" bestFit="1" customWidth="1"/>
    <col min="3" max="3" width="8.7109375" style="1" bestFit="1" customWidth="1"/>
    <col min="4" max="4" width="10.42578125" style="1" bestFit="1" customWidth="1"/>
    <col min="5" max="5" width="16.7109375" style="1" bestFit="1" customWidth="1"/>
    <col min="6" max="6" width="9.140625" style="1"/>
    <col min="7" max="7" width="10.7109375" style="1" bestFit="1" customWidth="1"/>
    <col min="8" max="8" width="18.7109375" style="1" bestFit="1" customWidth="1"/>
    <col min="9" max="16384" width="9.140625" style="1"/>
  </cols>
  <sheetData>
    <row r="1" spans="1:8" x14ac:dyDescent="0.25">
      <c r="A1" s="1" t="s">
        <v>0</v>
      </c>
    </row>
    <row r="3" spans="1:8" x14ac:dyDescent="0.25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12</v>
      </c>
      <c r="H3" s="3" t="s">
        <v>13</v>
      </c>
    </row>
    <row r="4" spans="1:8" x14ac:dyDescent="0.25">
      <c r="A4" s="3" t="s">
        <v>6</v>
      </c>
      <c r="B4" s="3">
        <v>44</v>
      </c>
      <c r="C4" s="3">
        <v>2931.86</v>
      </c>
      <c r="D4" s="7">
        <f>B4*C4</f>
        <v>129001.84000000001</v>
      </c>
      <c r="E4" s="4">
        <f>D4/$D$7</f>
        <v>1.2418959297174994</v>
      </c>
      <c r="F4" s="5" t="s">
        <v>7</v>
      </c>
      <c r="G4" s="4">
        <f>C4/C7</f>
        <v>1.6934944496147719</v>
      </c>
      <c r="H4" s="3">
        <v>1</v>
      </c>
    </row>
    <row r="5" spans="1:8" x14ac:dyDescent="0.25">
      <c r="A5" s="3" t="s">
        <v>8</v>
      </c>
      <c r="B5" s="3">
        <v>2</v>
      </c>
      <c r="C5" s="3">
        <v>5578.1638220000004</v>
      </c>
      <c r="D5" s="7">
        <f>B5*C5</f>
        <v>11156.327644000001</v>
      </c>
      <c r="E5" s="4">
        <f>D5/$D$7</f>
        <v>0.10740155250249468</v>
      </c>
      <c r="F5" s="5" t="s">
        <v>7</v>
      </c>
      <c r="G5" s="4">
        <f>C5/C7</f>
        <v>3.2220465750748408</v>
      </c>
      <c r="H5" s="3">
        <v>3</v>
      </c>
    </row>
    <row r="6" spans="1:8" x14ac:dyDescent="0.25">
      <c r="A6" s="3" t="s">
        <v>9</v>
      </c>
      <c r="B6" s="3">
        <v>28</v>
      </c>
      <c r="C6" s="3">
        <v>2137.35</v>
      </c>
      <c r="D6" s="7">
        <f>B6*C6</f>
        <v>59845.799999999996</v>
      </c>
      <c r="E6" s="4">
        <f>D6/$D$7</f>
        <v>0.57613329725132223</v>
      </c>
      <c r="F6" s="5" t="s">
        <v>7</v>
      </c>
      <c r="G6" s="4">
        <f>C6/C7</f>
        <v>1.2345713512528333</v>
      </c>
      <c r="H6" s="3">
        <v>1</v>
      </c>
    </row>
    <row r="7" spans="1:8" x14ac:dyDescent="0.25">
      <c r="A7" s="3" t="s">
        <v>10</v>
      </c>
      <c r="B7" s="3">
        <v>60</v>
      </c>
      <c r="C7" s="3">
        <v>1731.248662</v>
      </c>
      <c r="D7" s="7">
        <f>B7*C7</f>
        <v>103874.91972000001</v>
      </c>
      <c r="E7" s="4">
        <f>D7/$D$7</f>
        <v>1</v>
      </c>
      <c r="F7" s="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07569-D666-4CE0-AFD8-5547F628591D}">
  <dimension ref="A1:T52"/>
  <sheetViews>
    <sheetView zoomScaleNormal="100" workbookViewId="0">
      <pane xSplit="3" topLeftCell="D1" activePane="topRight" state="frozen"/>
      <selection pane="topRight" activeCell="C11" sqref="C11"/>
    </sheetView>
  </sheetViews>
  <sheetFormatPr defaultColWidth="10.140625" defaultRowHeight="15.75" x14ac:dyDescent="0.25"/>
  <cols>
    <col min="1" max="1" width="160.28515625" style="8" bestFit="1" customWidth="1"/>
    <col min="2" max="2" width="20.5703125" style="8" bestFit="1" customWidth="1"/>
    <col min="3" max="3" width="15.5703125" style="8" bestFit="1" customWidth="1"/>
    <col min="4" max="4" width="29" style="8" bestFit="1" customWidth="1"/>
    <col min="5" max="5" width="17.140625" style="8" bestFit="1" customWidth="1"/>
    <col min="6" max="6" width="31" style="8" bestFit="1" customWidth="1"/>
    <col min="7" max="7" width="32.140625" style="8" bestFit="1" customWidth="1"/>
    <col min="8" max="8" width="39.42578125" style="8" bestFit="1" customWidth="1"/>
    <col min="9" max="9" width="22.85546875" style="8" bestFit="1" customWidth="1"/>
    <col min="10" max="10" width="25.7109375" style="8" bestFit="1" customWidth="1"/>
    <col min="11" max="11" width="21.85546875" style="8" bestFit="1" customWidth="1"/>
    <col min="12" max="12" width="21.28515625" style="8" bestFit="1" customWidth="1"/>
    <col min="13" max="13" width="22.140625" style="8" bestFit="1" customWidth="1"/>
    <col min="14" max="14" width="18.42578125" style="8" bestFit="1" customWidth="1"/>
    <col min="15" max="15" width="27.5703125" style="8" bestFit="1" customWidth="1"/>
    <col min="16" max="16" width="32" style="8" bestFit="1" customWidth="1"/>
    <col min="17" max="17" width="12.42578125" style="8" bestFit="1" customWidth="1"/>
    <col min="18" max="18" width="24.7109375" style="8" bestFit="1" customWidth="1"/>
    <col min="19" max="19" width="22.85546875" style="8" bestFit="1" customWidth="1"/>
    <col min="20" max="20" width="19.28515625" style="8" bestFit="1" customWidth="1"/>
    <col min="21" max="16384" width="10.140625" style="8"/>
  </cols>
  <sheetData>
    <row r="1" spans="1:20" x14ac:dyDescent="0.25"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  <c r="O1" s="9" t="s">
        <v>26</v>
      </c>
      <c r="P1" s="9" t="s">
        <v>27</v>
      </c>
      <c r="Q1" s="9" t="s">
        <v>28</v>
      </c>
      <c r="R1" s="9" t="s">
        <v>29</v>
      </c>
      <c r="S1" s="9" t="s">
        <v>30</v>
      </c>
      <c r="T1" s="9" t="s">
        <v>31</v>
      </c>
    </row>
    <row r="2" spans="1:20" x14ac:dyDescent="0.25">
      <c r="A2" s="9" t="s">
        <v>32</v>
      </c>
      <c r="B2" s="9"/>
      <c r="C2" s="9" t="s">
        <v>33</v>
      </c>
      <c r="D2" s="9" t="s">
        <v>34</v>
      </c>
      <c r="E2" s="9" t="s">
        <v>35</v>
      </c>
      <c r="F2" s="9" t="s">
        <v>36</v>
      </c>
      <c r="G2" s="9" t="s">
        <v>37</v>
      </c>
      <c r="H2" s="9" t="s">
        <v>36</v>
      </c>
      <c r="I2" s="9" t="s">
        <v>38</v>
      </c>
      <c r="J2" s="9" t="s">
        <v>39</v>
      </c>
      <c r="K2" s="9" t="s">
        <v>40</v>
      </c>
      <c r="L2" s="9" t="s">
        <v>41</v>
      </c>
      <c r="M2" s="9" t="s">
        <v>41</v>
      </c>
      <c r="N2" s="9" t="s">
        <v>41</v>
      </c>
      <c r="O2" s="9" t="s">
        <v>41</v>
      </c>
      <c r="P2" s="9" t="s">
        <v>41</v>
      </c>
      <c r="Q2" s="9" t="s">
        <v>42</v>
      </c>
      <c r="R2" s="9" t="s">
        <v>43</v>
      </c>
      <c r="S2" s="9" t="s">
        <v>44</v>
      </c>
      <c r="T2" s="9" t="s">
        <v>45</v>
      </c>
    </row>
    <row r="3" spans="1:20" x14ac:dyDescent="0.25">
      <c r="A3" s="9" t="s">
        <v>46</v>
      </c>
      <c r="B3" s="18" t="s">
        <v>47</v>
      </c>
      <c r="C3" s="10">
        <v>4.6039285999999997</v>
      </c>
      <c r="D3" s="11">
        <v>1.4640390000000001E-6</v>
      </c>
      <c r="E3" s="10">
        <v>0.25496323999999998</v>
      </c>
      <c r="F3" s="10">
        <v>1.6488507999999999E-2</v>
      </c>
      <c r="G3" s="10">
        <v>8.4093069999999995E-3</v>
      </c>
      <c r="H3" s="10">
        <v>2.0628871E-2</v>
      </c>
      <c r="I3" s="10">
        <v>1.8631587000000002E-2</v>
      </c>
      <c r="J3" s="11">
        <v>1.6225464E-3</v>
      </c>
      <c r="K3" s="11">
        <v>1.0706915E-4</v>
      </c>
      <c r="L3" s="10">
        <v>8.8305188999999995</v>
      </c>
      <c r="M3" s="10">
        <v>0.10247449</v>
      </c>
      <c r="N3" s="10">
        <v>0.14484010999999999</v>
      </c>
      <c r="O3" s="10">
        <v>0.14768858000000001</v>
      </c>
      <c r="P3" s="10">
        <v>4.5199340000000001</v>
      </c>
      <c r="Q3" s="10">
        <v>0.10146991</v>
      </c>
      <c r="R3" s="10">
        <v>7.6205869000000002E-3</v>
      </c>
      <c r="S3" s="10">
        <v>2.0455138000000002</v>
      </c>
      <c r="T3" s="10">
        <v>8.0522865999999998E-2</v>
      </c>
    </row>
    <row r="4" spans="1:20" x14ac:dyDescent="0.25">
      <c r="A4" s="9" t="s">
        <v>64</v>
      </c>
      <c r="B4" s="18" t="s">
        <v>48</v>
      </c>
      <c r="C4" s="10">
        <v>0.11839984000000001</v>
      </c>
      <c r="D4" s="11">
        <v>1.0068745999999999E-7</v>
      </c>
      <c r="E4" s="10">
        <v>6.7726708E-3</v>
      </c>
      <c r="F4" s="10">
        <v>1.992855E-3</v>
      </c>
      <c r="G4" s="10">
        <v>9.7352175999999998E-4</v>
      </c>
      <c r="H4" s="10">
        <v>2.1619754000000001E-3</v>
      </c>
      <c r="I4" s="10">
        <v>2.5301696999999999E-3</v>
      </c>
      <c r="J4" s="11">
        <v>1.0608415999999999E-4</v>
      </c>
      <c r="K4" s="11">
        <v>1.3256445E-5</v>
      </c>
      <c r="L4" s="10">
        <v>1.9551265</v>
      </c>
      <c r="M4" s="10">
        <v>5.7324946000000002E-2</v>
      </c>
      <c r="N4" s="10">
        <v>7.2066063E-2</v>
      </c>
      <c r="O4" s="10">
        <v>5.876348E-2</v>
      </c>
      <c r="P4" s="10">
        <v>0.63049074999999999</v>
      </c>
      <c r="Q4" s="10">
        <v>1.1215398E-2</v>
      </c>
      <c r="R4" s="10">
        <v>4.9713207000000002E-3</v>
      </c>
      <c r="S4" s="10">
        <v>1.0130007999999999</v>
      </c>
      <c r="T4" s="10">
        <v>1.2420082000000001E-2</v>
      </c>
    </row>
    <row r="5" spans="1:20" x14ac:dyDescent="0.25">
      <c r="A5" s="9" t="s">
        <v>65</v>
      </c>
      <c r="B5" s="18" t="s">
        <v>60</v>
      </c>
      <c r="C5" s="10">
        <v>-1.7640864000000001</v>
      </c>
      <c r="D5" s="11">
        <v>3.1322225E-7</v>
      </c>
      <c r="E5" s="10">
        <v>2.3880868999999999E-2</v>
      </c>
      <c r="F5" s="10">
        <v>2.4284916999999999E-3</v>
      </c>
      <c r="G5" s="10">
        <v>1.3534937999999999E-3</v>
      </c>
      <c r="H5" s="10">
        <v>2.9431320000000002E-3</v>
      </c>
      <c r="I5" s="10">
        <v>2.5538678999999999E-3</v>
      </c>
      <c r="J5" s="11">
        <v>3.5534675999999998E-4</v>
      </c>
      <c r="K5" s="11">
        <v>4.2631579000000003E-5</v>
      </c>
      <c r="L5" s="10">
        <v>6.8074471000000001</v>
      </c>
      <c r="M5" s="10">
        <v>0.20009409</v>
      </c>
      <c r="N5" s="10">
        <v>0.25063666000000001</v>
      </c>
      <c r="O5" s="10">
        <v>0.17655786000000001</v>
      </c>
      <c r="P5" s="10">
        <v>2.1056229000000002</v>
      </c>
      <c r="Q5" s="10">
        <v>3.9369836999999998E-2</v>
      </c>
      <c r="R5" s="10">
        <v>1.7608730999999999E-2</v>
      </c>
      <c r="S5" s="10">
        <v>0.52912581999999997</v>
      </c>
      <c r="T5" s="10">
        <v>1.7835812999999999E-2</v>
      </c>
    </row>
    <row r="6" spans="1:20" x14ac:dyDescent="0.25">
      <c r="A6" s="9" t="s">
        <v>66</v>
      </c>
      <c r="B6" s="18" t="s">
        <v>49</v>
      </c>
      <c r="C6" s="10">
        <v>1.1352690999999999</v>
      </c>
      <c r="D6" s="11">
        <v>1.0774865E-7</v>
      </c>
      <c r="E6" s="10">
        <v>7.7125301999999996E-3</v>
      </c>
      <c r="F6" s="10">
        <v>2.5420670999999999E-3</v>
      </c>
      <c r="G6" s="10">
        <v>1.0335380000000001E-3</v>
      </c>
      <c r="H6" s="10">
        <v>2.7067142999999999E-3</v>
      </c>
      <c r="I6" s="10">
        <v>2.7319979999999998E-3</v>
      </c>
      <c r="J6" s="11">
        <v>1.0371791000000001E-4</v>
      </c>
      <c r="K6" s="11">
        <v>1.8031116000000001E-5</v>
      </c>
      <c r="L6" s="10">
        <v>1.9983985</v>
      </c>
      <c r="M6" s="10">
        <v>5.4321422000000001E-2</v>
      </c>
      <c r="N6" s="10">
        <v>6.8210964999999998E-2</v>
      </c>
      <c r="O6" s="10">
        <v>5.6312826000000003E-2</v>
      </c>
      <c r="P6" s="10">
        <v>0.58437810999999995</v>
      </c>
      <c r="Q6" s="10">
        <v>1.0436997E-2</v>
      </c>
      <c r="R6" s="10">
        <v>4.6892178999999997E-3</v>
      </c>
      <c r="S6" s="10">
        <v>0.98580995000000005</v>
      </c>
      <c r="T6" s="10">
        <v>1.0061364999999999E-2</v>
      </c>
    </row>
    <row r="7" spans="1:20" x14ac:dyDescent="0.25">
      <c r="A7" s="9" t="s">
        <v>67</v>
      </c>
      <c r="B7" s="18" t="s">
        <v>61</v>
      </c>
      <c r="C7" s="10">
        <v>0.96079652000000004</v>
      </c>
      <c r="D7" s="11">
        <v>3.3214397000000001E-7</v>
      </c>
      <c r="E7" s="10">
        <v>2.6399389999999998E-2</v>
      </c>
      <c r="F7" s="10">
        <v>3.9002035999999999E-3</v>
      </c>
      <c r="G7" s="10">
        <v>1.514318E-3</v>
      </c>
      <c r="H7" s="10">
        <v>4.4028569999999996E-3</v>
      </c>
      <c r="I7" s="10">
        <v>3.0947028999999998E-3</v>
      </c>
      <c r="J7" s="11">
        <v>3.4900599E-4</v>
      </c>
      <c r="K7" s="11">
        <v>5.5426161000000001E-5</v>
      </c>
      <c r="L7" s="10">
        <v>6.9234023000000002</v>
      </c>
      <c r="M7" s="10">
        <v>0.19204561000000001</v>
      </c>
      <c r="N7" s="10">
        <v>0.24030624</v>
      </c>
      <c r="O7" s="10">
        <v>0.16999089000000001</v>
      </c>
      <c r="P7" s="10">
        <v>1.9820557999999999</v>
      </c>
      <c r="Q7" s="10">
        <v>3.7283971999999999E-2</v>
      </c>
      <c r="R7" s="10">
        <v>1.6852786000000002E-2</v>
      </c>
      <c r="S7" s="10">
        <v>0.45626308999999998</v>
      </c>
      <c r="T7" s="10">
        <v>1.1515208000000001E-2</v>
      </c>
    </row>
    <row r="8" spans="1:20" x14ac:dyDescent="0.25">
      <c r="C8" s="12"/>
      <c r="E8" s="12"/>
      <c r="F8" s="12"/>
    </row>
    <row r="9" spans="1:20" x14ac:dyDescent="0.25">
      <c r="C9" s="12"/>
    </row>
    <row r="10" spans="1:20" x14ac:dyDescent="0.25">
      <c r="C10" s="12"/>
    </row>
    <row r="11" spans="1:20" x14ac:dyDescent="0.25">
      <c r="C11" s="12"/>
    </row>
    <row r="12" spans="1:20" x14ac:dyDescent="0.25">
      <c r="C12" s="12"/>
    </row>
    <row r="13" spans="1:20" x14ac:dyDescent="0.25">
      <c r="C13" s="12"/>
    </row>
    <row r="14" spans="1:20" x14ac:dyDescent="0.25">
      <c r="C14" s="12"/>
    </row>
    <row r="15" spans="1:20" x14ac:dyDescent="0.25">
      <c r="C15" s="12"/>
    </row>
    <row r="16" spans="1:20" x14ac:dyDescent="0.25">
      <c r="C16" s="12"/>
    </row>
    <row r="17" spans="3:11" x14ac:dyDescent="0.25">
      <c r="C17" s="12"/>
    </row>
    <row r="18" spans="3:11" x14ac:dyDescent="0.25">
      <c r="C18" s="12"/>
    </row>
    <row r="19" spans="3:11" x14ac:dyDescent="0.25">
      <c r="C19" s="12"/>
    </row>
    <row r="22" spans="3:11" x14ac:dyDescent="0.25">
      <c r="C22" s="13"/>
      <c r="D22" s="13"/>
    </row>
    <row r="25" spans="3:11" x14ac:dyDescent="0.25">
      <c r="F25" s="13"/>
      <c r="H25" s="13"/>
      <c r="I25" s="13"/>
      <c r="J25" s="13"/>
      <c r="K25" s="13"/>
    </row>
    <row r="26" spans="3:11" x14ac:dyDescent="0.25">
      <c r="E26" s="13"/>
      <c r="F26" s="13"/>
      <c r="G26" s="13"/>
      <c r="H26" s="13"/>
    </row>
    <row r="27" spans="3:11" x14ac:dyDescent="0.25">
      <c r="F27" s="13"/>
      <c r="G27" s="13"/>
      <c r="H27" s="13"/>
    </row>
    <row r="28" spans="3:11" x14ac:dyDescent="0.25">
      <c r="F28" s="13"/>
      <c r="G28" s="13"/>
      <c r="H28" s="13"/>
    </row>
    <row r="29" spans="3:11" x14ac:dyDescent="0.25">
      <c r="H29" s="13"/>
    </row>
    <row r="30" spans="3:11" x14ac:dyDescent="0.25">
      <c r="H30" s="13"/>
    </row>
    <row r="31" spans="3:11" x14ac:dyDescent="0.25">
      <c r="F31" s="13"/>
      <c r="G31" s="13"/>
      <c r="H31" s="13"/>
    </row>
    <row r="32" spans="3:11" x14ac:dyDescent="0.25">
      <c r="F32" s="13"/>
      <c r="G32" s="13"/>
      <c r="H32" s="13"/>
    </row>
    <row r="33" spans="5:13" x14ac:dyDescent="0.25">
      <c r="E33" s="13"/>
      <c r="F33" s="13"/>
      <c r="G33" s="13"/>
      <c r="H33" s="13"/>
    </row>
    <row r="34" spans="5:13" x14ac:dyDescent="0.25">
      <c r="F34" s="13"/>
      <c r="G34" s="13"/>
      <c r="H34" s="13"/>
    </row>
    <row r="35" spans="5:13" x14ac:dyDescent="0.25">
      <c r="F35" s="13"/>
      <c r="H35" s="13"/>
      <c r="J35" s="13"/>
    </row>
    <row r="36" spans="5:13" x14ac:dyDescent="0.25">
      <c r="F36" s="13"/>
      <c r="G36" s="13"/>
      <c r="H36" s="13"/>
      <c r="I36" s="13"/>
      <c r="J36" s="13"/>
      <c r="K36" s="13"/>
      <c r="L36" s="13"/>
    </row>
    <row r="37" spans="5:13" x14ac:dyDescent="0.25">
      <c r="H37" s="13"/>
      <c r="I37" s="13"/>
      <c r="J37" s="13"/>
    </row>
    <row r="38" spans="5:13" x14ac:dyDescent="0.25">
      <c r="G38" s="13"/>
      <c r="H38" s="13"/>
      <c r="J38" s="13"/>
    </row>
    <row r="39" spans="5:13" x14ac:dyDescent="0.25">
      <c r="F39" s="13"/>
      <c r="G39" s="13"/>
      <c r="H39" s="13"/>
      <c r="J39" s="13"/>
    </row>
    <row r="40" spans="5:13" x14ac:dyDescent="0.25">
      <c r="F40" s="13"/>
      <c r="G40" s="13"/>
      <c r="H40" s="13"/>
      <c r="J40" s="13"/>
    </row>
    <row r="41" spans="5:13" x14ac:dyDescent="0.25">
      <c r="G41" s="13"/>
      <c r="H41" s="13"/>
      <c r="J41" s="13"/>
    </row>
    <row r="42" spans="5:13" x14ac:dyDescent="0.25">
      <c r="F42" s="13"/>
      <c r="G42" s="13"/>
      <c r="H42" s="13"/>
      <c r="I42" s="13"/>
      <c r="J42" s="13"/>
      <c r="L42" s="13"/>
    </row>
    <row r="43" spans="5:13" x14ac:dyDescent="0.25">
      <c r="F43" s="13"/>
      <c r="G43" s="13"/>
      <c r="H43" s="13"/>
      <c r="I43" s="13"/>
      <c r="J43" s="13"/>
      <c r="K43" s="13"/>
      <c r="L43" s="13"/>
    </row>
    <row r="44" spans="5:13" x14ac:dyDescent="0.25">
      <c r="J44" s="13"/>
    </row>
    <row r="45" spans="5:13" x14ac:dyDescent="0.25">
      <c r="M45" s="13"/>
    </row>
    <row r="46" spans="5:13" x14ac:dyDescent="0.25">
      <c r="M46" s="13"/>
    </row>
    <row r="47" spans="5:13" x14ac:dyDescent="0.25">
      <c r="M47" s="13"/>
    </row>
    <row r="48" spans="5:13" x14ac:dyDescent="0.25">
      <c r="M48" s="13"/>
    </row>
    <row r="49" spans="10:13" x14ac:dyDescent="0.25">
      <c r="L49" s="13"/>
      <c r="M49" s="13"/>
    </row>
    <row r="50" spans="10:13" x14ac:dyDescent="0.25">
      <c r="J50" s="13"/>
      <c r="L50" s="13"/>
      <c r="M50" s="13"/>
    </row>
    <row r="51" spans="10:13" x14ac:dyDescent="0.25">
      <c r="M51" s="13"/>
    </row>
    <row r="52" spans="10:13" x14ac:dyDescent="0.25">
      <c r="M52" s="13"/>
    </row>
  </sheetData>
  <conditionalFormatting sqref="C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:D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:E7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E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7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7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7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K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:L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M7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:N7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:O7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7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:Q7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7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:S7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T7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7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:D7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E7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7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7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7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7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7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K7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:L7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M7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:N7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:O7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7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:Q7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7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:S7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T7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69CE9-DAEC-4869-819B-0D6C93D6755F}">
  <dimension ref="A3:H56"/>
  <sheetViews>
    <sheetView workbookViewId="0">
      <selection activeCell="E10" sqref="E10"/>
    </sheetView>
  </sheetViews>
  <sheetFormatPr defaultRowHeight="15" x14ac:dyDescent="0.25"/>
  <cols>
    <col min="1" max="1" width="154.42578125" bestFit="1" customWidth="1"/>
    <col min="2" max="2" width="15" bestFit="1" customWidth="1"/>
    <col min="3" max="3" width="11" bestFit="1" customWidth="1"/>
    <col min="4" max="4" width="10" bestFit="1" customWidth="1"/>
    <col min="5" max="5" width="14.5703125" bestFit="1" customWidth="1"/>
    <col min="6" max="7" width="11" bestFit="1" customWidth="1"/>
  </cols>
  <sheetData>
    <row r="3" spans="1:7" x14ac:dyDescent="0.25">
      <c r="A3" s="23" t="s">
        <v>69</v>
      </c>
      <c r="B3" s="24"/>
      <c r="C3" s="24"/>
      <c r="D3" s="24"/>
      <c r="E3" s="24"/>
      <c r="F3" s="24"/>
      <c r="G3" s="25"/>
    </row>
    <row r="4" spans="1:7" x14ac:dyDescent="0.25">
      <c r="A4" s="18" t="s">
        <v>70</v>
      </c>
      <c r="B4" s="18" t="s">
        <v>71</v>
      </c>
      <c r="C4" s="18" t="s">
        <v>68</v>
      </c>
      <c r="D4" s="18" t="s">
        <v>10</v>
      </c>
      <c r="E4" s="18" t="s">
        <v>6</v>
      </c>
      <c r="F4" s="18" t="s">
        <v>8</v>
      </c>
      <c r="G4" s="18" t="s">
        <v>9</v>
      </c>
    </row>
    <row r="5" spans="1:7" x14ac:dyDescent="0.25">
      <c r="A5" s="22" t="s">
        <v>46</v>
      </c>
      <c r="B5" s="18" t="s">
        <v>47</v>
      </c>
      <c r="C5" s="18">
        <v>4.6039285999999997</v>
      </c>
      <c r="D5" s="18">
        <v>4.6039285999999997</v>
      </c>
      <c r="E5" s="18">
        <v>0</v>
      </c>
      <c r="F5" s="18">
        <v>0</v>
      </c>
      <c r="G5" s="18">
        <v>0</v>
      </c>
    </row>
    <row r="6" spans="1:7" x14ac:dyDescent="0.25">
      <c r="A6" s="18" t="s">
        <v>64</v>
      </c>
      <c r="B6" s="18" t="s">
        <v>48</v>
      </c>
      <c r="C6" s="18">
        <v>0.11839984000000001</v>
      </c>
      <c r="D6" s="18">
        <v>0</v>
      </c>
      <c r="E6" s="18">
        <v>-0.86050660000000001</v>
      </c>
      <c r="F6" s="18">
        <v>0.10657782</v>
      </c>
      <c r="G6" s="18">
        <v>0.87232862</v>
      </c>
    </row>
    <row r="7" spans="1:7" x14ac:dyDescent="0.25">
      <c r="A7" s="18" t="s">
        <v>65</v>
      </c>
      <c r="B7" s="18" t="s">
        <v>60</v>
      </c>
      <c r="C7" s="18">
        <v>-1.7640864000000001</v>
      </c>
      <c r="D7" s="18">
        <v>0</v>
      </c>
      <c r="E7" s="18">
        <v>-0.86050660000000001</v>
      </c>
      <c r="F7" s="18">
        <v>0.10657782</v>
      </c>
      <c r="G7" s="18">
        <v>-1.0101576000000001</v>
      </c>
    </row>
    <row r="8" spans="1:7" x14ac:dyDescent="0.25">
      <c r="A8" s="18" t="s">
        <v>66</v>
      </c>
      <c r="B8" s="18" t="s">
        <v>49</v>
      </c>
      <c r="C8" s="18">
        <v>1.1352690999999999</v>
      </c>
      <c r="D8" s="18">
        <v>0</v>
      </c>
      <c r="E8" s="18">
        <v>0.15636269</v>
      </c>
      <c r="F8" s="18">
        <v>0.10657782</v>
      </c>
      <c r="G8" s="18">
        <v>0.87232862</v>
      </c>
    </row>
    <row r="9" spans="1:7" x14ac:dyDescent="0.25">
      <c r="A9" s="18" t="s">
        <v>67</v>
      </c>
      <c r="B9" s="18" t="s">
        <v>61</v>
      </c>
      <c r="C9" s="18">
        <v>0.96079652000000004</v>
      </c>
      <c r="D9" s="18">
        <v>0</v>
      </c>
      <c r="E9" s="18">
        <v>0.15636269</v>
      </c>
      <c r="F9" s="18">
        <v>0.10657782</v>
      </c>
      <c r="G9" s="18">
        <v>0.69785600999999997</v>
      </c>
    </row>
    <row r="11" spans="1:7" x14ac:dyDescent="0.25">
      <c r="A11" s="23" t="s">
        <v>72</v>
      </c>
      <c r="B11" s="24"/>
      <c r="C11" s="24"/>
      <c r="D11" s="24"/>
      <c r="E11" s="24"/>
      <c r="F11" s="24"/>
      <c r="G11" s="25"/>
    </row>
    <row r="12" spans="1:7" x14ac:dyDescent="0.25">
      <c r="A12" s="18" t="s">
        <v>70</v>
      </c>
      <c r="B12" s="18" t="s">
        <v>71</v>
      </c>
      <c r="C12" s="18" t="s">
        <v>68</v>
      </c>
      <c r="D12" s="18" t="s">
        <v>10</v>
      </c>
      <c r="E12" s="18" t="s">
        <v>6</v>
      </c>
      <c r="F12" s="18" t="s">
        <v>8</v>
      </c>
      <c r="G12" s="18" t="s">
        <v>9</v>
      </c>
    </row>
    <row r="13" spans="1:7" x14ac:dyDescent="0.25">
      <c r="A13" s="22" t="s">
        <v>46</v>
      </c>
      <c r="B13" s="18" t="s">
        <v>47</v>
      </c>
      <c r="C13" s="18">
        <v>1.1256093E-5</v>
      </c>
      <c r="D13" s="18">
        <v>1.1256093E-5</v>
      </c>
      <c r="E13" s="18">
        <v>0</v>
      </c>
      <c r="F13" s="18">
        <v>0</v>
      </c>
      <c r="G13" s="18">
        <v>0</v>
      </c>
    </row>
    <row r="14" spans="1:7" x14ac:dyDescent="0.25">
      <c r="A14" s="18" t="s">
        <v>64</v>
      </c>
      <c r="B14" s="18" t="s">
        <v>48</v>
      </c>
      <c r="C14" s="18">
        <v>1.08931E-6</v>
      </c>
      <c r="D14" s="18">
        <v>0</v>
      </c>
      <c r="E14" s="18">
        <v>-6.8637849000000001E-7</v>
      </c>
      <c r="F14" s="18">
        <v>5.4420479999999996E-7</v>
      </c>
      <c r="G14" s="18">
        <v>1.2314836999999999E-6</v>
      </c>
    </row>
    <row r="15" spans="1:7" x14ac:dyDescent="0.25">
      <c r="A15" s="18" t="s">
        <v>65</v>
      </c>
      <c r="B15" s="18" t="s">
        <v>60</v>
      </c>
      <c r="C15" s="18">
        <v>3.2048192E-7</v>
      </c>
      <c r="D15" s="18">
        <v>0</v>
      </c>
      <c r="E15" s="18">
        <v>-6.8637849000000001E-7</v>
      </c>
      <c r="F15" s="18">
        <v>5.4420479999999996E-7</v>
      </c>
      <c r="G15" s="18">
        <v>4.6265561E-7</v>
      </c>
    </row>
    <row r="16" spans="1:7" x14ac:dyDescent="0.25">
      <c r="A16" s="18" t="s">
        <v>66</v>
      </c>
      <c r="B16" s="18" t="s">
        <v>49</v>
      </c>
      <c r="C16" s="18">
        <v>2.0473645000000001E-6</v>
      </c>
      <c r="D16" s="18">
        <v>0</v>
      </c>
      <c r="E16" s="18">
        <v>2.7167597E-7</v>
      </c>
      <c r="F16" s="18">
        <v>5.4420479999999996E-7</v>
      </c>
      <c r="G16" s="18">
        <v>1.2314836999999999E-6</v>
      </c>
    </row>
    <row r="17" spans="1:8" x14ac:dyDescent="0.25">
      <c r="A17" s="18" t="s">
        <v>67</v>
      </c>
      <c r="B17" s="18" t="s">
        <v>61</v>
      </c>
      <c r="C17" s="18">
        <v>2.8877599999999999E-6</v>
      </c>
      <c r="D17" s="18">
        <v>0</v>
      </c>
      <c r="E17" s="18">
        <v>2.7167597E-7</v>
      </c>
      <c r="F17" s="18">
        <v>5.4420479999999996E-7</v>
      </c>
      <c r="G17" s="18">
        <v>2.0718792E-6</v>
      </c>
    </row>
    <row r="19" spans="1:8" x14ac:dyDescent="0.25">
      <c r="A19" s="23" t="s">
        <v>73</v>
      </c>
      <c r="B19" s="24"/>
      <c r="C19" s="24"/>
      <c r="D19" s="24"/>
      <c r="E19" s="24"/>
      <c r="F19" s="24"/>
      <c r="G19" s="25"/>
    </row>
    <row r="20" spans="1:8" x14ac:dyDescent="0.25">
      <c r="A20" s="18" t="s">
        <v>70</v>
      </c>
      <c r="B20" s="18" t="s">
        <v>71</v>
      </c>
      <c r="C20" s="18" t="s">
        <v>68</v>
      </c>
      <c r="D20" s="18" t="s">
        <v>10</v>
      </c>
      <c r="E20" s="18" t="s">
        <v>6</v>
      </c>
      <c r="F20" s="18" t="s">
        <v>8</v>
      </c>
      <c r="G20" s="18" t="s">
        <v>9</v>
      </c>
    </row>
    <row r="21" spans="1:8" x14ac:dyDescent="0.25">
      <c r="A21" s="22" t="s">
        <v>46</v>
      </c>
      <c r="B21" s="18" t="s">
        <v>47</v>
      </c>
      <c r="C21" s="18">
        <v>2.2664456E-8</v>
      </c>
      <c r="D21" s="18">
        <v>2.2664456E-8</v>
      </c>
      <c r="E21" s="18">
        <v>0</v>
      </c>
      <c r="F21" s="18">
        <v>0</v>
      </c>
      <c r="G21" s="18">
        <v>0</v>
      </c>
    </row>
    <row r="22" spans="1:8" x14ac:dyDescent="0.25">
      <c r="A22" s="18" t="s">
        <v>64</v>
      </c>
      <c r="B22" s="18" t="s">
        <v>48</v>
      </c>
      <c r="C22" s="18">
        <v>1.5534525E-9</v>
      </c>
      <c r="D22" s="18">
        <v>0</v>
      </c>
      <c r="E22" s="18">
        <v>-2.2567050999999998E-9</v>
      </c>
      <c r="F22" s="18">
        <v>6.7835353000000005E-10</v>
      </c>
      <c r="G22" s="18">
        <v>3.1318040999999999E-9</v>
      </c>
    </row>
    <row r="23" spans="1:8" x14ac:dyDescent="0.25">
      <c r="A23" s="18" t="s">
        <v>65</v>
      </c>
      <c r="B23" s="18" t="s">
        <v>60</v>
      </c>
      <c r="C23" s="18">
        <v>-2.9556217999999999E-9</v>
      </c>
      <c r="D23" s="18">
        <v>0</v>
      </c>
      <c r="E23" s="18">
        <v>-2.2567050999999998E-9</v>
      </c>
      <c r="F23" s="18">
        <v>6.7835353000000005E-10</v>
      </c>
      <c r="G23" s="18">
        <v>-1.3772703E-9</v>
      </c>
    </row>
    <row r="24" spans="1:8" x14ac:dyDescent="0.25">
      <c r="A24" s="18" t="s">
        <v>66</v>
      </c>
      <c r="B24" s="18" t="s">
        <v>49</v>
      </c>
      <c r="C24" s="18">
        <v>4.4713166E-9</v>
      </c>
      <c r="D24" s="18">
        <v>0</v>
      </c>
      <c r="E24" s="18">
        <v>6.6115898000000003E-10</v>
      </c>
      <c r="F24" s="18">
        <v>6.7835353000000005E-10</v>
      </c>
      <c r="G24" s="18">
        <v>3.1318040999999999E-9</v>
      </c>
    </row>
    <row r="25" spans="1:8" x14ac:dyDescent="0.25">
      <c r="A25" s="18" t="s">
        <v>67</v>
      </c>
      <c r="B25" s="18" t="s">
        <v>61</v>
      </c>
      <c r="C25" s="18">
        <v>4.8633161000000001E-9</v>
      </c>
      <c r="D25" s="18">
        <v>0</v>
      </c>
      <c r="E25" s="18">
        <v>6.6115898000000003E-10</v>
      </c>
      <c r="F25" s="18">
        <v>6.7835353000000005E-10</v>
      </c>
      <c r="G25" s="18">
        <v>3.5238035000000001E-9</v>
      </c>
    </row>
    <row r="26" spans="1:8" x14ac:dyDescent="0.25">
      <c r="C26" s="21"/>
      <c r="E26" s="21"/>
      <c r="F26" s="21"/>
      <c r="G26" s="21"/>
    </row>
    <row r="27" spans="1:8" x14ac:dyDescent="0.25">
      <c r="A27" s="23" t="s">
        <v>74</v>
      </c>
      <c r="B27" s="24"/>
      <c r="C27" s="24"/>
      <c r="D27" s="24"/>
      <c r="E27" s="24"/>
      <c r="F27" s="24"/>
      <c r="G27" s="25"/>
    </row>
    <row r="28" spans="1:8" x14ac:dyDescent="0.25">
      <c r="A28" s="18" t="s">
        <v>70</v>
      </c>
      <c r="B28" s="18" t="s">
        <v>71</v>
      </c>
      <c r="C28" s="18" t="s">
        <v>68</v>
      </c>
      <c r="D28" s="18" t="s">
        <v>10</v>
      </c>
      <c r="E28" s="18" t="s">
        <v>6</v>
      </c>
      <c r="F28" s="18" t="s">
        <v>8</v>
      </c>
      <c r="G28" s="18" t="s">
        <v>9</v>
      </c>
    </row>
    <row r="29" spans="1:8" x14ac:dyDescent="0.25">
      <c r="A29" s="22" t="s">
        <v>46</v>
      </c>
      <c r="B29" s="18" t="s">
        <v>47</v>
      </c>
      <c r="C29" s="18">
        <v>0.68911549000000005</v>
      </c>
      <c r="D29" s="18">
        <v>0.68911549000000005</v>
      </c>
      <c r="E29" s="18">
        <v>0</v>
      </c>
      <c r="F29" s="18">
        <v>0</v>
      </c>
      <c r="G29" s="18">
        <v>0</v>
      </c>
    </row>
    <row r="30" spans="1:8" x14ac:dyDescent="0.25">
      <c r="A30" s="18" t="s">
        <v>64</v>
      </c>
      <c r="B30" s="18" t="s">
        <v>48</v>
      </c>
      <c r="C30" s="18">
        <v>0.41043206999999998</v>
      </c>
      <c r="D30" s="18">
        <v>0</v>
      </c>
      <c r="E30" s="18">
        <v>5.7973594000000003E-2</v>
      </c>
      <c r="F30" s="18">
        <v>8.0940514999999994E-3</v>
      </c>
      <c r="G30" s="18">
        <v>0.34436442</v>
      </c>
      <c r="H30" s="21"/>
    </row>
    <row r="31" spans="1:8" x14ac:dyDescent="0.25">
      <c r="A31" s="18" t="s">
        <v>65</v>
      </c>
      <c r="B31" s="18" t="s">
        <v>60</v>
      </c>
      <c r="C31" s="18">
        <v>0.18050461000000001</v>
      </c>
      <c r="D31" s="18">
        <v>0</v>
      </c>
      <c r="E31" s="18">
        <v>5.7973594000000003E-2</v>
      </c>
      <c r="F31" s="18">
        <v>8.0940514999999994E-3</v>
      </c>
      <c r="G31" s="18">
        <v>0.11443696</v>
      </c>
    </row>
    <row r="32" spans="1:8" x14ac:dyDescent="0.25">
      <c r="A32" s="18" t="s">
        <v>66</v>
      </c>
      <c r="B32" s="18" t="s">
        <v>49</v>
      </c>
      <c r="C32" s="18">
        <v>0.40049346000000002</v>
      </c>
      <c r="D32" s="18">
        <v>0</v>
      </c>
      <c r="E32" s="18">
        <v>4.8034981999999997E-2</v>
      </c>
      <c r="F32" s="18">
        <v>8.0940514999999994E-3</v>
      </c>
      <c r="G32" s="18">
        <v>0.34436442</v>
      </c>
    </row>
    <row r="33" spans="1:8" x14ac:dyDescent="0.25">
      <c r="A33" s="18" t="s">
        <v>67</v>
      </c>
      <c r="B33" s="18" t="s">
        <v>61</v>
      </c>
      <c r="C33" s="18">
        <v>0.15387232000000001</v>
      </c>
      <c r="D33" s="18">
        <v>0</v>
      </c>
      <c r="E33" s="18">
        <v>4.8034981999999997E-2</v>
      </c>
      <c r="F33" s="18">
        <v>8.0940514999999994E-3</v>
      </c>
      <c r="G33" s="18">
        <v>9.7743288999999997E-2</v>
      </c>
    </row>
    <row r="35" spans="1:8" x14ac:dyDescent="0.25">
      <c r="D35" s="21"/>
      <c r="F35" s="21"/>
      <c r="G35" s="21"/>
      <c r="H35" s="21"/>
    </row>
    <row r="36" spans="1:8" x14ac:dyDescent="0.25">
      <c r="D36" s="21"/>
      <c r="F36" s="21"/>
      <c r="G36" s="21"/>
      <c r="H36" s="21"/>
    </row>
    <row r="37" spans="1:8" x14ac:dyDescent="0.25">
      <c r="D37" s="21"/>
      <c r="F37" s="21"/>
      <c r="G37" s="21"/>
      <c r="H37" s="21"/>
    </row>
    <row r="41" spans="1:8" x14ac:dyDescent="0.25">
      <c r="C41" s="21"/>
      <c r="D41" s="21"/>
      <c r="F41" s="21"/>
      <c r="G41" s="21"/>
    </row>
    <row r="42" spans="1:8" x14ac:dyDescent="0.25">
      <c r="D42" s="21"/>
      <c r="F42" s="21"/>
      <c r="G42" s="21"/>
      <c r="H42" s="21"/>
    </row>
    <row r="43" spans="1:8" x14ac:dyDescent="0.25">
      <c r="D43" s="21"/>
      <c r="F43" s="21"/>
      <c r="G43" s="21"/>
      <c r="H43" s="21"/>
    </row>
    <row r="49" spans="3:8" x14ac:dyDescent="0.25">
      <c r="H49" s="21"/>
    </row>
    <row r="50" spans="3:8" x14ac:dyDescent="0.25">
      <c r="H50" s="21"/>
    </row>
    <row r="53" spans="3:8" x14ac:dyDescent="0.25">
      <c r="C53" s="21"/>
      <c r="E53" s="21"/>
      <c r="F53" s="21"/>
      <c r="G53" s="21"/>
    </row>
    <row r="54" spans="3:8" x14ac:dyDescent="0.25">
      <c r="C54" s="21"/>
      <c r="D54" s="21"/>
      <c r="E54" s="21"/>
      <c r="F54" s="21"/>
      <c r="G54" s="21"/>
    </row>
    <row r="55" spans="3:8" x14ac:dyDescent="0.25">
      <c r="C55" s="21"/>
      <c r="D55" s="21"/>
      <c r="E55" s="21"/>
      <c r="F55" s="21"/>
      <c r="G55" s="21"/>
    </row>
    <row r="56" spans="3:8" x14ac:dyDescent="0.25">
      <c r="C56" s="21"/>
      <c r="E56" s="21"/>
      <c r="F56" s="21"/>
      <c r="G56" s="21"/>
    </row>
  </sheetData>
  <mergeCells count="4">
    <mergeCell ref="A3:G3"/>
    <mergeCell ref="A11:G11"/>
    <mergeCell ref="A19:G19"/>
    <mergeCell ref="A27:G2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1FE5C-762E-4041-8114-5FC4BC990B92}">
  <dimension ref="A1:D16"/>
  <sheetViews>
    <sheetView tabSelected="1" workbookViewId="0">
      <selection activeCell="G7" sqref="G7"/>
    </sheetView>
  </sheetViews>
  <sheetFormatPr defaultColWidth="10.140625" defaultRowHeight="15.75" x14ac:dyDescent="0.25"/>
  <cols>
    <col min="1" max="1" width="25.7109375" style="8" customWidth="1"/>
    <col min="2" max="2" width="10.140625" style="8"/>
    <col min="3" max="3" width="18.85546875" style="8" bestFit="1" customWidth="1"/>
    <col min="4" max="4" width="22" style="8" bestFit="1" customWidth="1"/>
    <col min="5" max="16384" width="10.140625" style="8"/>
  </cols>
  <sheetData>
    <row r="1" spans="1:4" x14ac:dyDescent="0.25">
      <c r="A1" s="8" t="s">
        <v>59</v>
      </c>
    </row>
    <row r="3" spans="1:4" x14ac:dyDescent="0.25">
      <c r="B3" s="14" t="s">
        <v>50</v>
      </c>
      <c r="C3" s="14" t="s">
        <v>51</v>
      </c>
      <c r="D3" s="14" t="s">
        <v>52</v>
      </c>
    </row>
    <row r="4" spans="1:4" x14ac:dyDescent="0.25">
      <c r="A4" s="9" t="s">
        <v>53</v>
      </c>
      <c r="B4" s="15">
        <v>80.3</v>
      </c>
      <c r="C4" s="10">
        <f>Data!E4</f>
        <v>1.2418959297174994</v>
      </c>
      <c r="D4" s="15">
        <f>B4*C4</f>
        <v>99.724243156315197</v>
      </c>
    </row>
    <row r="5" spans="1:4" x14ac:dyDescent="0.25">
      <c r="A5" s="9" t="s">
        <v>54</v>
      </c>
      <c r="B5" s="9">
        <f>(94+232)/2</f>
        <v>163</v>
      </c>
      <c r="C5" s="10">
        <f>C4</f>
        <v>1.2418959297174994</v>
      </c>
      <c r="D5" s="15">
        <f>B5*C5</f>
        <v>202.42903654395241</v>
      </c>
    </row>
    <row r="6" spans="1:4" x14ac:dyDescent="0.25">
      <c r="A6" s="9" t="s">
        <v>55</v>
      </c>
      <c r="B6" s="9">
        <v>3286.4</v>
      </c>
      <c r="C6" s="10">
        <f>Data!E5</f>
        <v>0.10740155250249468</v>
      </c>
      <c r="D6" s="15">
        <f t="shared" ref="D6:D9" si="0">B6*C6</f>
        <v>352.96446214419854</v>
      </c>
    </row>
    <row r="7" spans="1:4" x14ac:dyDescent="0.25">
      <c r="A7" s="9" t="s">
        <v>56</v>
      </c>
      <c r="B7" s="9">
        <v>1293</v>
      </c>
      <c r="C7" s="10">
        <f>Data!E6</f>
        <v>0.57613329725132223</v>
      </c>
      <c r="D7" s="15">
        <f t="shared" si="0"/>
        <v>744.94035334595969</v>
      </c>
    </row>
    <row r="8" spans="1:4" x14ac:dyDescent="0.25">
      <c r="A8" s="18" t="s">
        <v>62</v>
      </c>
      <c r="B8" s="18">
        <v>2300</v>
      </c>
      <c r="C8" s="19">
        <f>C7</f>
        <v>0.57613329725132223</v>
      </c>
      <c r="D8" s="20">
        <f t="shared" si="0"/>
        <v>1325.106583678041</v>
      </c>
    </row>
    <row r="9" spans="1:4" x14ac:dyDescent="0.25">
      <c r="A9" s="18" t="s">
        <v>63</v>
      </c>
      <c r="B9" s="18">
        <v>2600</v>
      </c>
      <c r="C9" s="19">
        <f>C7</f>
        <v>0.57613329725132223</v>
      </c>
      <c r="D9" s="20">
        <f t="shared" si="0"/>
        <v>1497.9465728534378</v>
      </c>
    </row>
    <row r="10" spans="1:4" x14ac:dyDescent="0.25">
      <c r="C10" s="12"/>
      <c r="D10" s="16"/>
    </row>
    <row r="12" spans="1:4" x14ac:dyDescent="0.25">
      <c r="A12" s="18" t="s">
        <v>57</v>
      </c>
      <c r="B12" s="18">
        <v>1690</v>
      </c>
      <c r="C12" s="18" t="s">
        <v>58</v>
      </c>
      <c r="D12"/>
    </row>
    <row r="13" spans="1:4" x14ac:dyDescent="0.25">
      <c r="A13" s="18" t="s">
        <v>49</v>
      </c>
      <c r="B13" s="20">
        <f>D4+D6+D7</f>
        <v>1197.6290586464734</v>
      </c>
      <c r="C13" s="18" t="s">
        <v>58</v>
      </c>
      <c r="D13" s="17">
        <f>($B$12-B13)/$B$12</f>
        <v>0.29134375228019327</v>
      </c>
    </row>
    <row r="14" spans="1:4" x14ac:dyDescent="0.25">
      <c r="A14" s="18" t="s">
        <v>61</v>
      </c>
      <c r="B14" s="20">
        <f>D4+D6+D8</f>
        <v>1777.7952889785547</v>
      </c>
      <c r="C14" s="18" t="s">
        <v>58</v>
      </c>
      <c r="D14" s="17">
        <f>($B$12-B14)/$B$12</f>
        <v>-5.1949875135239472E-2</v>
      </c>
    </row>
    <row r="15" spans="1:4" x14ac:dyDescent="0.25">
      <c r="A15" s="18" t="s">
        <v>48</v>
      </c>
      <c r="B15" s="20">
        <f>D5+D6+D7</f>
        <v>1300.3338520341106</v>
      </c>
      <c r="C15" s="18" t="s">
        <v>58</v>
      </c>
      <c r="D15" s="17">
        <f>($B$12-B15)/$B$12</f>
        <v>0.23057168518691681</v>
      </c>
    </row>
    <row r="16" spans="1:4" x14ac:dyDescent="0.25">
      <c r="A16" s="18" t="s">
        <v>60</v>
      </c>
      <c r="B16" s="20">
        <f>D5+D6+D9</f>
        <v>2053.3400715415887</v>
      </c>
      <c r="C16" s="18" t="s">
        <v>58</v>
      </c>
      <c r="D16" s="17">
        <f>($B$12-B16)/$B$12</f>
        <v>-0.21499412517253769</v>
      </c>
    </row>
  </sheetData>
  <conditionalFormatting sqref="D13:D16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LCA results</vt:lpstr>
      <vt:lpstr>LCA contributions</vt:lpstr>
      <vt:lpstr>Economic results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2022-06-06T15:06:49Z</dcterms:created>
  <dcterms:modified xsi:type="dcterms:W3CDTF">2022-06-08T15:30:26Z</dcterms:modified>
</cp:coreProperties>
</file>