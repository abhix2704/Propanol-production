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 and LCA\"/>
    </mc:Choice>
  </mc:AlternateContent>
  <xr:revisionPtr revIDLastSave="0" documentId="13_ncr:1_{37BE2C28-61A2-4AA9-B1BD-BB53BCEA8D47}" xr6:coauthVersionLast="47" xr6:coauthVersionMax="47" xr10:uidLastSave="{00000000-0000-0000-0000-000000000000}"/>
  <bookViews>
    <workbookView xWindow="-108" yWindow="-108" windowWidth="30936" windowHeight="16896" activeTab="4" xr2:uid="{ADBCEB5C-8693-4935-9F81-BC9E2692D1DE}"/>
  </bookViews>
  <sheets>
    <sheet name="All" sheetId="1" r:id="rId1"/>
    <sheet name="Feedstock cummulative" sheetId="2" r:id="rId2"/>
    <sheet name="OPEX cummulative" sheetId="3" r:id="rId3"/>
    <sheet name="CAPEX cummulative" sheetId="4" r:id="rId4"/>
    <sheet name="Total and error ba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6" i="5" l="1"/>
  <c r="G16" i="5" s="1"/>
  <c r="C15" i="5"/>
  <c r="G15" i="5" s="1"/>
  <c r="D16" i="4"/>
  <c r="D15" i="4"/>
  <c r="D16" i="3"/>
  <c r="D15" i="3"/>
  <c r="D16" i="2"/>
  <c r="D15" i="2"/>
  <c r="C18" i="5"/>
  <c r="G18" i="5" s="1"/>
  <c r="C17" i="5"/>
  <c r="G17" i="5" s="1"/>
  <c r="D18" i="4" l="1"/>
  <c r="D17" i="4"/>
  <c r="D18" i="3"/>
  <c r="D17" i="3"/>
  <c r="D18" i="2"/>
  <c r="D17" i="2"/>
  <c r="C14" i="5"/>
  <c r="G14" i="5" s="1"/>
  <c r="C13" i="5"/>
  <c r="G13" i="5" s="1"/>
  <c r="D14" i="4"/>
  <c r="D13" i="4"/>
  <c r="D14" i="3"/>
  <c r="D13" i="3"/>
  <c r="D14" i="2"/>
  <c r="D13" i="2"/>
  <c r="C12" i="5"/>
  <c r="G12" i="5" s="1"/>
  <c r="C11" i="5"/>
  <c r="G11" i="5" s="1"/>
  <c r="C10" i="5"/>
  <c r="G10" i="5" s="1"/>
  <c r="C9" i="5"/>
  <c r="G9" i="5" s="1"/>
  <c r="C8" i="5"/>
  <c r="G8" i="5" s="1"/>
  <c r="C7" i="5"/>
  <c r="G7" i="5" s="1"/>
  <c r="C6" i="5"/>
  <c r="G6" i="5" s="1"/>
  <c r="C5" i="5"/>
  <c r="G5" i="5" s="1"/>
  <c r="C4" i="5"/>
  <c r="G4" i="5" s="1"/>
  <c r="C3" i="5"/>
  <c r="G3" i="5" s="1"/>
  <c r="C2" i="5"/>
  <c r="G2" i="5" s="1"/>
  <c r="D12" i="3"/>
  <c r="D11" i="3"/>
  <c r="D12" i="4"/>
  <c r="D11" i="4"/>
  <c r="D10" i="4"/>
  <c r="D9" i="4"/>
  <c r="D8" i="4"/>
  <c r="D7" i="4"/>
  <c r="D6" i="4"/>
  <c r="D5" i="4"/>
  <c r="D4" i="4"/>
  <c r="D3" i="4"/>
  <c r="D2" i="4"/>
  <c r="D2" i="3"/>
  <c r="D3" i="3"/>
  <c r="D4" i="3"/>
  <c r="D5" i="3"/>
  <c r="D6" i="3"/>
  <c r="D7" i="3"/>
  <c r="D8" i="3"/>
  <c r="D9" i="3"/>
  <c r="D10" i="3"/>
  <c r="D12" i="2"/>
  <c r="D11" i="2"/>
  <c r="D10" i="2"/>
  <c r="D9" i="2"/>
  <c r="D8" i="2"/>
  <c r="D7" i="2"/>
  <c r="D6" i="2"/>
  <c r="D5" i="2"/>
  <c r="D4" i="2"/>
  <c r="D3" i="2"/>
  <c r="D2" i="2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</calcChain>
</file>

<file path=xl/sharedStrings.xml><?xml version="1.0" encoding="utf-8"?>
<sst xmlns="http://schemas.openxmlformats.org/spreadsheetml/2006/main" count="411" uniqueCount="33">
  <si>
    <t>CAPEX</t>
  </si>
  <si>
    <t>DAC + wind + gE - 2030</t>
  </si>
  <si>
    <t>Utilities + fixed costs</t>
  </si>
  <si>
    <t>Ethylene</t>
  </si>
  <si>
    <t>Hydrogen</t>
  </si>
  <si>
    <t>Oxygen</t>
  </si>
  <si>
    <t>Carbon dioxide</t>
  </si>
  <si>
    <t>Natural gas</t>
  </si>
  <si>
    <t>DAC + wind + gE</t>
  </si>
  <si>
    <t>NG + wind + gE - 2030</t>
  </si>
  <si>
    <t>NG + wind + gE</t>
  </si>
  <si>
    <t>DAC + wind - 2030</t>
  </si>
  <si>
    <t>DAC + wind</t>
  </si>
  <si>
    <t>NG + wind - 2030</t>
  </si>
  <si>
    <t>NG + wind</t>
  </si>
  <si>
    <t>BAU</t>
  </si>
  <si>
    <t>Value</t>
  </si>
  <si>
    <t>Category</t>
  </si>
  <si>
    <t>Process</t>
  </si>
  <si>
    <t>yCoordinate</t>
  </si>
  <si>
    <t>FeedStock</t>
  </si>
  <si>
    <t>OPEX</t>
  </si>
  <si>
    <t>Total</t>
  </si>
  <si>
    <t>Low</t>
  </si>
  <si>
    <t>High</t>
  </si>
  <si>
    <t>Biogas</t>
  </si>
  <si>
    <t>Biogas - 2030</t>
  </si>
  <si>
    <t>Biogas + bioE</t>
  </si>
  <si>
    <t>Biogas + bioE - 2030</t>
  </si>
  <si>
    <t>Biogas + gE - NG</t>
  </si>
  <si>
    <t>Biogas + gE - NG - 2030</t>
  </si>
  <si>
    <t>Biogas + gE - DAC</t>
  </si>
  <si>
    <t>Biogas + gE - DAC - 2030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</si>
</sst>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2728-3A6B-4EA7-AD35-DFEE6E6A77BF}">
  <dimension ref="A1:E137"/>
  <sheetViews>
    <sheetView topLeftCell="A96" zoomScaleNormal="100" workbookViewId="0">
      <selection activeCell="G127" sqref="G127"/>
    </sheetView>
  </sheetViews>
  <sheetFormatPr defaultRowHeight="14.4" x14ac:dyDescent="0.3"/>
  <cols>
    <col min="1" max="1" width="20.6640625" bestFit="1" customWidth="1"/>
    <col min="2" max="2" width="22.5546875" bestFit="1" customWidth="1"/>
    <col min="3" max="3" width="13.44140625" bestFit="1" customWidth="1"/>
  </cols>
  <sheetData>
    <row r="1" spans="1:5" x14ac:dyDescent="0.3">
      <c r="A1" s="2" t="s">
        <v>18</v>
      </c>
      <c r="B1" s="2" t="s">
        <v>17</v>
      </c>
      <c r="C1" s="2" t="s">
        <v>16</v>
      </c>
    </row>
    <row r="2" spans="1:5" x14ac:dyDescent="0.3">
      <c r="A2" s="2" t="s">
        <v>15</v>
      </c>
      <c r="B2" s="2" t="s">
        <v>7</v>
      </c>
      <c r="C2" s="1">
        <v>163.9741356888037</v>
      </c>
    </row>
    <row r="3" spans="1:5" x14ac:dyDescent="0.3">
      <c r="A3" s="2" t="s">
        <v>15</v>
      </c>
      <c r="B3" s="2" t="s">
        <v>6</v>
      </c>
      <c r="C3" s="1">
        <v>0</v>
      </c>
    </row>
    <row r="4" spans="1:5" x14ac:dyDescent="0.3">
      <c r="A4" s="2" t="s">
        <v>15</v>
      </c>
      <c r="B4" s="2" t="s">
        <v>25</v>
      </c>
      <c r="C4" s="1">
        <v>0</v>
      </c>
    </row>
    <row r="5" spans="1:5" x14ac:dyDescent="0.3">
      <c r="A5" s="2" t="s">
        <v>15</v>
      </c>
      <c r="B5" s="2" t="s">
        <v>5</v>
      </c>
      <c r="C5" s="1">
        <v>69.316462157927717</v>
      </c>
    </row>
    <row r="6" spans="1:5" x14ac:dyDescent="0.3">
      <c r="A6" s="2" t="s">
        <v>15</v>
      </c>
      <c r="B6" s="2" t="s">
        <v>4</v>
      </c>
      <c r="C6" s="1">
        <v>0</v>
      </c>
    </row>
    <row r="7" spans="1:5" x14ac:dyDescent="0.3">
      <c r="A7" s="2" t="s">
        <v>15</v>
      </c>
      <c r="B7" s="2" t="s">
        <v>3</v>
      </c>
      <c r="C7" s="1">
        <v>806.61124461437453</v>
      </c>
      <c r="E7" s="3"/>
    </row>
    <row r="8" spans="1:5" x14ac:dyDescent="0.3">
      <c r="A8" s="2" t="s">
        <v>15</v>
      </c>
      <c r="B8" s="2" t="s">
        <v>2</v>
      </c>
      <c r="C8" s="1">
        <v>102.97539281856939</v>
      </c>
    </row>
    <row r="9" spans="1:5" x14ac:dyDescent="0.3">
      <c r="A9" s="2" t="s">
        <v>15</v>
      </c>
      <c r="B9" s="2" t="s">
        <v>0</v>
      </c>
      <c r="C9" s="1">
        <v>107.39958882913528</v>
      </c>
    </row>
    <row r="10" spans="1:5" x14ac:dyDescent="0.3">
      <c r="A10" s="2" t="s">
        <v>14</v>
      </c>
      <c r="B10" s="2" t="s">
        <v>7</v>
      </c>
      <c r="C10" s="1">
        <v>0</v>
      </c>
    </row>
    <row r="11" spans="1:5" x14ac:dyDescent="0.3">
      <c r="A11" s="2" t="s">
        <v>14</v>
      </c>
      <c r="B11" s="2" t="s">
        <v>6</v>
      </c>
      <c r="C11" s="1">
        <v>76.452554381161022</v>
      </c>
    </row>
    <row r="12" spans="1:5" x14ac:dyDescent="0.3">
      <c r="A12" s="2" t="s">
        <v>14</v>
      </c>
      <c r="B12" s="2" t="s">
        <v>25</v>
      </c>
      <c r="C12" s="1">
        <v>0</v>
      </c>
    </row>
    <row r="13" spans="1:5" x14ac:dyDescent="0.3">
      <c r="A13" s="2" t="s">
        <v>14</v>
      </c>
      <c r="B13" s="2" t="s">
        <v>5</v>
      </c>
      <c r="C13" s="1">
        <v>0</v>
      </c>
    </row>
    <row r="14" spans="1:5" x14ac:dyDescent="0.3">
      <c r="A14" s="2" t="s">
        <v>14</v>
      </c>
      <c r="B14" s="2" t="s">
        <v>4</v>
      </c>
      <c r="C14" s="1">
        <v>468.80922543506199</v>
      </c>
      <c r="E14" s="3"/>
    </row>
    <row r="15" spans="1:5" x14ac:dyDescent="0.3">
      <c r="A15" s="2" t="s">
        <v>14</v>
      </c>
      <c r="B15" s="2" t="s">
        <v>3</v>
      </c>
      <c r="C15" s="1">
        <v>812.7571427421974</v>
      </c>
    </row>
    <row r="16" spans="1:5" x14ac:dyDescent="0.3">
      <c r="A16" s="2" t="s">
        <v>14</v>
      </c>
      <c r="B16" s="2" t="s">
        <v>2</v>
      </c>
      <c r="C16" s="1">
        <v>203.24861873976243</v>
      </c>
    </row>
    <row r="17" spans="1:5" x14ac:dyDescent="0.3">
      <c r="A17" s="2" t="s">
        <v>14</v>
      </c>
      <c r="B17" s="2" t="s">
        <v>0</v>
      </c>
      <c r="C17" s="1">
        <v>196.7806865582607</v>
      </c>
    </row>
    <row r="18" spans="1:5" x14ac:dyDescent="0.3">
      <c r="A18" s="2" t="s">
        <v>13</v>
      </c>
      <c r="B18" s="2" t="s">
        <v>7</v>
      </c>
      <c r="C18" s="1">
        <v>0</v>
      </c>
    </row>
    <row r="19" spans="1:5" x14ac:dyDescent="0.3">
      <c r="A19" s="2" t="s">
        <v>13</v>
      </c>
      <c r="B19" s="2" t="s">
        <v>6</v>
      </c>
      <c r="C19" s="1">
        <v>76.452554381161022</v>
      </c>
    </row>
    <row r="20" spans="1:5" x14ac:dyDescent="0.3">
      <c r="A20" s="2" t="s">
        <v>13</v>
      </c>
      <c r="B20" s="2" t="s">
        <v>25</v>
      </c>
      <c r="C20" s="1">
        <v>0</v>
      </c>
    </row>
    <row r="21" spans="1:5" x14ac:dyDescent="0.3">
      <c r="A21" s="2" t="s">
        <v>13</v>
      </c>
      <c r="B21" s="2" t="s">
        <v>5</v>
      </c>
      <c r="C21" s="1">
        <v>0</v>
      </c>
    </row>
    <row r="22" spans="1:5" x14ac:dyDescent="0.3">
      <c r="A22" s="2" t="s">
        <v>13</v>
      </c>
      <c r="B22" s="2" t="s">
        <v>4</v>
      </c>
      <c r="C22" s="1">
        <v>270.58390364846696</v>
      </c>
    </row>
    <row r="23" spans="1:5" x14ac:dyDescent="0.3">
      <c r="A23" s="2" t="s">
        <v>13</v>
      </c>
      <c r="B23" s="2" t="s">
        <v>3</v>
      </c>
      <c r="C23" s="1">
        <v>812.7571427421974</v>
      </c>
    </row>
    <row r="24" spans="1:5" x14ac:dyDescent="0.3">
      <c r="A24" s="2" t="s">
        <v>13</v>
      </c>
      <c r="B24" s="2" t="s">
        <v>2</v>
      </c>
      <c r="C24" s="1">
        <v>203.24861873976243</v>
      </c>
    </row>
    <row r="25" spans="1:5" x14ac:dyDescent="0.3">
      <c r="A25" s="2" t="s">
        <v>13</v>
      </c>
      <c r="B25" s="2" t="s">
        <v>0</v>
      </c>
      <c r="C25" s="1">
        <v>196.7806865582607</v>
      </c>
    </row>
    <row r="26" spans="1:5" x14ac:dyDescent="0.3">
      <c r="A26" s="2" t="s">
        <v>12</v>
      </c>
      <c r="B26" s="2" t="s">
        <v>7</v>
      </c>
      <c r="C26" s="1">
        <v>0</v>
      </c>
    </row>
    <row r="27" spans="1:5" x14ac:dyDescent="0.3">
      <c r="A27" s="2" t="s">
        <v>12</v>
      </c>
      <c r="B27" s="2" t="s">
        <v>6</v>
      </c>
      <c r="C27" s="1">
        <v>156.33262054030686</v>
      </c>
    </row>
    <row r="28" spans="1:5" x14ac:dyDescent="0.3">
      <c r="A28" s="2" t="s">
        <v>12</v>
      </c>
      <c r="B28" s="2" t="s">
        <v>25</v>
      </c>
      <c r="C28" s="1">
        <v>0</v>
      </c>
      <c r="E28" s="3"/>
    </row>
    <row r="29" spans="1:5" x14ac:dyDescent="0.3">
      <c r="A29" s="2" t="s">
        <v>12</v>
      </c>
      <c r="B29" s="2" t="s">
        <v>5</v>
      </c>
      <c r="C29" s="1">
        <v>0</v>
      </c>
    </row>
    <row r="30" spans="1:5" x14ac:dyDescent="0.3">
      <c r="A30" s="2" t="s">
        <v>12</v>
      </c>
      <c r="B30" s="2" t="s">
        <v>4</v>
      </c>
      <c r="C30" s="1">
        <v>468.80922543506199</v>
      </c>
    </row>
    <row r="31" spans="1:5" x14ac:dyDescent="0.3">
      <c r="A31" s="2" t="s">
        <v>12</v>
      </c>
      <c r="B31" s="2" t="s">
        <v>3</v>
      </c>
      <c r="C31" s="1">
        <v>812.7571427421974</v>
      </c>
    </row>
    <row r="32" spans="1:5" x14ac:dyDescent="0.3">
      <c r="A32" s="2" t="s">
        <v>12</v>
      </c>
      <c r="B32" s="2" t="s">
        <v>2</v>
      </c>
      <c r="C32" s="1">
        <v>203.24861873976243</v>
      </c>
    </row>
    <row r="33" spans="1:5" x14ac:dyDescent="0.3">
      <c r="A33" s="2" t="s">
        <v>12</v>
      </c>
      <c r="B33" s="2" t="s">
        <v>0</v>
      </c>
      <c r="C33" s="1">
        <v>196.7806865582607</v>
      </c>
    </row>
    <row r="34" spans="1:5" x14ac:dyDescent="0.3">
      <c r="A34" s="2" t="s">
        <v>11</v>
      </c>
      <c r="B34" s="2" t="s">
        <v>7</v>
      </c>
      <c r="C34" s="1">
        <v>0</v>
      </c>
    </row>
    <row r="35" spans="1:5" x14ac:dyDescent="0.3">
      <c r="A35" s="2" t="s">
        <v>11</v>
      </c>
      <c r="B35" s="2" t="s">
        <v>6</v>
      </c>
      <c r="C35" s="1">
        <v>71.975188219877481</v>
      </c>
    </row>
    <row r="36" spans="1:5" x14ac:dyDescent="0.3">
      <c r="A36" s="2" t="s">
        <v>11</v>
      </c>
      <c r="B36" s="2" t="s">
        <v>25</v>
      </c>
      <c r="C36" s="1">
        <v>0</v>
      </c>
    </row>
    <row r="37" spans="1:5" x14ac:dyDescent="0.3">
      <c r="A37" s="2" t="s">
        <v>11</v>
      </c>
      <c r="B37" s="2" t="s">
        <v>5</v>
      </c>
      <c r="C37" s="1">
        <v>0</v>
      </c>
    </row>
    <row r="38" spans="1:5" x14ac:dyDescent="0.3">
      <c r="A38" s="2" t="s">
        <v>11</v>
      </c>
      <c r="B38" s="2" t="s">
        <v>4</v>
      </c>
      <c r="C38" s="1">
        <v>270.58390364846696</v>
      </c>
    </row>
    <row r="39" spans="1:5" x14ac:dyDescent="0.3">
      <c r="A39" s="2" t="s">
        <v>11</v>
      </c>
      <c r="B39" s="2" t="s">
        <v>3</v>
      </c>
      <c r="C39" s="1">
        <v>812.7571427421974</v>
      </c>
    </row>
    <row r="40" spans="1:5" x14ac:dyDescent="0.3">
      <c r="A40" s="2" t="s">
        <v>11</v>
      </c>
      <c r="B40" s="2" t="s">
        <v>2</v>
      </c>
      <c r="C40" s="1">
        <v>203.24861873976243</v>
      </c>
    </row>
    <row r="41" spans="1:5" x14ac:dyDescent="0.3">
      <c r="A41" s="2" t="s">
        <v>11</v>
      </c>
      <c r="B41" s="2" t="s">
        <v>0</v>
      </c>
      <c r="C41" s="1">
        <v>196.7806865582607</v>
      </c>
    </row>
    <row r="42" spans="1:5" x14ac:dyDescent="0.3">
      <c r="A42" s="2" t="s">
        <v>10</v>
      </c>
      <c r="B42" s="2" t="s">
        <v>7</v>
      </c>
      <c r="C42" s="1">
        <v>0</v>
      </c>
      <c r="E42" s="3"/>
    </row>
    <row r="43" spans="1:5" x14ac:dyDescent="0.3">
      <c r="A43" s="2" t="s">
        <v>10</v>
      </c>
      <c r="B43" s="2" t="s">
        <v>6</v>
      </c>
      <c r="C43" s="1">
        <v>76.452554381161022</v>
      </c>
    </row>
    <row r="44" spans="1:5" x14ac:dyDescent="0.3">
      <c r="A44" s="2" t="s">
        <v>10</v>
      </c>
      <c r="B44" s="2" t="s">
        <v>25</v>
      </c>
      <c r="C44" s="1">
        <v>0</v>
      </c>
    </row>
    <row r="45" spans="1:5" x14ac:dyDescent="0.3">
      <c r="A45" s="2" t="s">
        <v>10</v>
      </c>
      <c r="B45" s="2" t="s">
        <v>5</v>
      </c>
      <c r="C45" s="1">
        <v>0</v>
      </c>
    </row>
    <row r="46" spans="1:5" x14ac:dyDescent="0.3">
      <c r="A46" s="2" t="s">
        <v>10</v>
      </c>
      <c r="B46" s="2" t="s">
        <v>4</v>
      </c>
      <c r="C46" s="1">
        <v>468.80922543506199</v>
      </c>
    </row>
    <row r="47" spans="1:5" x14ac:dyDescent="0.3">
      <c r="A47" s="2" t="s">
        <v>10</v>
      </c>
      <c r="B47" s="2" t="s">
        <v>3</v>
      </c>
      <c r="C47" s="1">
        <v>1445.7396970665538</v>
      </c>
    </row>
    <row r="48" spans="1:5" x14ac:dyDescent="0.3">
      <c r="A48" s="2" t="s">
        <v>10</v>
      </c>
      <c r="B48" s="2" t="s">
        <v>2</v>
      </c>
      <c r="C48" s="1">
        <v>203.24861873976243</v>
      </c>
    </row>
    <row r="49" spans="1:3" x14ac:dyDescent="0.3">
      <c r="A49" s="2" t="s">
        <v>10</v>
      </c>
      <c r="B49" s="2" t="s">
        <v>0</v>
      </c>
      <c r="C49" s="1">
        <v>196.7806865582607</v>
      </c>
    </row>
    <row r="50" spans="1:3" x14ac:dyDescent="0.3">
      <c r="A50" s="2" t="s">
        <v>9</v>
      </c>
      <c r="B50" s="2" t="s">
        <v>7</v>
      </c>
      <c r="C50" s="1">
        <v>0</v>
      </c>
    </row>
    <row r="51" spans="1:3" x14ac:dyDescent="0.3">
      <c r="A51" s="2" t="s">
        <v>9</v>
      </c>
      <c r="B51" s="2" t="s">
        <v>6</v>
      </c>
      <c r="C51" s="1">
        <v>76.452554381161022</v>
      </c>
    </row>
    <row r="52" spans="1:3" x14ac:dyDescent="0.3">
      <c r="A52" s="2" t="s">
        <v>9</v>
      </c>
      <c r="B52" s="2" t="s">
        <v>25</v>
      </c>
      <c r="C52" s="1">
        <v>0</v>
      </c>
    </row>
    <row r="53" spans="1:3" x14ac:dyDescent="0.3">
      <c r="A53" s="2" t="s">
        <v>9</v>
      </c>
      <c r="B53" s="2" t="s">
        <v>5</v>
      </c>
      <c r="C53" s="1">
        <v>0</v>
      </c>
    </row>
    <row r="54" spans="1:3" x14ac:dyDescent="0.3">
      <c r="A54" s="2" t="s">
        <v>9</v>
      </c>
      <c r="B54" s="2" t="s">
        <v>4</v>
      </c>
      <c r="C54" s="1">
        <v>270.58390364846696</v>
      </c>
    </row>
    <row r="55" spans="1:3" x14ac:dyDescent="0.3">
      <c r="A55" s="2" t="s">
        <v>9</v>
      </c>
      <c r="B55" s="2" t="s">
        <v>3</v>
      </c>
      <c r="C55" s="1">
        <v>1001.0335751120409</v>
      </c>
    </row>
    <row r="56" spans="1:3" x14ac:dyDescent="0.3">
      <c r="A56" s="2" t="s">
        <v>9</v>
      </c>
      <c r="B56" s="2" t="s">
        <v>2</v>
      </c>
      <c r="C56" s="1">
        <v>203.24861873976243</v>
      </c>
    </row>
    <row r="57" spans="1:3" x14ac:dyDescent="0.3">
      <c r="A57" s="2" t="s">
        <v>9</v>
      </c>
      <c r="B57" s="2" t="s">
        <v>0</v>
      </c>
      <c r="C57" s="1">
        <v>196.7806865582607</v>
      </c>
    </row>
    <row r="58" spans="1:3" x14ac:dyDescent="0.3">
      <c r="A58" s="2" t="s">
        <v>8</v>
      </c>
      <c r="B58" s="2" t="s">
        <v>7</v>
      </c>
      <c r="C58" s="1">
        <v>0</v>
      </c>
    </row>
    <row r="59" spans="1:3" x14ac:dyDescent="0.3">
      <c r="A59" s="2" t="s">
        <v>8</v>
      </c>
      <c r="B59" s="2" t="s">
        <v>6</v>
      </c>
      <c r="C59" s="1">
        <v>156.33262054030686</v>
      </c>
    </row>
    <row r="60" spans="1:3" x14ac:dyDescent="0.3">
      <c r="A60" s="2" t="s">
        <v>8</v>
      </c>
      <c r="B60" s="2" t="s">
        <v>25</v>
      </c>
      <c r="C60" s="1">
        <v>0</v>
      </c>
    </row>
    <row r="61" spans="1:3" x14ac:dyDescent="0.3">
      <c r="A61" s="2" t="s">
        <v>8</v>
      </c>
      <c r="B61" s="2" t="s">
        <v>5</v>
      </c>
      <c r="C61" s="1">
        <v>0</v>
      </c>
    </row>
    <row r="62" spans="1:3" x14ac:dyDescent="0.3">
      <c r="A62" s="2" t="s">
        <v>8</v>
      </c>
      <c r="B62" s="2" t="s">
        <v>4</v>
      </c>
      <c r="C62" s="1">
        <v>468.80922543506199</v>
      </c>
    </row>
    <row r="63" spans="1:3" x14ac:dyDescent="0.3">
      <c r="A63" s="2" t="s">
        <v>8</v>
      </c>
      <c r="B63" s="2" t="s">
        <v>3</v>
      </c>
      <c r="C63" s="1">
        <v>1634.3144401621912</v>
      </c>
    </row>
    <row r="64" spans="1:3" x14ac:dyDescent="0.3">
      <c r="A64" s="2" t="s">
        <v>8</v>
      </c>
      <c r="B64" s="2" t="s">
        <v>2</v>
      </c>
      <c r="C64" s="1">
        <v>203.24861873976243</v>
      </c>
    </row>
    <row r="65" spans="1:3" x14ac:dyDescent="0.3">
      <c r="A65" s="2" t="s">
        <v>8</v>
      </c>
      <c r="B65" s="2" t="s">
        <v>0</v>
      </c>
      <c r="C65" s="1">
        <v>196.7806865582607</v>
      </c>
    </row>
    <row r="66" spans="1:3" x14ac:dyDescent="0.3">
      <c r="A66" s="2" t="s">
        <v>1</v>
      </c>
      <c r="B66" s="2" t="s">
        <v>7</v>
      </c>
      <c r="C66" s="1">
        <v>0</v>
      </c>
    </row>
    <row r="67" spans="1:3" x14ac:dyDescent="0.3">
      <c r="A67" s="2" t="s">
        <v>1</v>
      </c>
      <c r="B67" s="2" t="s">
        <v>6</v>
      </c>
      <c r="C67" s="1">
        <v>71.975188219877481</v>
      </c>
    </row>
    <row r="68" spans="1:3" x14ac:dyDescent="0.3">
      <c r="A68" s="2" t="s">
        <v>1</v>
      </c>
      <c r="B68" s="2" t="s">
        <v>25</v>
      </c>
      <c r="C68" s="1">
        <v>0</v>
      </c>
    </row>
    <row r="69" spans="1:3" x14ac:dyDescent="0.3">
      <c r="A69" s="2" t="s">
        <v>1</v>
      </c>
      <c r="B69" s="2" t="s">
        <v>5</v>
      </c>
      <c r="C69" s="1">
        <v>0</v>
      </c>
    </row>
    <row r="70" spans="1:3" x14ac:dyDescent="0.3">
      <c r="A70" s="2" t="s">
        <v>1</v>
      </c>
      <c r="B70" s="2" t="s">
        <v>4</v>
      </c>
      <c r="C70" s="1">
        <v>270.58390364846696</v>
      </c>
    </row>
    <row r="71" spans="1:3" x14ac:dyDescent="0.3">
      <c r="A71" s="2" t="s">
        <v>1</v>
      </c>
      <c r="B71" s="2" t="s">
        <v>3</v>
      </c>
      <c r="C71" s="1">
        <v>986.15778175513003</v>
      </c>
    </row>
    <row r="72" spans="1:3" x14ac:dyDescent="0.3">
      <c r="A72" s="2" t="s">
        <v>1</v>
      </c>
      <c r="B72" s="2" t="s">
        <v>2</v>
      </c>
      <c r="C72" s="1">
        <v>203.24861873976243</v>
      </c>
    </row>
    <row r="73" spans="1:3" x14ac:dyDescent="0.3">
      <c r="A73" s="2" t="s">
        <v>1</v>
      </c>
      <c r="B73" s="2" t="s">
        <v>0</v>
      </c>
      <c r="C73" s="1">
        <v>196.7806865582607</v>
      </c>
    </row>
    <row r="74" spans="1:3" x14ac:dyDescent="0.3">
      <c r="A74" s="2" t="s">
        <v>25</v>
      </c>
      <c r="B74" s="2" t="s">
        <v>7</v>
      </c>
      <c r="C74" s="1">
        <v>0</v>
      </c>
    </row>
    <row r="75" spans="1:3" x14ac:dyDescent="0.3">
      <c r="A75" s="2" t="s">
        <v>25</v>
      </c>
      <c r="B75" s="2" t="s">
        <v>6</v>
      </c>
      <c r="C75" s="1">
        <v>0</v>
      </c>
    </row>
    <row r="76" spans="1:3" x14ac:dyDescent="0.3">
      <c r="A76" s="2" t="s">
        <v>25</v>
      </c>
      <c r="B76" s="2" t="s">
        <v>25</v>
      </c>
      <c r="C76" s="1">
        <v>110.8353954068569</v>
      </c>
    </row>
    <row r="77" spans="1:3" x14ac:dyDescent="0.3">
      <c r="A77" s="2" t="s">
        <v>25</v>
      </c>
      <c r="B77" s="2" t="s">
        <v>5</v>
      </c>
      <c r="C77" s="1">
        <v>0</v>
      </c>
    </row>
    <row r="78" spans="1:3" x14ac:dyDescent="0.3">
      <c r="A78" s="2" t="s">
        <v>25</v>
      </c>
      <c r="B78" s="2" t="s">
        <v>4</v>
      </c>
      <c r="C78" s="1">
        <v>0</v>
      </c>
    </row>
    <row r="79" spans="1:3" x14ac:dyDescent="0.3">
      <c r="A79" s="2" t="s">
        <v>25</v>
      </c>
      <c r="B79" s="2" t="s">
        <v>3</v>
      </c>
      <c r="C79" s="1">
        <v>801.35951108494498</v>
      </c>
    </row>
    <row r="80" spans="1:3" x14ac:dyDescent="0.3">
      <c r="A80" s="2" t="s">
        <v>25</v>
      </c>
      <c r="B80" s="2" t="s">
        <v>2</v>
      </c>
      <c r="C80" s="1">
        <v>272.65404071614057</v>
      </c>
    </row>
    <row r="81" spans="1:3" x14ac:dyDescent="0.3">
      <c r="A81" s="2" t="s">
        <v>25</v>
      </c>
      <c r="B81" s="2" t="s">
        <v>0</v>
      </c>
      <c r="C81" s="1">
        <v>140.80960219338147</v>
      </c>
    </row>
    <row r="82" spans="1:3" x14ac:dyDescent="0.3">
      <c r="A82" s="2" t="s">
        <v>26</v>
      </c>
      <c r="B82" s="2" t="s">
        <v>7</v>
      </c>
      <c r="C82" s="1">
        <v>0</v>
      </c>
    </row>
    <row r="83" spans="1:3" x14ac:dyDescent="0.3">
      <c r="A83" s="2" t="s">
        <v>26</v>
      </c>
      <c r="B83" s="2" t="s">
        <v>6</v>
      </c>
      <c r="C83" s="1">
        <v>0</v>
      </c>
    </row>
    <row r="84" spans="1:3" x14ac:dyDescent="0.3">
      <c r="A84" s="2" t="s">
        <v>26</v>
      </c>
      <c r="B84" s="2" t="s">
        <v>25</v>
      </c>
      <c r="C84" s="1">
        <v>51.366274707477302</v>
      </c>
    </row>
    <row r="85" spans="1:3" x14ac:dyDescent="0.3">
      <c r="A85" s="2" t="s">
        <v>26</v>
      </c>
      <c r="B85" s="2" t="s">
        <v>5</v>
      </c>
      <c r="C85" s="1">
        <v>0</v>
      </c>
    </row>
    <row r="86" spans="1:3" x14ac:dyDescent="0.3">
      <c r="A86" s="2" t="s">
        <v>26</v>
      </c>
      <c r="B86" s="2" t="s">
        <v>4</v>
      </c>
      <c r="C86" s="1">
        <v>0</v>
      </c>
    </row>
    <row r="87" spans="1:3" x14ac:dyDescent="0.3">
      <c r="A87" s="2" t="s">
        <v>26</v>
      </c>
      <c r="B87" s="2" t="s">
        <v>3</v>
      </c>
      <c r="C87" s="1">
        <v>801.35951108494498</v>
      </c>
    </row>
    <row r="88" spans="1:3" x14ac:dyDescent="0.3">
      <c r="A88" s="2" t="s">
        <v>26</v>
      </c>
      <c r="B88" s="2" t="s">
        <v>2</v>
      </c>
      <c r="C88" s="1">
        <v>272.65404071614057</v>
      </c>
    </row>
    <row r="89" spans="1:3" x14ac:dyDescent="0.3">
      <c r="A89" s="2" t="s">
        <v>26</v>
      </c>
      <c r="B89" s="2" t="s">
        <v>0</v>
      </c>
      <c r="C89" s="1">
        <v>140.80960219338147</v>
      </c>
    </row>
    <row r="90" spans="1:3" x14ac:dyDescent="0.3">
      <c r="A90" s="2" t="s">
        <v>29</v>
      </c>
      <c r="B90" s="2" t="s">
        <v>7</v>
      </c>
      <c r="C90" s="1">
        <v>0</v>
      </c>
    </row>
    <row r="91" spans="1:3" x14ac:dyDescent="0.3">
      <c r="A91" s="2" t="s">
        <v>29</v>
      </c>
      <c r="B91" s="2" t="s">
        <v>6</v>
      </c>
      <c r="C91" s="1">
        <v>0</v>
      </c>
    </row>
    <row r="92" spans="1:3" x14ac:dyDescent="0.3">
      <c r="A92" s="2" t="s">
        <v>29</v>
      </c>
      <c r="B92" s="2" t="s">
        <v>25</v>
      </c>
      <c r="C92" s="1">
        <v>110.8353954068569</v>
      </c>
    </row>
    <row r="93" spans="1:3" x14ac:dyDescent="0.3">
      <c r="A93" s="2" t="s">
        <v>29</v>
      </c>
      <c r="B93" s="2" t="s">
        <v>5</v>
      </c>
      <c r="C93" s="1">
        <v>0</v>
      </c>
    </row>
    <row r="94" spans="1:3" x14ac:dyDescent="0.3">
      <c r="A94" s="2" t="s">
        <v>29</v>
      </c>
      <c r="B94" s="2" t="s">
        <v>4</v>
      </c>
      <c r="C94" s="1">
        <v>0</v>
      </c>
    </row>
    <row r="95" spans="1:3" x14ac:dyDescent="0.3">
      <c r="A95" s="2" t="s">
        <v>29</v>
      </c>
      <c r="B95" s="2" t="s">
        <v>3</v>
      </c>
      <c r="C95" s="1">
        <v>1425.4654876220986</v>
      </c>
    </row>
    <row r="96" spans="1:3" x14ac:dyDescent="0.3">
      <c r="A96" s="2" t="s">
        <v>29</v>
      </c>
      <c r="B96" s="2" t="s">
        <v>2</v>
      </c>
      <c r="C96" s="1">
        <v>272.65404071614057</v>
      </c>
    </row>
    <row r="97" spans="1:3" x14ac:dyDescent="0.3">
      <c r="A97" s="2" t="s">
        <v>29</v>
      </c>
      <c r="B97" s="2" t="s">
        <v>0</v>
      </c>
      <c r="C97" s="1">
        <v>140.80960219338147</v>
      </c>
    </row>
    <row r="98" spans="1:3" x14ac:dyDescent="0.3">
      <c r="A98" s="2" t="s">
        <v>30</v>
      </c>
      <c r="B98" s="2" t="s">
        <v>7</v>
      </c>
      <c r="C98" s="1">
        <v>0</v>
      </c>
    </row>
    <row r="99" spans="1:3" x14ac:dyDescent="0.3">
      <c r="A99" s="2" t="s">
        <v>30</v>
      </c>
      <c r="B99" s="2" t="s">
        <v>6</v>
      </c>
      <c r="C99" s="1">
        <v>0</v>
      </c>
    </row>
    <row r="100" spans="1:3" x14ac:dyDescent="0.3">
      <c r="A100" s="2" t="s">
        <v>30</v>
      </c>
      <c r="B100" s="2" t="s">
        <v>25</v>
      </c>
      <c r="C100" s="1">
        <v>51.366274707477302</v>
      </c>
    </row>
    <row r="101" spans="1:3" x14ac:dyDescent="0.3">
      <c r="A101" s="2" t="s">
        <v>30</v>
      </c>
      <c r="B101" s="2" t="s">
        <v>5</v>
      </c>
      <c r="C101" s="1">
        <v>0</v>
      </c>
    </row>
    <row r="102" spans="1:3" x14ac:dyDescent="0.3">
      <c r="A102" s="2" t="s">
        <v>30</v>
      </c>
      <c r="B102" s="2" t="s">
        <v>4</v>
      </c>
      <c r="C102" s="1">
        <v>0</v>
      </c>
    </row>
    <row r="103" spans="1:3" x14ac:dyDescent="0.3">
      <c r="A103" s="2" t="s">
        <v>30</v>
      </c>
      <c r="B103" s="2" t="s">
        <v>3</v>
      </c>
      <c r="C103" s="1">
        <v>986.99566468879334</v>
      </c>
    </row>
    <row r="104" spans="1:3" x14ac:dyDescent="0.3">
      <c r="A104" s="2" t="s">
        <v>30</v>
      </c>
      <c r="B104" s="2" t="s">
        <v>2</v>
      </c>
      <c r="C104" s="1">
        <v>272.65404071614057</v>
      </c>
    </row>
    <row r="105" spans="1:3" x14ac:dyDescent="0.3">
      <c r="A105" s="2" t="s">
        <v>30</v>
      </c>
      <c r="B105" s="2" t="s">
        <v>0</v>
      </c>
      <c r="C105" s="1">
        <v>140.80960219338147</v>
      </c>
    </row>
    <row r="106" spans="1:3" x14ac:dyDescent="0.3">
      <c r="A106" s="2" t="s">
        <v>31</v>
      </c>
      <c r="B106" s="2" t="s">
        <v>7</v>
      </c>
      <c r="C106" s="1">
        <v>0</v>
      </c>
    </row>
    <row r="107" spans="1:3" x14ac:dyDescent="0.3">
      <c r="A107" s="2" t="s">
        <v>31</v>
      </c>
      <c r="B107" s="2" t="s">
        <v>6</v>
      </c>
      <c r="C107" s="1">
        <v>0</v>
      </c>
    </row>
    <row r="108" spans="1:3" x14ac:dyDescent="0.3">
      <c r="A108" s="2" t="s">
        <v>31</v>
      </c>
      <c r="B108" s="2" t="s">
        <v>25</v>
      </c>
      <c r="C108" s="1">
        <v>110.8353954068569</v>
      </c>
    </row>
    <row r="109" spans="1:3" x14ac:dyDescent="0.3">
      <c r="A109" s="2" t="s">
        <v>31</v>
      </c>
      <c r="B109" s="2" t="s">
        <v>5</v>
      </c>
      <c r="C109" s="1">
        <v>0</v>
      </c>
    </row>
    <row r="110" spans="1:3" x14ac:dyDescent="0.3">
      <c r="A110" s="2" t="s">
        <v>31</v>
      </c>
      <c r="B110" s="2" t="s">
        <v>4</v>
      </c>
      <c r="C110" s="1">
        <v>0</v>
      </c>
    </row>
    <row r="111" spans="1:3" x14ac:dyDescent="0.3">
      <c r="A111" s="2" t="s">
        <v>31</v>
      </c>
      <c r="B111" s="2" t="s">
        <v>3</v>
      </c>
      <c r="C111" s="1">
        <v>1611.3957686162855</v>
      </c>
    </row>
    <row r="112" spans="1:3" x14ac:dyDescent="0.3">
      <c r="A112" s="2" t="s">
        <v>31</v>
      </c>
      <c r="B112" s="2" t="s">
        <v>2</v>
      </c>
      <c r="C112" s="1">
        <v>272.65404071614057</v>
      </c>
    </row>
    <row r="113" spans="1:3" x14ac:dyDescent="0.3">
      <c r="A113" s="2" t="s">
        <v>31</v>
      </c>
      <c r="B113" s="2" t="s">
        <v>0</v>
      </c>
      <c r="C113" s="1">
        <v>140.80960219338147</v>
      </c>
    </row>
    <row r="114" spans="1:3" x14ac:dyDescent="0.3">
      <c r="A114" s="2" t="s">
        <v>32</v>
      </c>
      <c r="B114" s="2" t="s">
        <v>7</v>
      </c>
      <c r="C114" s="1">
        <v>0</v>
      </c>
    </row>
    <row r="115" spans="1:3" x14ac:dyDescent="0.3">
      <c r="A115" s="2" t="s">
        <v>32</v>
      </c>
      <c r="B115" s="2" t="s">
        <v>6</v>
      </c>
      <c r="C115" s="1">
        <v>0</v>
      </c>
    </row>
    <row r="116" spans="1:3" x14ac:dyDescent="0.3">
      <c r="A116" s="2" t="s">
        <v>32</v>
      </c>
      <c r="B116" s="2" t="s">
        <v>25</v>
      </c>
      <c r="C116" s="1">
        <v>51.366274707477302</v>
      </c>
    </row>
    <row r="117" spans="1:3" x14ac:dyDescent="0.3">
      <c r="A117" s="2" t="s">
        <v>32</v>
      </c>
      <c r="B117" s="2" t="s">
        <v>5</v>
      </c>
      <c r="C117" s="1">
        <v>0</v>
      </c>
    </row>
    <row r="118" spans="1:3" x14ac:dyDescent="0.3">
      <c r="A118" s="2" t="s">
        <v>32</v>
      </c>
      <c r="B118" s="2" t="s">
        <v>4</v>
      </c>
      <c r="C118" s="1">
        <v>0</v>
      </c>
    </row>
    <row r="119" spans="1:3" x14ac:dyDescent="0.3">
      <c r="A119" s="2" t="s">
        <v>32</v>
      </c>
      <c r="B119" s="2" t="s">
        <v>3</v>
      </c>
      <c r="C119" s="1">
        <v>972.32848077297513</v>
      </c>
    </row>
    <row r="120" spans="1:3" x14ac:dyDescent="0.3">
      <c r="A120" s="2" t="s">
        <v>32</v>
      </c>
      <c r="B120" s="2" t="s">
        <v>2</v>
      </c>
      <c r="C120" s="1">
        <v>272.65404071614057</v>
      </c>
    </row>
    <row r="121" spans="1:3" x14ac:dyDescent="0.3">
      <c r="A121" s="2" t="s">
        <v>32</v>
      </c>
      <c r="B121" s="2" t="s">
        <v>0</v>
      </c>
      <c r="C121" s="1">
        <v>140.80960219338147</v>
      </c>
    </row>
    <row r="122" spans="1:3" x14ac:dyDescent="0.3">
      <c r="A122" s="2" t="s">
        <v>27</v>
      </c>
      <c r="B122" s="2" t="s">
        <v>7</v>
      </c>
      <c r="C122" s="1">
        <v>0</v>
      </c>
    </row>
    <row r="123" spans="1:3" x14ac:dyDescent="0.3">
      <c r="A123" s="2" t="s">
        <v>27</v>
      </c>
      <c r="B123" s="2" t="s">
        <v>6</v>
      </c>
      <c r="C123" s="1">
        <v>0</v>
      </c>
    </row>
    <row r="124" spans="1:3" x14ac:dyDescent="0.3">
      <c r="A124" s="2" t="s">
        <v>27</v>
      </c>
      <c r="B124" s="2" t="s">
        <v>25</v>
      </c>
      <c r="C124" s="1">
        <v>110.8353954068569</v>
      </c>
    </row>
    <row r="125" spans="1:3" x14ac:dyDescent="0.3">
      <c r="A125" s="2" t="s">
        <v>27</v>
      </c>
      <c r="B125" s="2" t="s">
        <v>5</v>
      </c>
      <c r="C125" s="1">
        <v>0</v>
      </c>
    </row>
    <row r="126" spans="1:3" x14ac:dyDescent="0.3">
      <c r="A126" s="2" t="s">
        <v>27</v>
      </c>
      <c r="B126" s="2" t="s">
        <v>4</v>
      </c>
      <c r="C126" s="1">
        <v>0</v>
      </c>
    </row>
    <row r="127" spans="1:3" x14ac:dyDescent="0.3">
      <c r="A127" s="2" t="s">
        <v>27</v>
      </c>
      <c r="B127" s="2" t="s">
        <v>3</v>
      </c>
      <c r="C127" s="1">
        <v>1173.4649799952106</v>
      </c>
    </row>
    <row r="128" spans="1:3" x14ac:dyDescent="0.3">
      <c r="A128" s="2" t="s">
        <v>27</v>
      </c>
      <c r="B128" s="2" t="s">
        <v>2</v>
      </c>
      <c r="C128" s="1">
        <v>272.65404071614057</v>
      </c>
    </row>
    <row r="129" spans="1:3" x14ac:dyDescent="0.3">
      <c r="A129" s="2" t="s">
        <v>27</v>
      </c>
      <c r="B129" s="2" t="s">
        <v>0</v>
      </c>
      <c r="C129" s="1">
        <v>140.80960219338147</v>
      </c>
    </row>
    <row r="130" spans="1:3" x14ac:dyDescent="0.3">
      <c r="A130" s="2" t="s">
        <v>28</v>
      </c>
      <c r="B130" s="2" t="s">
        <v>7</v>
      </c>
      <c r="C130" s="1">
        <v>0</v>
      </c>
    </row>
    <row r="131" spans="1:3" x14ac:dyDescent="0.3">
      <c r="A131" s="2" t="s">
        <v>28</v>
      </c>
      <c r="B131" s="2" t="s">
        <v>6</v>
      </c>
      <c r="C131" s="1">
        <v>0</v>
      </c>
    </row>
    <row r="132" spans="1:3" x14ac:dyDescent="0.3">
      <c r="A132" s="2" t="s">
        <v>28</v>
      </c>
      <c r="B132" s="2" t="s">
        <v>25</v>
      </c>
      <c r="C132" s="1">
        <v>51.366274707477302</v>
      </c>
    </row>
    <row r="133" spans="1:3" x14ac:dyDescent="0.3">
      <c r="A133" s="2" t="s">
        <v>28</v>
      </c>
      <c r="B133" s="2" t="s">
        <v>5</v>
      </c>
      <c r="C133" s="1">
        <v>0</v>
      </c>
    </row>
    <row r="134" spans="1:3" x14ac:dyDescent="0.3">
      <c r="A134" s="2" t="s">
        <v>28</v>
      </c>
      <c r="B134" s="2" t="s">
        <v>4</v>
      </c>
      <c r="C134" s="1">
        <v>0</v>
      </c>
    </row>
    <row r="135" spans="1:3" x14ac:dyDescent="0.3">
      <c r="A135" s="2" t="s">
        <v>28</v>
      </c>
      <c r="B135" s="2" t="s">
        <v>3</v>
      </c>
      <c r="C135" s="1">
        <v>999.43638906547778</v>
      </c>
    </row>
    <row r="136" spans="1:3" x14ac:dyDescent="0.3">
      <c r="A136" s="2" t="s">
        <v>28</v>
      </c>
      <c r="B136" s="2" t="s">
        <v>2</v>
      </c>
      <c r="C136" s="1">
        <v>272.65404071614057</v>
      </c>
    </row>
    <row r="137" spans="1:3" x14ac:dyDescent="0.3">
      <c r="A137" s="2" t="s">
        <v>28</v>
      </c>
      <c r="B137" s="2" t="s">
        <v>0</v>
      </c>
      <c r="C137" s="1">
        <v>140.80960219338147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3D5E-9C7D-40CA-8D20-0017FDC95B32}">
  <dimension ref="A1:D18"/>
  <sheetViews>
    <sheetView workbookViewId="0">
      <selection activeCell="B2" sqref="B2"/>
    </sheetView>
  </sheetViews>
  <sheetFormatPr defaultRowHeight="14.4" x14ac:dyDescent="0.3"/>
  <cols>
    <col min="1" max="1" width="20.6640625" bestFit="1" customWidth="1"/>
    <col min="2" max="2" width="11.88671875" bestFit="1" customWidth="1"/>
    <col min="3" max="3" width="10.109375" bestFit="1" customWidth="1"/>
    <col min="4" max="4" width="9.5546875" bestFit="1" customWidth="1"/>
  </cols>
  <sheetData>
    <row r="1" spans="1:4" x14ac:dyDescent="0.3">
      <c r="A1" s="2" t="s">
        <v>18</v>
      </c>
      <c r="B1" s="2" t="s">
        <v>19</v>
      </c>
      <c r="C1" s="2" t="s">
        <v>17</v>
      </c>
      <c r="D1" s="2" t="s">
        <v>16</v>
      </c>
    </row>
    <row r="2" spans="1:4" x14ac:dyDescent="0.3">
      <c r="A2" s="2" t="s">
        <v>15</v>
      </c>
      <c r="B2" s="2">
        <v>-0.4</v>
      </c>
      <c r="C2" s="4" t="s">
        <v>20</v>
      </c>
      <c r="D2" s="1">
        <f>SUM(All!C2:C7)</f>
        <v>1039.9018424611058</v>
      </c>
    </row>
    <row r="3" spans="1:4" x14ac:dyDescent="0.3">
      <c r="A3" s="2" t="s">
        <v>14</v>
      </c>
      <c r="B3" s="2">
        <f>B2+1</f>
        <v>0.6</v>
      </c>
      <c r="C3" s="4" t="s">
        <v>20</v>
      </c>
      <c r="D3" s="1">
        <f>SUM(All!C10:C15)</f>
        <v>1358.0189225584204</v>
      </c>
    </row>
    <row r="4" spans="1:4" x14ac:dyDescent="0.3">
      <c r="A4" s="2" t="s">
        <v>13</v>
      </c>
      <c r="B4" s="2">
        <f t="shared" ref="B4:B18" si="0">B3+1</f>
        <v>1.6</v>
      </c>
      <c r="C4" s="4" t="s">
        <v>20</v>
      </c>
      <c r="D4" s="1">
        <f>SUM(All!C18:C23)</f>
        <v>1159.7936007718254</v>
      </c>
    </row>
    <row r="5" spans="1:4" x14ac:dyDescent="0.3">
      <c r="A5" s="2" t="s">
        <v>12</v>
      </c>
      <c r="B5" s="2">
        <f t="shared" si="0"/>
        <v>2.6</v>
      </c>
      <c r="C5" s="4" t="s">
        <v>20</v>
      </c>
      <c r="D5" s="1">
        <f>SUM(All!C26:C31)</f>
        <v>1437.8989887175662</v>
      </c>
    </row>
    <row r="6" spans="1:4" x14ac:dyDescent="0.3">
      <c r="A6" s="2" t="s">
        <v>11</v>
      </c>
      <c r="B6" s="2">
        <f t="shared" si="0"/>
        <v>3.6</v>
      </c>
      <c r="C6" s="4" t="s">
        <v>20</v>
      </c>
      <c r="D6" s="1">
        <f>SUM(All!C34:C39)</f>
        <v>1155.3162346105419</v>
      </c>
    </row>
    <row r="7" spans="1:4" x14ac:dyDescent="0.3">
      <c r="A7" s="2" t="s">
        <v>10</v>
      </c>
      <c r="B7" s="2">
        <f t="shared" si="0"/>
        <v>4.5999999999999996</v>
      </c>
      <c r="C7" s="4" t="s">
        <v>20</v>
      </c>
      <c r="D7" s="1">
        <f>SUM(All!C42:C47)</f>
        <v>1991.0014768827768</v>
      </c>
    </row>
    <row r="8" spans="1:4" x14ac:dyDescent="0.3">
      <c r="A8" s="2" t="s">
        <v>9</v>
      </c>
      <c r="B8" s="2">
        <f t="shared" si="0"/>
        <v>5.6</v>
      </c>
      <c r="C8" s="4" t="s">
        <v>20</v>
      </c>
      <c r="D8" s="1">
        <f>SUM(All!C50:C55)</f>
        <v>1348.0700331416688</v>
      </c>
    </row>
    <row r="9" spans="1:4" x14ac:dyDescent="0.3">
      <c r="A9" s="2" t="s">
        <v>8</v>
      </c>
      <c r="B9" s="2">
        <f t="shared" si="0"/>
        <v>6.6</v>
      </c>
      <c r="C9" s="4" t="s">
        <v>20</v>
      </c>
      <c r="D9" s="1">
        <f>SUM(All!C58:C63)</f>
        <v>2259.4562861375598</v>
      </c>
    </row>
    <row r="10" spans="1:4" x14ac:dyDescent="0.3">
      <c r="A10" s="2" t="s">
        <v>1</v>
      </c>
      <c r="B10" s="2">
        <f t="shared" si="0"/>
        <v>7.6</v>
      </c>
      <c r="C10" s="4" t="s">
        <v>20</v>
      </c>
      <c r="D10" s="1">
        <f>SUM(All!C66:C71)</f>
        <v>1328.7168736234744</v>
      </c>
    </row>
    <row r="11" spans="1:4" x14ac:dyDescent="0.3">
      <c r="A11" s="2" t="s">
        <v>25</v>
      </c>
      <c r="B11" s="2">
        <f t="shared" si="0"/>
        <v>8.6</v>
      </c>
      <c r="C11" s="4" t="s">
        <v>20</v>
      </c>
      <c r="D11" s="1">
        <f>SUM(All!C74:C79)</f>
        <v>912.19490649180193</v>
      </c>
    </row>
    <row r="12" spans="1:4" x14ac:dyDescent="0.3">
      <c r="A12" s="2" t="s">
        <v>26</v>
      </c>
      <c r="B12" s="2">
        <f t="shared" si="0"/>
        <v>9.6</v>
      </c>
      <c r="C12" s="4" t="s">
        <v>20</v>
      </c>
      <c r="D12" s="1">
        <f>SUM(All!C82:C87)</f>
        <v>852.72578579242224</v>
      </c>
    </row>
    <row r="13" spans="1:4" x14ac:dyDescent="0.3">
      <c r="A13" s="2" t="s">
        <v>29</v>
      </c>
      <c r="B13" s="2">
        <f t="shared" si="0"/>
        <v>10.6</v>
      </c>
      <c r="C13" s="4" t="s">
        <v>20</v>
      </c>
      <c r="D13" s="1">
        <f>SUM(All!C90:C95)</f>
        <v>1536.3008830289555</v>
      </c>
    </row>
    <row r="14" spans="1:4" x14ac:dyDescent="0.3">
      <c r="A14" s="2" t="s">
        <v>30</v>
      </c>
      <c r="B14" s="2">
        <f t="shared" si="0"/>
        <v>11.6</v>
      </c>
      <c r="C14" s="4" t="s">
        <v>20</v>
      </c>
      <c r="D14" s="1">
        <f>SUM(All!C98:C103)</f>
        <v>1038.3619393962706</v>
      </c>
    </row>
    <row r="15" spans="1:4" x14ac:dyDescent="0.3">
      <c r="A15" s="2" t="s">
        <v>31</v>
      </c>
      <c r="B15" s="2">
        <f t="shared" si="0"/>
        <v>12.6</v>
      </c>
      <c r="C15" s="4" t="s">
        <v>20</v>
      </c>
      <c r="D15" s="1">
        <f>SUM(All!C106:C111)</f>
        <v>1722.2311640231424</v>
      </c>
    </row>
    <row r="16" spans="1:4" x14ac:dyDescent="0.3">
      <c r="A16" s="2" t="s">
        <v>32</v>
      </c>
      <c r="B16" s="2">
        <f t="shared" si="0"/>
        <v>13.6</v>
      </c>
      <c r="C16" s="4" t="s">
        <v>20</v>
      </c>
      <c r="D16" s="1">
        <f>SUM(All!C114:C119)</f>
        <v>1023.6947554804524</v>
      </c>
    </row>
    <row r="17" spans="1:4" x14ac:dyDescent="0.3">
      <c r="A17" s="2" t="s">
        <v>27</v>
      </c>
      <c r="B17" s="2">
        <f t="shared" si="0"/>
        <v>14.6</v>
      </c>
      <c r="C17" s="4" t="s">
        <v>20</v>
      </c>
      <c r="D17" s="1">
        <f>SUM(All!C122:C127)</f>
        <v>1284.3003754020674</v>
      </c>
    </row>
    <row r="18" spans="1:4" x14ac:dyDescent="0.3">
      <c r="A18" s="2" t="s">
        <v>28</v>
      </c>
      <c r="B18" s="2">
        <f t="shared" si="0"/>
        <v>15.6</v>
      </c>
      <c r="C18" s="4" t="s">
        <v>20</v>
      </c>
      <c r="D18" s="1">
        <f>SUM(All!C130:C135)</f>
        <v>1050.8026637729552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83F2-C672-42B2-AC93-94FE3641D7D8}">
  <dimension ref="A1:D18"/>
  <sheetViews>
    <sheetView workbookViewId="0">
      <selection activeCell="B3" sqref="B3"/>
    </sheetView>
  </sheetViews>
  <sheetFormatPr defaultRowHeight="14.4" x14ac:dyDescent="0.3"/>
  <cols>
    <col min="1" max="1" width="20.6640625" bestFit="1" customWidth="1"/>
    <col min="2" max="2" width="11.88671875" bestFit="1" customWidth="1"/>
    <col min="3" max="3" width="10.109375" bestFit="1" customWidth="1"/>
    <col min="4" max="4" width="9.5546875" bestFit="1" customWidth="1"/>
  </cols>
  <sheetData>
    <row r="1" spans="1:4" x14ac:dyDescent="0.3">
      <c r="A1" s="2" t="s">
        <v>18</v>
      </c>
      <c r="B1" s="2" t="s">
        <v>19</v>
      </c>
      <c r="C1" s="2" t="s">
        <v>17</v>
      </c>
      <c r="D1" s="2" t="s">
        <v>16</v>
      </c>
    </row>
    <row r="2" spans="1:4" x14ac:dyDescent="0.3">
      <c r="A2" s="2" t="s">
        <v>15</v>
      </c>
      <c r="B2" s="2">
        <v>-0.4</v>
      </c>
      <c r="C2" s="2" t="s">
        <v>21</v>
      </c>
      <c r="D2" s="1">
        <f>SUM(All!C8)</f>
        <v>102.97539281856939</v>
      </c>
    </row>
    <row r="3" spans="1:4" x14ac:dyDescent="0.3">
      <c r="A3" s="2" t="s">
        <v>14</v>
      </c>
      <c r="B3" s="2">
        <f>B2+1</f>
        <v>0.6</v>
      </c>
      <c r="C3" s="2" t="s">
        <v>21</v>
      </c>
      <c r="D3" s="1">
        <f>SUM(All!C16)</f>
        <v>203.24861873976243</v>
      </c>
    </row>
    <row r="4" spans="1:4" x14ac:dyDescent="0.3">
      <c r="A4" s="2" t="s">
        <v>13</v>
      </c>
      <c r="B4" s="2">
        <f t="shared" ref="B4:B18" si="0">B3+1</f>
        <v>1.6</v>
      </c>
      <c r="C4" s="2" t="s">
        <v>21</v>
      </c>
      <c r="D4" s="1">
        <f>SUM(All!C24)</f>
        <v>203.24861873976243</v>
      </c>
    </row>
    <row r="5" spans="1:4" x14ac:dyDescent="0.3">
      <c r="A5" s="2" t="s">
        <v>12</v>
      </c>
      <c r="B5" s="2">
        <f t="shared" si="0"/>
        <v>2.6</v>
      </c>
      <c r="C5" s="2" t="s">
        <v>21</v>
      </c>
      <c r="D5" s="1">
        <f>SUM(All!C32)</f>
        <v>203.24861873976243</v>
      </c>
    </row>
    <row r="6" spans="1:4" x14ac:dyDescent="0.3">
      <c r="A6" s="2" t="s">
        <v>11</v>
      </c>
      <c r="B6" s="2">
        <f t="shared" si="0"/>
        <v>3.6</v>
      </c>
      <c r="C6" s="2" t="s">
        <v>21</v>
      </c>
      <c r="D6" s="1">
        <f>SUM(All!C40)</f>
        <v>203.24861873976243</v>
      </c>
    </row>
    <row r="7" spans="1:4" x14ac:dyDescent="0.3">
      <c r="A7" s="2" t="s">
        <v>10</v>
      </c>
      <c r="B7" s="2">
        <f t="shared" si="0"/>
        <v>4.5999999999999996</v>
      </c>
      <c r="C7" s="2" t="s">
        <v>21</v>
      </c>
      <c r="D7" s="1">
        <f>SUM(All!C48)</f>
        <v>203.24861873976243</v>
      </c>
    </row>
    <row r="8" spans="1:4" x14ac:dyDescent="0.3">
      <c r="A8" s="2" t="s">
        <v>9</v>
      </c>
      <c r="B8" s="2">
        <f t="shared" si="0"/>
        <v>5.6</v>
      </c>
      <c r="C8" s="2" t="s">
        <v>21</v>
      </c>
      <c r="D8" s="1">
        <f>SUM(All!C56)</f>
        <v>203.24861873976243</v>
      </c>
    </row>
    <row r="9" spans="1:4" x14ac:dyDescent="0.3">
      <c r="A9" s="2" t="s">
        <v>8</v>
      </c>
      <c r="B9" s="2">
        <f t="shared" si="0"/>
        <v>6.6</v>
      </c>
      <c r="C9" s="2" t="s">
        <v>21</v>
      </c>
      <c r="D9" s="1">
        <f>SUM(All!C64)</f>
        <v>203.24861873976243</v>
      </c>
    </row>
    <row r="10" spans="1:4" x14ac:dyDescent="0.3">
      <c r="A10" s="2" t="s">
        <v>1</v>
      </c>
      <c r="B10" s="2">
        <f t="shared" si="0"/>
        <v>7.6</v>
      </c>
      <c r="C10" s="2" t="s">
        <v>21</v>
      </c>
      <c r="D10" s="1">
        <f>SUM(All!C72)</f>
        <v>203.24861873976243</v>
      </c>
    </row>
    <row r="11" spans="1:4" x14ac:dyDescent="0.3">
      <c r="A11" s="2" t="s">
        <v>25</v>
      </c>
      <c r="B11" s="2">
        <f t="shared" si="0"/>
        <v>8.6</v>
      </c>
      <c r="C11" s="2" t="s">
        <v>21</v>
      </c>
      <c r="D11" s="1">
        <f>SUM(All!C80)</f>
        <v>272.65404071614057</v>
      </c>
    </row>
    <row r="12" spans="1:4" x14ac:dyDescent="0.3">
      <c r="A12" s="2" t="s">
        <v>26</v>
      </c>
      <c r="B12" s="2">
        <f t="shared" si="0"/>
        <v>9.6</v>
      </c>
      <c r="C12" s="2" t="s">
        <v>21</v>
      </c>
      <c r="D12" s="1">
        <f>SUM(All!C88)</f>
        <v>272.65404071614057</v>
      </c>
    </row>
    <row r="13" spans="1:4" x14ac:dyDescent="0.3">
      <c r="A13" s="2" t="s">
        <v>29</v>
      </c>
      <c r="B13" s="2">
        <f t="shared" si="0"/>
        <v>10.6</v>
      </c>
      <c r="C13" s="2" t="s">
        <v>21</v>
      </c>
      <c r="D13" s="1">
        <f>SUM(All!C96)</f>
        <v>272.65404071614057</v>
      </c>
    </row>
    <row r="14" spans="1:4" x14ac:dyDescent="0.3">
      <c r="A14" s="2" t="s">
        <v>30</v>
      </c>
      <c r="B14" s="2">
        <f t="shared" si="0"/>
        <v>11.6</v>
      </c>
      <c r="C14" s="2" t="s">
        <v>21</v>
      </c>
      <c r="D14" s="1">
        <f>SUM(All!C104)</f>
        <v>272.65404071614057</v>
      </c>
    </row>
    <row r="15" spans="1:4" x14ac:dyDescent="0.3">
      <c r="A15" s="2" t="s">
        <v>31</v>
      </c>
      <c r="B15" s="2">
        <f t="shared" si="0"/>
        <v>12.6</v>
      </c>
      <c r="C15" s="2" t="s">
        <v>21</v>
      </c>
      <c r="D15" s="1">
        <f>SUM(All!C112)</f>
        <v>272.65404071614057</v>
      </c>
    </row>
    <row r="16" spans="1:4" x14ac:dyDescent="0.3">
      <c r="A16" s="2" t="s">
        <v>32</v>
      </c>
      <c r="B16" s="2">
        <f t="shared" si="0"/>
        <v>13.6</v>
      </c>
      <c r="C16" s="2" t="s">
        <v>21</v>
      </c>
      <c r="D16" s="1">
        <f>SUM(All!C120)</f>
        <v>272.65404071614057</v>
      </c>
    </row>
    <row r="17" spans="1:4" x14ac:dyDescent="0.3">
      <c r="A17" s="2" t="s">
        <v>27</v>
      </c>
      <c r="B17" s="2">
        <f t="shared" si="0"/>
        <v>14.6</v>
      </c>
      <c r="C17" s="2" t="s">
        <v>21</v>
      </c>
      <c r="D17" s="1">
        <f>SUM(All!C128)</f>
        <v>272.65404071614057</v>
      </c>
    </row>
    <row r="18" spans="1:4" x14ac:dyDescent="0.3">
      <c r="A18" s="2" t="s">
        <v>28</v>
      </c>
      <c r="B18" s="2">
        <f t="shared" si="0"/>
        <v>15.6</v>
      </c>
      <c r="C18" s="2" t="s">
        <v>21</v>
      </c>
      <c r="D18" s="1">
        <f>SUM(All!C136)</f>
        <v>272.65404071614057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E40A-6EDE-49A3-BABA-7435988BA1AD}">
  <dimension ref="A1:D18"/>
  <sheetViews>
    <sheetView workbookViewId="0">
      <selection activeCell="I7" sqref="I7"/>
    </sheetView>
  </sheetViews>
  <sheetFormatPr defaultRowHeight="14.4" x14ac:dyDescent="0.3"/>
  <cols>
    <col min="1" max="1" width="20.6640625" bestFit="1" customWidth="1"/>
    <col min="2" max="2" width="11.88671875" bestFit="1" customWidth="1"/>
    <col min="3" max="3" width="10.109375" bestFit="1" customWidth="1"/>
    <col min="4" max="4" width="9.5546875" bestFit="1" customWidth="1"/>
  </cols>
  <sheetData>
    <row r="1" spans="1:4" x14ac:dyDescent="0.3">
      <c r="A1" s="2" t="s">
        <v>18</v>
      </c>
      <c r="B1" s="2" t="s">
        <v>19</v>
      </c>
      <c r="C1" s="2" t="s">
        <v>17</v>
      </c>
      <c r="D1" s="2" t="s">
        <v>16</v>
      </c>
    </row>
    <row r="2" spans="1:4" x14ac:dyDescent="0.3">
      <c r="A2" s="2" t="s">
        <v>15</v>
      </c>
      <c r="B2" s="2">
        <v>-0.4</v>
      </c>
      <c r="C2" s="2" t="s">
        <v>0</v>
      </c>
      <c r="D2" s="1">
        <f>SUM(All!C9)</f>
        <v>107.39958882913528</v>
      </c>
    </row>
    <row r="3" spans="1:4" x14ac:dyDescent="0.3">
      <c r="A3" s="2" t="s">
        <v>14</v>
      </c>
      <c r="B3" s="2">
        <f>B2+1</f>
        <v>0.6</v>
      </c>
      <c r="C3" s="2" t="s">
        <v>0</v>
      </c>
      <c r="D3" s="1">
        <f>SUM(All!C17)</f>
        <v>196.7806865582607</v>
      </c>
    </row>
    <row r="4" spans="1:4" x14ac:dyDescent="0.3">
      <c r="A4" s="2" t="s">
        <v>13</v>
      </c>
      <c r="B4" s="2">
        <f t="shared" ref="B4:B18" si="0">B3+1</f>
        <v>1.6</v>
      </c>
      <c r="C4" s="2" t="s">
        <v>0</v>
      </c>
      <c r="D4" s="1">
        <f>SUM(All!C25)</f>
        <v>196.7806865582607</v>
      </c>
    </row>
    <row r="5" spans="1:4" x14ac:dyDescent="0.3">
      <c r="A5" s="2" t="s">
        <v>12</v>
      </c>
      <c r="B5" s="2">
        <f t="shared" si="0"/>
        <v>2.6</v>
      </c>
      <c r="C5" s="2" t="s">
        <v>0</v>
      </c>
      <c r="D5" s="1">
        <f>SUM(All!C33)</f>
        <v>196.7806865582607</v>
      </c>
    </row>
    <row r="6" spans="1:4" x14ac:dyDescent="0.3">
      <c r="A6" s="2" t="s">
        <v>11</v>
      </c>
      <c r="B6" s="2">
        <f t="shared" si="0"/>
        <v>3.6</v>
      </c>
      <c r="C6" s="2" t="s">
        <v>0</v>
      </c>
      <c r="D6" s="1">
        <f>SUM(All!C41)</f>
        <v>196.7806865582607</v>
      </c>
    </row>
    <row r="7" spans="1:4" x14ac:dyDescent="0.3">
      <c r="A7" s="2" t="s">
        <v>10</v>
      </c>
      <c r="B7" s="2">
        <f t="shared" si="0"/>
        <v>4.5999999999999996</v>
      </c>
      <c r="C7" s="2" t="s">
        <v>0</v>
      </c>
      <c r="D7" s="1">
        <f>SUM(All!C49)</f>
        <v>196.7806865582607</v>
      </c>
    </row>
    <row r="8" spans="1:4" x14ac:dyDescent="0.3">
      <c r="A8" s="2" t="s">
        <v>9</v>
      </c>
      <c r="B8" s="2">
        <f t="shared" si="0"/>
        <v>5.6</v>
      </c>
      <c r="C8" s="2" t="s">
        <v>0</v>
      </c>
      <c r="D8" s="1">
        <f>SUM(All!C57)</f>
        <v>196.7806865582607</v>
      </c>
    </row>
    <row r="9" spans="1:4" x14ac:dyDescent="0.3">
      <c r="A9" s="2" t="s">
        <v>8</v>
      </c>
      <c r="B9" s="2">
        <f t="shared" si="0"/>
        <v>6.6</v>
      </c>
      <c r="C9" s="2" t="s">
        <v>0</v>
      </c>
      <c r="D9" s="1">
        <f>SUM(All!C65)</f>
        <v>196.7806865582607</v>
      </c>
    </row>
    <row r="10" spans="1:4" x14ac:dyDescent="0.3">
      <c r="A10" s="2" t="s">
        <v>1</v>
      </c>
      <c r="B10" s="2">
        <f t="shared" si="0"/>
        <v>7.6</v>
      </c>
      <c r="C10" s="2" t="s">
        <v>0</v>
      </c>
      <c r="D10" s="1">
        <f>SUM(All!C73)</f>
        <v>196.7806865582607</v>
      </c>
    </row>
    <row r="11" spans="1:4" x14ac:dyDescent="0.3">
      <c r="A11" s="2" t="s">
        <v>25</v>
      </c>
      <c r="B11" s="2">
        <f t="shared" si="0"/>
        <v>8.6</v>
      </c>
      <c r="C11" s="2" t="s">
        <v>0</v>
      </c>
      <c r="D11" s="1">
        <f>SUM(All!C81)</f>
        <v>140.80960219338147</v>
      </c>
    </row>
    <row r="12" spans="1:4" x14ac:dyDescent="0.3">
      <c r="A12" s="2" t="s">
        <v>26</v>
      </c>
      <c r="B12" s="2">
        <f t="shared" si="0"/>
        <v>9.6</v>
      </c>
      <c r="C12" s="2" t="s">
        <v>0</v>
      </c>
      <c r="D12" s="1">
        <f>SUM(All!C89)</f>
        <v>140.80960219338147</v>
      </c>
    </row>
    <row r="13" spans="1:4" x14ac:dyDescent="0.3">
      <c r="A13" s="2" t="s">
        <v>29</v>
      </c>
      <c r="B13" s="2">
        <f t="shared" si="0"/>
        <v>10.6</v>
      </c>
      <c r="C13" s="2" t="s">
        <v>0</v>
      </c>
      <c r="D13" s="1">
        <f>SUM(All!C97)</f>
        <v>140.80960219338147</v>
      </c>
    </row>
    <row r="14" spans="1:4" x14ac:dyDescent="0.3">
      <c r="A14" s="2" t="s">
        <v>30</v>
      </c>
      <c r="B14" s="2">
        <f t="shared" si="0"/>
        <v>11.6</v>
      </c>
      <c r="C14" s="2" t="s">
        <v>0</v>
      </c>
      <c r="D14" s="1">
        <f>SUM(All!C105)</f>
        <v>140.80960219338147</v>
      </c>
    </row>
    <row r="15" spans="1:4" x14ac:dyDescent="0.3">
      <c r="A15" s="2" t="s">
        <v>31</v>
      </c>
      <c r="B15" s="2">
        <f t="shared" si="0"/>
        <v>12.6</v>
      </c>
      <c r="C15" s="2" t="s">
        <v>0</v>
      </c>
      <c r="D15" s="1">
        <f>SUM(All!C113)</f>
        <v>140.80960219338147</v>
      </c>
    </row>
    <row r="16" spans="1:4" x14ac:dyDescent="0.3">
      <c r="A16" s="2" t="s">
        <v>32</v>
      </c>
      <c r="B16" s="2">
        <f t="shared" si="0"/>
        <v>13.6</v>
      </c>
      <c r="C16" s="2" t="s">
        <v>0</v>
      </c>
      <c r="D16" s="1">
        <f>SUM(All!C121)</f>
        <v>140.80960219338147</v>
      </c>
    </row>
    <row r="17" spans="1:4" x14ac:dyDescent="0.3">
      <c r="A17" s="2" t="s">
        <v>27</v>
      </c>
      <c r="B17" s="2">
        <f t="shared" si="0"/>
        <v>14.6</v>
      </c>
      <c r="C17" s="2" t="s">
        <v>0</v>
      </c>
      <c r="D17" s="1">
        <f>SUM(All!C129)</f>
        <v>140.80960219338147</v>
      </c>
    </row>
    <row r="18" spans="1:4" x14ac:dyDescent="0.3">
      <c r="A18" s="2" t="s">
        <v>28</v>
      </c>
      <c r="B18" s="2">
        <f t="shared" si="0"/>
        <v>15.6</v>
      </c>
      <c r="C18" s="2" t="s">
        <v>0</v>
      </c>
      <c r="D18" s="1">
        <f>SUM(All!C137)</f>
        <v>140.80960219338147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E61C2-3888-49D2-BEB7-BD317C14B046}">
  <dimension ref="A1:H18"/>
  <sheetViews>
    <sheetView tabSelected="1" workbookViewId="0">
      <selection activeCell="G22" sqref="G22"/>
    </sheetView>
  </sheetViews>
  <sheetFormatPr defaultRowHeight="14.4" x14ac:dyDescent="0.3"/>
  <cols>
    <col min="1" max="1" width="20.6640625" bestFit="1" customWidth="1"/>
    <col min="2" max="2" width="11.88671875" bestFit="1" customWidth="1"/>
    <col min="3" max="5" width="9.5546875" bestFit="1" customWidth="1"/>
    <col min="7" max="8" width="9.5546875" bestFit="1" customWidth="1"/>
  </cols>
  <sheetData>
    <row r="1" spans="1:8" x14ac:dyDescent="0.3">
      <c r="A1" s="2" t="s">
        <v>18</v>
      </c>
      <c r="B1" s="2" t="s">
        <v>19</v>
      </c>
      <c r="C1" s="2" t="s">
        <v>22</v>
      </c>
      <c r="D1" s="2" t="s">
        <v>23</v>
      </c>
      <c r="E1" s="2" t="s">
        <v>24</v>
      </c>
    </row>
    <row r="2" spans="1:8" x14ac:dyDescent="0.3">
      <c r="A2" s="2" t="s">
        <v>15</v>
      </c>
      <c r="B2" s="2">
        <v>0</v>
      </c>
      <c r="C2" s="1">
        <f>SUM(All!C2:C9)</f>
        <v>1250.2768241088106</v>
      </c>
      <c r="D2" s="1">
        <v>100.5813507321609</v>
      </c>
      <c r="E2" s="1">
        <v>64.192943983920259</v>
      </c>
      <c r="G2" s="3">
        <f>C2-D2</f>
        <v>1149.6954733766497</v>
      </c>
    </row>
    <row r="3" spans="1:8" x14ac:dyDescent="0.3">
      <c r="A3" s="2" t="s">
        <v>14</v>
      </c>
      <c r="B3" s="2">
        <f>B2+1</f>
        <v>1</v>
      </c>
      <c r="C3" s="1">
        <f>SUM(All!C10:C17)</f>
        <v>1758.0482278564434</v>
      </c>
      <c r="D3" s="1">
        <v>47.585301509077908</v>
      </c>
      <c r="E3" s="1">
        <v>1032.9673879702723</v>
      </c>
      <c r="G3" s="3">
        <f t="shared" ref="G3:G10" si="0">C3-D3</f>
        <v>1710.4629263473655</v>
      </c>
      <c r="H3" s="3"/>
    </row>
    <row r="4" spans="1:8" x14ac:dyDescent="0.3">
      <c r="A4" s="2" t="s">
        <v>13</v>
      </c>
      <c r="B4" s="2">
        <f t="shared" ref="B4:B18" si="1">B3+1</f>
        <v>2</v>
      </c>
      <c r="C4" s="1">
        <f>SUM(All!C18:C25)</f>
        <v>1559.8229060698484</v>
      </c>
      <c r="D4" s="1">
        <v>47.585301509077908</v>
      </c>
      <c r="E4" s="1">
        <v>1032.9673879702723</v>
      </c>
      <c r="G4" s="3">
        <f t="shared" si="0"/>
        <v>1512.2376045607705</v>
      </c>
      <c r="H4" s="3"/>
    </row>
    <row r="5" spans="1:8" x14ac:dyDescent="0.3">
      <c r="A5" s="2" t="s">
        <v>12</v>
      </c>
      <c r="B5" s="2">
        <f t="shared" si="1"/>
        <v>3</v>
      </c>
      <c r="C5" s="1">
        <f>SUM(All!C26:C33)</f>
        <v>1837.9282940155892</v>
      </c>
      <c r="D5" s="1">
        <v>89.286694807893127</v>
      </c>
      <c r="E5" s="1">
        <v>1055.2462145271738</v>
      </c>
      <c r="G5" s="3">
        <f t="shared" si="0"/>
        <v>1748.6415992076961</v>
      </c>
    </row>
    <row r="6" spans="1:8" x14ac:dyDescent="0.3">
      <c r="A6" s="2" t="s">
        <v>11</v>
      </c>
      <c r="B6" s="2">
        <f t="shared" si="1"/>
        <v>4</v>
      </c>
      <c r="C6" s="1">
        <f>SUM(All!C34:C41)</f>
        <v>1555.3455399085649</v>
      </c>
      <c r="D6" s="1">
        <v>89.286694807893127</v>
      </c>
      <c r="E6" s="1">
        <v>1055.2462145271738</v>
      </c>
      <c r="G6" s="3">
        <f t="shared" si="0"/>
        <v>1466.0588451006718</v>
      </c>
    </row>
    <row r="7" spans="1:8" x14ac:dyDescent="0.3">
      <c r="A7" s="2" t="s">
        <v>10</v>
      </c>
      <c r="B7" s="2">
        <f t="shared" si="1"/>
        <v>5</v>
      </c>
      <c r="C7" s="1">
        <f>SUM(All!C42:C49)</f>
        <v>2391.0307821808001</v>
      </c>
      <c r="D7" s="1">
        <v>299.01829230326121</v>
      </c>
      <c r="E7" s="1">
        <v>1787.2663603528226</v>
      </c>
      <c r="G7" s="3">
        <f t="shared" si="0"/>
        <v>2092.0124898775389</v>
      </c>
    </row>
    <row r="8" spans="1:8" x14ac:dyDescent="0.3">
      <c r="A8" s="2" t="s">
        <v>9</v>
      </c>
      <c r="B8" s="2">
        <f t="shared" si="1"/>
        <v>6</v>
      </c>
      <c r="C8" s="1">
        <f>SUM(All!C50:C57)</f>
        <v>1748.0993384396918</v>
      </c>
      <c r="D8" s="1">
        <v>299.01829230326121</v>
      </c>
      <c r="E8" s="1">
        <v>1787.2663603528226</v>
      </c>
      <c r="G8" s="3">
        <f t="shared" si="0"/>
        <v>1449.0810461364306</v>
      </c>
    </row>
    <row r="9" spans="1:8" x14ac:dyDescent="0.3">
      <c r="A9" s="2" t="s">
        <v>8</v>
      </c>
      <c r="B9" s="2">
        <f t="shared" si="1"/>
        <v>7</v>
      </c>
      <c r="C9" s="1">
        <f>SUM(All!C58:C65)</f>
        <v>2659.485591435583</v>
      </c>
      <c r="D9" s="1">
        <v>529.29442869771356</v>
      </c>
      <c r="E9" s="1">
        <v>1620.9704438140861</v>
      </c>
      <c r="G9" s="3">
        <f t="shared" si="0"/>
        <v>2130.1911627378695</v>
      </c>
    </row>
    <row r="10" spans="1:8" x14ac:dyDescent="0.3">
      <c r="A10" s="2" t="s">
        <v>1</v>
      </c>
      <c r="B10" s="2">
        <f t="shared" si="1"/>
        <v>8</v>
      </c>
      <c r="C10" s="1">
        <f>SUM(All!C66:C73)</f>
        <v>1728.7461789214974</v>
      </c>
      <c r="D10" s="1">
        <v>529.29442869771356</v>
      </c>
      <c r="E10" s="1">
        <v>1620.9704438140861</v>
      </c>
      <c r="G10" s="3">
        <f t="shared" si="0"/>
        <v>1199.4517502237838</v>
      </c>
    </row>
    <row r="11" spans="1:8" x14ac:dyDescent="0.3">
      <c r="A11" s="2" t="s">
        <v>25</v>
      </c>
      <c r="B11" s="2">
        <f t="shared" si="1"/>
        <v>9</v>
      </c>
      <c r="C11" s="1">
        <f>SUM(All!C74:C81)</f>
        <v>1325.6585494013239</v>
      </c>
      <c r="D11" s="1">
        <v>28.025336322439216</v>
      </c>
      <c r="E11" s="1">
        <v>122.70296382336664</v>
      </c>
      <c r="G11" s="3">
        <f t="shared" ref="G11:G12" si="2">C11-D11</f>
        <v>1297.6332130788846</v>
      </c>
    </row>
    <row r="12" spans="1:8" x14ac:dyDescent="0.3">
      <c r="A12" s="2" t="s">
        <v>26</v>
      </c>
      <c r="B12" s="2">
        <f t="shared" si="1"/>
        <v>10</v>
      </c>
      <c r="C12" s="1">
        <f>SUM(All!C82:C89)</f>
        <v>1266.1894287019445</v>
      </c>
      <c r="D12" s="1">
        <v>28.025336322439216</v>
      </c>
      <c r="E12" s="1">
        <v>122.70296382336664</v>
      </c>
      <c r="G12" s="3">
        <f t="shared" si="2"/>
        <v>1238.1640923795053</v>
      </c>
    </row>
    <row r="13" spans="1:8" x14ac:dyDescent="0.3">
      <c r="A13" s="2" t="s">
        <v>29</v>
      </c>
      <c r="B13" s="2">
        <f t="shared" si="1"/>
        <v>11</v>
      </c>
      <c r="C13" s="1">
        <f>SUM(All!C90:C97)</f>
        <v>1949.7645259384776</v>
      </c>
      <c r="D13" s="1">
        <v>275.93237764802234</v>
      </c>
      <c r="E13" s="1">
        <v>866.42408780011374</v>
      </c>
      <c r="G13" s="3">
        <f t="shared" ref="G13:G17" si="3">C13-D13</f>
        <v>1673.8321482904553</v>
      </c>
    </row>
    <row r="14" spans="1:8" x14ac:dyDescent="0.3">
      <c r="A14" s="2" t="s">
        <v>30</v>
      </c>
      <c r="B14" s="2">
        <f t="shared" si="1"/>
        <v>12</v>
      </c>
      <c r="C14" s="1">
        <f>SUM(All!C98:C105)</f>
        <v>1451.8255823057925</v>
      </c>
      <c r="D14" s="1">
        <v>275.93237764802234</v>
      </c>
      <c r="E14" s="1">
        <v>866.42408780011374</v>
      </c>
      <c r="G14" s="3">
        <f t="shared" si="3"/>
        <v>1175.8932046577702</v>
      </c>
    </row>
    <row r="15" spans="1:8" x14ac:dyDescent="0.3">
      <c r="A15" s="2" t="s">
        <v>31</v>
      </c>
      <c r="B15" s="2">
        <f t="shared" si="1"/>
        <v>13</v>
      </c>
      <c r="C15" s="1">
        <f>SUM(All!C106:C113)</f>
        <v>2135.6948069326645</v>
      </c>
      <c r="D15" s="1">
        <v>461.86265864220923</v>
      </c>
      <c r="E15" s="1">
        <v>680.49380680592685</v>
      </c>
      <c r="G15" s="3">
        <f t="shared" si="3"/>
        <v>1673.8321482904553</v>
      </c>
    </row>
    <row r="16" spans="1:8" x14ac:dyDescent="0.3">
      <c r="A16" s="2" t="s">
        <v>32</v>
      </c>
      <c r="B16" s="2">
        <f t="shared" si="1"/>
        <v>14</v>
      </c>
      <c r="C16" s="1">
        <f>SUM(All!C114:C121)</f>
        <v>1437.1583983899745</v>
      </c>
      <c r="D16" s="1">
        <v>461.86265864220923</v>
      </c>
      <c r="E16" s="1">
        <v>680.49380680592685</v>
      </c>
      <c r="G16" s="3">
        <f t="shared" si="3"/>
        <v>975.29573974776531</v>
      </c>
    </row>
    <row r="17" spans="1:7" x14ac:dyDescent="0.3">
      <c r="A17" s="2" t="s">
        <v>27</v>
      </c>
      <c r="B17" s="2">
        <f t="shared" si="1"/>
        <v>15</v>
      </c>
      <c r="C17" s="1">
        <f>SUM(All!C122:C129)</f>
        <v>1697.7640183115896</v>
      </c>
      <c r="D17" s="2">
        <v>129.09818699799143</v>
      </c>
      <c r="E17" s="2">
        <v>456.07745817214482</v>
      </c>
      <c r="G17" s="3">
        <f t="shared" si="3"/>
        <v>1568.6658313135981</v>
      </c>
    </row>
    <row r="18" spans="1:7" x14ac:dyDescent="0.3">
      <c r="A18" s="2" t="s">
        <v>28</v>
      </c>
      <c r="B18" s="2">
        <f t="shared" si="1"/>
        <v>16</v>
      </c>
      <c r="C18" s="1">
        <f>SUM(All!C130:C137)</f>
        <v>1464.2663066824771</v>
      </c>
      <c r="D18" s="2">
        <v>129.09818699799143</v>
      </c>
      <c r="E18" s="2">
        <v>456.07745817214482</v>
      </c>
      <c r="G18" s="3">
        <f t="shared" ref="G18" si="4">C18-D18</f>
        <v>1335.1681196844856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Feedstock cummulative</vt:lpstr>
      <vt:lpstr>OPEX cummulative</vt:lpstr>
      <vt:lpstr>CAPEX cummulative</vt:lpstr>
      <vt:lpstr>Total and error bars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2022-08-01T12:47:59Z</dcterms:created>
  <dcterms:modified xsi:type="dcterms:W3CDTF">2022-09-13T07:12:03Z</dcterms:modified>
</cp:coreProperties>
</file>