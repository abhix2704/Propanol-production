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mass to 1-propanol\"/>
    </mc:Choice>
  </mc:AlternateContent>
  <xr:revisionPtr revIDLastSave="0" documentId="13_ncr:1_{B538F068-1624-46F9-B23D-2986BA27A28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3" i="1"/>
  <c r="C9" i="1" l="1"/>
  <c r="C12" i="2" l="1"/>
  <c r="D5" i="1"/>
  <c r="D6" i="1"/>
  <c r="D7" i="1"/>
  <c r="D8" i="1"/>
  <c r="I5" i="3" l="1"/>
  <c r="I4" i="3"/>
  <c r="I3" i="3"/>
  <c r="D9" i="1"/>
  <c r="E9" i="1" s="1"/>
  <c r="D10" i="2"/>
  <c r="D9" i="2"/>
  <c r="I6" i="3" l="1"/>
  <c r="G16" i="3"/>
  <c r="G15" i="3"/>
  <c r="C6" i="3" s="1"/>
  <c r="J5" i="3" s="1"/>
  <c r="C7" i="3" l="1"/>
  <c r="D7" i="3" s="1"/>
  <c r="E7" i="3" s="1"/>
  <c r="D6" i="3"/>
  <c r="D6" i="2"/>
  <c r="D5" i="2"/>
  <c r="D4" i="2"/>
  <c r="D3" i="2"/>
  <c r="G11" i="3"/>
  <c r="G12" i="3"/>
  <c r="G13" i="3"/>
  <c r="C4" i="3" s="1"/>
  <c r="D4" i="3" s="1"/>
  <c r="C3" i="3" l="1"/>
  <c r="D3" i="3" s="1"/>
  <c r="C2" i="3"/>
  <c r="I10" i="3" s="1"/>
  <c r="D2" i="3" l="1"/>
  <c r="J4" i="3"/>
  <c r="G14" i="3"/>
  <c r="C5" i="3" s="1"/>
  <c r="D5" i="3" s="1"/>
  <c r="J3" i="3" l="1"/>
  <c r="J6" i="3" s="1"/>
  <c r="D11" i="2"/>
  <c r="D8" i="2"/>
  <c r="D7" i="2"/>
  <c r="D12" i="1"/>
  <c r="D11" i="1"/>
  <c r="D10" i="1"/>
  <c r="D4" i="1"/>
  <c r="E4" i="1" s="1"/>
  <c r="D12" i="2" l="1"/>
</calcChain>
</file>

<file path=xl/sharedStrings.xml><?xml version="1.0" encoding="utf-8"?>
<sst xmlns="http://schemas.openxmlformats.org/spreadsheetml/2006/main" count="89" uniqueCount="64">
  <si>
    <t>Component</t>
  </si>
  <si>
    <t>Type</t>
  </si>
  <si>
    <t>Mass flow (kg/hr)</t>
  </si>
  <si>
    <t>Hydrogen</t>
  </si>
  <si>
    <t>kWh</t>
  </si>
  <si>
    <t>Block</t>
  </si>
  <si>
    <t>Compressor</t>
  </si>
  <si>
    <t>K-101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</si>
  <si>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</si>
  <si>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</si>
  <si>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</si>
  <si>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</si>
  <si>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</si>
  <si>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</si>
  <si>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</si>
  <si>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</si>
  <si>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</si>
  <si>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LP Steam Generation</t>
  </si>
  <si>
    <t>MP Steam Generation</t>
  </si>
  <si>
    <t>K-102</t>
  </si>
  <si>
    <t>K-103</t>
  </si>
  <si>
    <t>K-104</t>
  </si>
  <si>
    <t>K-105</t>
  </si>
  <si>
    <t>Ethylene</t>
  </si>
  <si>
    <t>Product</t>
  </si>
  <si>
    <t>Waste water</t>
  </si>
  <si>
    <t>Emissions</t>
  </si>
  <si>
    <t>P-100</t>
  </si>
  <si>
    <t>Pump</t>
  </si>
  <si>
    <t>Data used for calculating the mass flow rate taken from Aspen Energy Analyzer</t>
  </si>
  <si>
    <t>Target load (kJ/h)</t>
  </si>
  <si>
    <t>Target flow rate (kg/h)</t>
  </si>
  <si>
    <t>Flow rate (kg/h)</t>
  </si>
  <si>
    <t>K-106</t>
  </si>
  <si>
    <t>K-107</t>
  </si>
  <si>
    <t>LP Steam</t>
  </si>
  <si>
    <t>HP Steam</t>
  </si>
  <si>
    <t>LP steam</t>
  </si>
  <si>
    <t>MP steam</t>
  </si>
  <si>
    <t>Net (kJ/h)</t>
  </si>
  <si>
    <t>HP steam</t>
  </si>
  <si>
    <t>Net (kg/h)</t>
  </si>
  <si>
    <t>Purge gas</t>
  </si>
  <si>
    <t>kg/kg propanol</t>
  </si>
  <si>
    <t>Water</t>
  </si>
  <si>
    <t>Cooling Water</t>
  </si>
  <si>
    <t>Fired Heat - Natural Gas</t>
  </si>
  <si>
    <t>Methane</t>
  </si>
  <si>
    <t>Oxygen</t>
  </si>
  <si>
    <t>CO</t>
  </si>
  <si>
    <t>CO2</t>
  </si>
  <si>
    <t>Ethane</t>
  </si>
  <si>
    <t>H2O</t>
  </si>
  <si>
    <t>Nitrogen</t>
  </si>
  <si>
    <t>Methanol</t>
  </si>
  <si>
    <t>Methanol (99.8 wt %)</t>
  </si>
  <si>
    <t>Final product: Methanol (99.5 wt%)</t>
  </si>
  <si>
    <t>Flow /kg methanol</t>
  </si>
  <si>
    <t>kWh/kg methanol</t>
  </si>
  <si>
    <t>Biomass</t>
  </si>
  <si>
    <t>Carbon</t>
  </si>
  <si>
    <t>S_Rhombic</t>
  </si>
  <si>
    <t>Cl2</t>
  </si>
  <si>
    <t>Solid wastes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</si>
</sst>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0" fillId="0" borderId="1" xfId="0" applyBorder="1"/>
    <xf numFmtId="2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30" zoomScaleNormal="130" workbookViewId="0">
      <selection activeCell="C12" sqref="C12"/>
    </sheetView>
  </sheetViews>
  <sheetFormatPr defaultColWidth="9" defaultRowHeight="14.4" x14ac:dyDescent="0.3"/>
  <cols>
    <col min="1" max="1" width="33.88671875" style="1" bestFit="1" customWidth="1"/>
    <col min="2" max="2" width="21.109375" style="1" bestFit="1" customWidth="1"/>
    <col min="3" max="4" width="16.6640625" style="1" bestFit="1" customWidth="1"/>
    <col min="5" max="5" width="17" style="1" bestFit="1" customWidth="1"/>
    <col min="6" max="6" width="10.109375" style="1" bestFit="1" customWidth="1"/>
    <col min="7" max="7" width="10.5546875" style="1" bestFit="1" customWidth="1"/>
    <col min="8" max="8" width="6.5546875" style="1" bestFit="1" customWidth="1"/>
    <col min="9" max="16384" width="9" style="1"/>
  </cols>
  <sheetData>
    <row r="1" spans="1:8" x14ac:dyDescent="0.3">
      <c r="A1" s="2" t="s">
        <v>56</v>
      </c>
    </row>
    <row r="2" spans="1:8" x14ac:dyDescent="0.3">
      <c r="A2" s="2"/>
    </row>
    <row r="3" spans="1:8" x14ac:dyDescent="0.3">
      <c r="A3" s="6" t="s">
        <v>0</v>
      </c>
      <c r="B3" s="6" t="s">
        <v>1</v>
      </c>
      <c r="C3" s="6" t="s">
        <v>2</v>
      </c>
      <c r="D3" s="6" t="s">
        <v>43</v>
      </c>
      <c r="F3" s="1" t="s">
        <v>3</v>
      </c>
      <c r="G3" s="21">
        <v>141.966301106797</v>
      </c>
      <c r="H3" s="21">
        <f>G3/$C$12</f>
        <v>1.7682973430608738E-3</v>
      </c>
    </row>
    <row r="4" spans="1:8" x14ac:dyDescent="0.3">
      <c r="A4" s="3" t="s">
        <v>59</v>
      </c>
      <c r="B4" s="3" t="s">
        <v>16</v>
      </c>
      <c r="C4" s="4">
        <v>117667.59974400001</v>
      </c>
      <c r="D4" s="5">
        <f t="shared" ref="D4:D12" si="0">C4/C$12</f>
        <v>1.465638692911635</v>
      </c>
      <c r="E4" s="21">
        <f>D4/1.2</f>
        <v>1.2213655774263625</v>
      </c>
      <c r="F4" s="1" t="s">
        <v>60</v>
      </c>
      <c r="G4" s="21">
        <v>0</v>
      </c>
      <c r="H4" s="21">
        <f t="shared" ref="H4:H15" si="1">G4/$C$12</f>
        <v>0</v>
      </c>
    </row>
    <row r="5" spans="1:8" x14ac:dyDescent="0.3">
      <c r="A5" s="3" t="s">
        <v>48</v>
      </c>
      <c r="B5" s="3" t="s">
        <v>16</v>
      </c>
      <c r="C5" s="4">
        <v>47067.0398976</v>
      </c>
      <c r="D5" s="5">
        <f t="shared" si="0"/>
        <v>0.58625547716465398</v>
      </c>
      <c r="F5" s="1" t="s">
        <v>48</v>
      </c>
      <c r="G5" s="21">
        <v>3.08403760961095E-9</v>
      </c>
      <c r="H5" s="21">
        <f t="shared" si="1"/>
        <v>3.8414014230548626E-14</v>
      </c>
    </row>
    <row r="6" spans="1:8" x14ac:dyDescent="0.3">
      <c r="A6" s="3" t="s">
        <v>44</v>
      </c>
      <c r="B6" s="3" t="s">
        <v>16</v>
      </c>
      <c r="C6" s="4">
        <v>243105.67200877701</v>
      </c>
      <c r="D6" s="5">
        <f t="shared" si="0"/>
        <v>3.0280644811106292</v>
      </c>
      <c r="F6" s="1" t="s">
        <v>61</v>
      </c>
      <c r="G6" s="21">
        <v>0</v>
      </c>
      <c r="H6" s="21">
        <f t="shared" si="1"/>
        <v>0</v>
      </c>
    </row>
    <row r="7" spans="1:8" x14ac:dyDescent="0.3">
      <c r="A7" s="3" t="s">
        <v>23</v>
      </c>
      <c r="B7" s="3" t="s">
        <v>16</v>
      </c>
      <c r="C7" s="4">
        <v>0</v>
      </c>
      <c r="D7" s="5">
        <f t="shared" si="0"/>
        <v>0</v>
      </c>
      <c r="F7" s="1" t="s">
        <v>53</v>
      </c>
      <c r="G7" s="21">
        <v>244.201972320658</v>
      </c>
      <c r="H7" s="21">
        <f t="shared" si="1"/>
        <v>3.0417197282614134E-3</v>
      </c>
    </row>
    <row r="8" spans="1:8" x14ac:dyDescent="0.3">
      <c r="A8" s="3" t="s">
        <v>3</v>
      </c>
      <c r="B8" s="3" t="s">
        <v>16</v>
      </c>
      <c r="C8" s="4">
        <v>0</v>
      </c>
      <c r="D8" s="5">
        <f t="shared" si="0"/>
        <v>0</v>
      </c>
      <c r="F8" s="1" t="s">
        <v>62</v>
      </c>
      <c r="G8" s="21">
        <v>0</v>
      </c>
      <c r="H8" s="21">
        <f t="shared" si="1"/>
        <v>0</v>
      </c>
    </row>
    <row r="9" spans="1:8" x14ac:dyDescent="0.3">
      <c r="A9" s="3" t="s">
        <v>25</v>
      </c>
      <c r="B9" s="3" t="s">
        <v>26</v>
      </c>
      <c r="C9" s="4">
        <f>151721.397399275+5917.50652499355+1153.72346263281+53811.2676614296</f>
        <v>212603.89504833095</v>
      </c>
      <c r="D9" s="5">
        <f t="shared" si="0"/>
        <v>2.648141846391721</v>
      </c>
      <c r="E9" s="1">
        <f>D9/1000</f>
        <v>2.6481418463917212E-3</v>
      </c>
      <c r="F9" s="1" t="s">
        <v>47</v>
      </c>
      <c r="G9" s="21">
        <v>5.2996237535305399E-2</v>
      </c>
      <c r="H9" s="21">
        <f t="shared" si="1"/>
        <v>6.6010810520030329E-7</v>
      </c>
    </row>
    <row r="10" spans="1:8" x14ac:dyDescent="0.3">
      <c r="A10" s="3" t="s">
        <v>63</v>
      </c>
      <c r="B10" s="3" t="s">
        <v>26</v>
      </c>
      <c r="C10" s="4">
        <v>77.993742860868593</v>
      </c>
      <c r="D10" s="5">
        <f t="shared" si="0"/>
        <v>9.7147088570333846E-4</v>
      </c>
      <c r="F10" s="1" t="s">
        <v>49</v>
      </c>
      <c r="G10" s="21">
        <v>1949.3360702284599</v>
      </c>
      <c r="H10" s="21">
        <f t="shared" si="1"/>
        <v>2.428045083124784E-2</v>
      </c>
    </row>
    <row r="11" spans="1:8" x14ac:dyDescent="0.3">
      <c r="A11" s="3" t="s">
        <v>42</v>
      </c>
      <c r="B11" s="3" t="s">
        <v>26</v>
      </c>
      <c r="C11" s="4">
        <v>12405.3279695376</v>
      </c>
      <c r="D11" s="5">
        <f t="shared" si="0"/>
        <v>0.15451771524166186</v>
      </c>
      <c r="F11" s="1" t="s">
        <v>50</v>
      </c>
      <c r="G11" s="21">
        <v>9145.7036056427605</v>
      </c>
      <c r="H11" s="21">
        <f t="shared" si="1"/>
        <v>0.11391663556912983</v>
      </c>
    </row>
    <row r="12" spans="1:8" x14ac:dyDescent="0.3">
      <c r="A12" s="9" t="s">
        <v>55</v>
      </c>
      <c r="B12" s="9" t="s">
        <v>24</v>
      </c>
      <c r="C12" s="16">
        <v>80284.179390926001</v>
      </c>
      <c r="D12" s="10">
        <f t="shared" si="0"/>
        <v>1</v>
      </c>
      <c r="F12" s="1" t="s">
        <v>23</v>
      </c>
      <c r="G12" s="21">
        <v>9.0229846950608205E-7</v>
      </c>
      <c r="H12" s="21">
        <f t="shared" si="1"/>
        <v>1.1238807899032509E-11</v>
      </c>
    </row>
    <row r="13" spans="1:8" x14ac:dyDescent="0.3">
      <c r="F13" s="1" t="s">
        <v>54</v>
      </c>
      <c r="G13" s="21">
        <v>915.86837425455803</v>
      </c>
      <c r="H13" s="21">
        <f t="shared" si="1"/>
        <v>1.1407831296312319E-2</v>
      </c>
    </row>
    <row r="14" spans="1:8" x14ac:dyDescent="0.3">
      <c r="F14" s="1" t="s">
        <v>51</v>
      </c>
      <c r="G14" s="21">
        <v>1.50911486315455E-9</v>
      </c>
      <c r="H14" s="21">
        <f t="shared" si="1"/>
        <v>1.8797163707761775E-14</v>
      </c>
    </row>
    <row r="15" spans="1:8" x14ac:dyDescent="0.3">
      <c r="F15" s="1" t="s">
        <v>52</v>
      </c>
      <c r="G15" s="21">
        <v>8.1986488399154798</v>
      </c>
      <c r="H15" s="21">
        <f t="shared" si="1"/>
        <v>1.0212035424805151E-4</v>
      </c>
    </row>
    <row r="16" spans="1:8" x14ac:dyDescent="0.3">
      <c r="G16" s="21"/>
      <c r="H16" s="20"/>
    </row>
    <row r="17" spans="7:8" x14ac:dyDescent="0.3">
      <c r="G17" s="22"/>
      <c r="H17" s="20"/>
    </row>
    <row r="18" spans="7:8" x14ac:dyDescent="0.3">
      <c r="H18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2"/>
  <sheetViews>
    <sheetView zoomScale="130" zoomScaleNormal="130" workbookViewId="0">
      <selection activeCell="C12" sqref="C12"/>
    </sheetView>
  </sheetViews>
  <sheetFormatPr defaultRowHeight="14.4" x14ac:dyDescent="0.3"/>
  <cols>
    <col min="1" max="1" width="9.5546875" style="1" bestFit="1" customWidth="1"/>
    <col min="2" max="2" width="15.6640625" style="1" bestFit="1" customWidth="1"/>
    <col min="3" max="3" width="10.5546875" style="1" bestFit="1" customWidth="1"/>
    <col min="4" max="4" width="16.5546875" style="1" bestFit="1" customWidth="1"/>
  </cols>
  <sheetData>
    <row r="2" spans="1:4" x14ac:dyDescent="0.3">
      <c r="A2" s="6" t="s">
        <v>5</v>
      </c>
      <c r="B2" s="6" t="s">
        <v>1</v>
      </c>
      <c r="C2" s="6" t="s">
        <v>4</v>
      </c>
      <c r="D2" s="6" t="s">
        <v>58</v>
      </c>
    </row>
    <row r="3" spans="1:4" x14ac:dyDescent="0.3">
      <c r="A3" s="3" t="s">
        <v>8</v>
      </c>
      <c r="B3" s="3" t="s">
        <v>6</v>
      </c>
      <c r="C3" s="5">
        <v>130.39968740346899</v>
      </c>
      <c r="D3" s="5">
        <f>C3/'Material streams'!C$12</f>
        <v>1.6242264465146569E-3</v>
      </c>
    </row>
    <row r="4" spans="1:4" x14ac:dyDescent="0.3">
      <c r="A4" s="3" t="s">
        <v>7</v>
      </c>
      <c r="B4" s="3" t="s">
        <v>6</v>
      </c>
      <c r="C4" s="5">
        <v>26505.838120100299</v>
      </c>
      <c r="D4" s="5">
        <f>C4/'Material streams'!C$12</f>
        <v>0.33015020295637576</v>
      </c>
    </row>
    <row r="5" spans="1:4" x14ac:dyDescent="0.3">
      <c r="A5" s="3" t="s">
        <v>19</v>
      </c>
      <c r="B5" s="3" t="s">
        <v>6</v>
      </c>
      <c r="C5" s="5">
        <v>25988.112877735399</v>
      </c>
      <c r="D5" s="5">
        <f>C5/'Material streams'!C$12</f>
        <v>0.3237015446242783</v>
      </c>
    </row>
    <row r="6" spans="1:4" x14ac:dyDescent="0.3">
      <c r="A6" s="3" t="s">
        <v>20</v>
      </c>
      <c r="B6" s="3" t="s">
        <v>6</v>
      </c>
      <c r="C6" s="5">
        <v>8409.7186062164801</v>
      </c>
      <c r="D6" s="5">
        <f>C6/'Material streams'!C$12</f>
        <v>0.10474938736394403</v>
      </c>
    </row>
    <row r="7" spans="1:4" x14ac:dyDescent="0.3">
      <c r="A7" s="3" t="s">
        <v>21</v>
      </c>
      <c r="B7" s="3" t="s">
        <v>6</v>
      </c>
      <c r="C7" s="5">
        <v>4986.4442109540096</v>
      </c>
      <c r="D7" s="5">
        <f>C7/'Material streams'!C$12</f>
        <v>6.2109923135336857E-2</v>
      </c>
    </row>
    <row r="8" spans="1:4" x14ac:dyDescent="0.3">
      <c r="A8" s="3" t="s">
        <v>22</v>
      </c>
      <c r="B8" s="3" t="s">
        <v>6</v>
      </c>
      <c r="C8" s="5">
        <v>961.60568075870799</v>
      </c>
      <c r="D8" s="5">
        <f>C8/'Material streams'!C$12</f>
        <v>1.1977523941253511E-2</v>
      </c>
    </row>
    <row r="9" spans="1:4" x14ac:dyDescent="0.3">
      <c r="A9" s="3" t="s">
        <v>33</v>
      </c>
      <c r="B9" s="3" t="s">
        <v>6</v>
      </c>
      <c r="C9" s="5">
        <v>1022.72214324213</v>
      </c>
      <c r="D9" s="5">
        <f>C9/'Material streams'!C$12</f>
        <v>1.2738775571986747E-2</v>
      </c>
    </row>
    <row r="10" spans="1:4" x14ac:dyDescent="0.3">
      <c r="A10" s="3" t="s">
        <v>34</v>
      </c>
      <c r="B10" s="3" t="s">
        <v>6</v>
      </c>
      <c r="C10" s="5">
        <v>121.266625615186</v>
      </c>
      <c r="D10" s="5">
        <f>C10/'Material streams'!C$12</f>
        <v>1.5104672743144708E-3</v>
      </c>
    </row>
    <row r="11" spans="1:4" x14ac:dyDescent="0.3">
      <c r="A11" s="3" t="s">
        <v>27</v>
      </c>
      <c r="B11" s="3" t="s">
        <v>28</v>
      </c>
      <c r="C11" s="5">
        <v>0.89383427677554295</v>
      </c>
      <c r="D11" s="5">
        <f>C11/'Material streams'!C$12</f>
        <v>1.1133379995368891E-5</v>
      </c>
    </row>
    <row r="12" spans="1:4" x14ac:dyDescent="0.3">
      <c r="A12" s="3"/>
      <c r="B12" s="12" t="s">
        <v>9</v>
      </c>
      <c r="C12" s="15">
        <f>SUM(C3:C11)</f>
        <v>68127.001786302455</v>
      </c>
      <c r="D12" s="14">
        <f>SUM(D3:D11)</f>
        <v>0.84857318469399967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="140" zoomScaleNormal="140" workbookViewId="0">
      <selection activeCell="I10" sqref="I10"/>
    </sheetView>
  </sheetViews>
  <sheetFormatPr defaultRowHeight="14.4" x14ac:dyDescent="0.3"/>
  <cols>
    <col min="1" max="1" width="32.5546875" customWidth="1"/>
    <col min="2" max="2" width="17.109375" bestFit="1" customWidth="1"/>
    <col min="3" max="3" width="20.33203125" customWidth="1"/>
    <col min="4" max="4" width="20" bestFit="1" customWidth="1"/>
    <col min="5" max="5" width="7.6640625" bestFit="1" customWidth="1"/>
    <col min="6" max="6" width="5" bestFit="1" customWidth="1"/>
    <col min="7" max="7" width="5.33203125" bestFit="1" customWidth="1"/>
    <col min="8" max="8" width="12.109375" bestFit="1" customWidth="1"/>
    <col min="9" max="9" width="14.5546875" bestFit="1" customWidth="1"/>
    <col min="10" max="10" width="10.33203125" bestFit="1" customWidth="1"/>
  </cols>
  <sheetData>
    <row r="1" spans="1:10" x14ac:dyDescent="0.3">
      <c r="A1" s="13" t="s">
        <v>10</v>
      </c>
      <c r="B1" s="13" t="s">
        <v>11</v>
      </c>
      <c r="C1" s="13" t="s">
        <v>32</v>
      </c>
      <c r="D1" s="8" t="s">
        <v>57</v>
      </c>
    </row>
    <row r="2" spans="1:10" x14ac:dyDescent="0.3">
      <c r="A2" s="3" t="s">
        <v>45</v>
      </c>
      <c r="B2" s="4">
        <v>1604253880.1831901</v>
      </c>
      <c r="C2" s="4">
        <f>B2/D11/G11</f>
        <v>76703508.495490804</v>
      </c>
      <c r="D2" s="5">
        <f>C2/'Material streams'!C$12</f>
        <v>955.4000436624018</v>
      </c>
      <c r="H2" s="18"/>
      <c r="I2" s="3" t="s">
        <v>39</v>
      </c>
      <c r="J2" s="18" t="s">
        <v>41</v>
      </c>
    </row>
    <row r="3" spans="1:10" x14ac:dyDescent="0.3">
      <c r="A3" s="9" t="s">
        <v>18</v>
      </c>
      <c r="B3" s="16">
        <v>0</v>
      </c>
      <c r="C3" s="16">
        <f t="shared" ref="C3:C5" si="0">B3/D12/G12</f>
        <v>0</v>
      </c>
      <c r="D3" s="10">
        <f>C3/'Material streams'!C$12</f>
        <v>0</v>
      </c>
      <c r="E3" s="17"/>
      <c r="H3" s="3" t="s">
        <v>37</v>
      </c>
      <c r="I3" s="4">
        <f>B5-B4</f>
        <v>0</v>
      </c>
      <c r="J3" s="4">
        <f>C5-C4</f>
        <v>0</v>
      </c>
    </row>
    <row r="4" spans="1:10" x14ac:dyDescent="0.3">
      <c r="A4" s="9" t="s">
        <v>17</v>
      </c>
      <c r="B4" s="16">
        <v>0</v>
      </c>
      <c r="C4" s="16">
        <f t="shared" si="0"/>
        <v>0</v>
      </c>
      <c r="D4" s="10">
        <f>C4/'Material streams'!C$12</f>
        <v>0</v>
      </c>
      <c r="E4" s="17"/>
      <c r="H4" s="3" t="s">
        <v>38</v>
      </c>
      <c r="I4" s="4">
        <f>-B3</f>
        <v>0</v>
      </c>
      <c r="J4" s="4">
        <f>-C3</f>
        <v>0</v>
      </c>
    </row>
    <row r="5" spans="1:10" x14ac:dyDescent="0.3">
      <c r="A5" s="9" t="s">
        <v>35</v>
      </c>
      <c r="B5" s="16">
        <v>0</v>
      </c>
      <c r="C5" s="16">
        <f t="shared" si="0"/>
        <v>0</v>
      </c>
      <c r="D5" s="10">
        <f>C5/'Material streams'!C$12</f>
        <v>0</v>
      </c>
      <c r="H5" s="3" t="s">
        <v>40</v>
      </c>
      <c r="I5" s="4">
        <f>B6</f>
        <v>0</v>
      </c>
      <c r="J5" s="4">
        <f>C6</f>
        <v>0</v>
      </c>
    </row>
    <row r="6" spans="1:10" x14ac:dyDescent="0.3">
      <c r="A6" s="9" t="s">
        <v>36</v>
      </c>
      <c r="B6" s="16">
        <v>0</v>
      </c>
      <c r="C6" s="16">
        <f>B6/D15/G15</f>
        <v>0</v>
      </c>
      <c r="D6" s="10">
        <f>C6/'Material streams'!C$12</f>
        <v>0</v>
      </c>
      <c r="E6" s="17"/>
      <c r="H6" s="6" t="s">
        <v>9</v>
      </c>
      <c r="I6" s="15">
        <f>SUM(I3:I5)</f>
        <v>0</v>
      </c>
      <c r="J6" s="15">
        <f>SUM(J3:J5)</f>
        <v>0</v>
      </c>
    </row>
    <row r="7" spans="1:10" x14ac:dyDescent="0.3">
      <c r="A7" s="9" t="s">
        <v>46</v>
      </c>
      <c r="B7" s="16">
        <v>0</v>
      </c>
      <c r="C7" s="16">
        <f>B7/D16/G16</f>
        <v>0</v>
      </c>
      <c r="D7" s="10">
        <f>C7/'Material streams'!C$12</f>
        <v>0</v>
      </c>
      <c r="E7">
        <f>D7/0.68</f>
        <v>0</v>
      </c>
    </row>
    <row r="9" spans="1:10" x14ac:dyDescent="0.3">
      <c r="A9" s="7" t="s">
        <v>29</v>
      </c>
    </row>
    <row r="10" spans="1:10" ht="15.6" x14ac:dyDescent="0.35">
      <c r="A10" s="6" t="s">
        <v>10</v>
      </c>
      <c r="B10" s="6" t="s">
        <v>30</v>
      </c>
      <c r="C10" s="6" t="s">
        <v>31</v>
      </c>
      <c r="D10" s="6" t="s">
        <v>12</v>
      </c>
      <c r="E10" s="6" t="s">
        <v>14</v>
      </c>
      <c r="F10" s="6" t="s">
        <v>15</v>
      </c>
      <c r="G10" s="6" t="s">
        <v>13</v>
      </c>
      <c r="I10" s="19">
        <f>C2+'Material streams'!C6</f>
        <v>76946614.167499587</v>
      </c>
    </row>
    <row r="11" spans="1:10" x14ac:dyDescent="0.3">
      <c r="A11" s="3" t="s">
        <v>45</v>
      </c>
      <c r="B11" s="4">
        <v>1604253880.1831901</v>
      </c>
      <c r="C11" s="4">
        <v>76703508.495490894</v>
      </c>
      <c r="D11" s="3">
        <v>4.1829999999999998</v>
      </c>
      <c r="E11" s="3">
        <v>15</v>
      </c>
      <c r="F11" s="3">
        <v>20</v>
      </c>
      <c r="G11" s="3">
        <f t="shared" ref="G11:G16" si="1">F11-E11</f>
        <v>5</v>
      </c>
    </row>
    <row r="12" spans="1:10" x14ac:dyDescent="0.3">
      <c r="A12" s="9" t="s">
        <v>18</v>
      </c>
      <c r="B12" s="16">
        <v>0</v>
      </c>
      <c r="C12" s="16">
        <v>0</v>
      </c>
      <c r="D12" s="9">
        <v>1</v>
      </c>
      <c r="E12" s="9">
        <v>0</v>
      </c>
      <c r="F12" s="9">
        <v>1</v>
      </c>
      <c r="G12" s="9">
        <f t="shared" si="1"/>
        <v>1</v>
      </c>
    </row>
    <row r="13" spans="1:10" x14ac:dyDescent="0.3">
      <c r="A13" s="9" t="s">
        <v>17</v>
      </c>
      <c r="B13" s="16">
        <v>0</v>
      </c>
      <c r="C13" s="16">
        <v>0</v>
      </c>
      <c r="D13" s="9">
        <v>1</v>
      </c>
      <c r="E13" s="9">
        <v>0</v>
      </c>
      <c r="F13" s="9">
        <v>1</v>
      </c>
      <c r="G13" s="9">
        <f t="shared" si="1"/>
        <v>1</v>
      </c>
    </row>
    <row r="14" spans="1:10" x14ac:dyDescent="0.3">
      <c r="A14" s="9" t="s">
        <v>35</v>
      </c>
      <c r="B14" s="16">
        <v>0</v>
      </c>
      <c r="C14" s="16">
        <v>0</v>
      </c>
      <c r="D14" s="9">
        <v>1</v>
      </c>
      <c r="E14" s="9">
        <v>0</v>
      </c>
      <c r="F14" s="9">
        <v>1</v>
      </c>
      <c r="G14" s="9">
        <f t="shared" si="1"/>
        <v>1</v>
      </c>
    </row>
    <row r="15" spans="1:10" x14ac:dyDescent="0.3">
      <c r="A15" s="3" t="s">
        <v>36</v>
      </c>
      <c r="B15" s="4">
        <v>0</v>
      </c>
      <c r="C15" s="4">
        <v>0</v>
      </c>
      <c r="D15" s="3">
        <v>1</v>
      </c>
      <c r="E15" s="3">
        <v>0</v>
      </c>
      <c r="F15" s="3">
        <v>1</v>
      </c>
      <c r="G15" s="3">
        <f t="shared" si="1"/>
        <v>1</v>
      </c>
    </row>
    <row r="16" spans="1:10" x14ac:dyDescent="0.3">
      <c r="A16" s="3" t="s">
        <v>46</v>
      </c>
      <c r="B16" s="4">
        <v>0</v>
      </c>
      <c r="C16" s="4">
        <v>0</v>
      </c>
      <c r="D16" s="3">
        <v>1</v>
      </c>
      <c r="E16" s="3">
        <v>0</v>
      </c>
      <c r="F16" s="3">
        <v>1</v>
      </c>
      <c r="G16" s="3">
        <f t="shared" si="1"/>
        <v>1</v>
      </c>
      <c r="I16" s="19"/>
    </row>
    <row r="17" spans="5:5" x14ac:dyDescent="0.3">
      <c r="E17" s="11"/>
    </row>
    <row r="18" spans="5:5" x14ac:dyDescent="0.3">
      <c r="E18" s="11"/>
    </row>
    <row r="19" spans="5:5" x14ac:dyDescent="0.3">
      <c r="E19" s="11"/>
    </row>
    <row r="20" spans="5:5" x14ac:dyDescent="0.3">
      <c r="E20" s="11"/>
    </row>
    <row r="21" spans="5:5" x14ac:dyDescent="0.3">
      <c r="E21" s="11"/>
    </row>
    <row r="22" spans="5:5" x14ac:dyDescent="0.3">
      <c r="E22" s="11"/>
    </row>
    <row r="23" spans="5:5" x14ac:dyDescent="0.3">
      <c r="E23" s="11"/>
    </row>
    <row r="24" spans="5:5" x14ac:dyDescent="0.3">
      <c r="E24" s="11"/>
    </row>
    <row r="25" spans="5:5" x14ac:dyDescent="0.3">
      <c r="E25" s="11"/>
    </row>
    <row r="26" spans="5:5" x14ac:dyDescent="0.3">
      <c r="E26" s="11"/>
    </row>
  </sheetData>
  <conditionalFormatting sqref="I6 J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2022-09-08T15:17:26Z</dcterms:modified>
</cp:coreProperties>
</file>