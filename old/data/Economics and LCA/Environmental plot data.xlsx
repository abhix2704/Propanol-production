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Carbon dioxide to 1-propanol\Data\Economics and LCA\"/>
    </mc:Choice>
  </mc:AlternateContent>
  <xr:revisionPtr revIDLastSave="0" documentId="13_ncr:1_{6F398FDD-8221-45C1-B240-C1D8A763623F}" xr6:coauthVersionLast="47" xr6:coauthVersionMax="47" xr10:uidLastSave="{00000000-0000-0000-0000-000000000000}"/>
  <bookViews>
    <workbookView xWindow="-108" yWindow="-108" windowWidth="30936" windowHeight="16896" activeTab="1" xr2:uid="{1C98D46D-B18E-46FA-B71F-D6914B5DA95A}"/>
  </bookViews>
  <sheets>
    <sheet name="All" sheetId="1" r:id="rId1"/>
    <sheet name="Cummulati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9" i="2" l="1"/>
  <c r="D9" i="2"/>
  <c r="F9" i="2"/>
  <c r="C72" i="1"/>
  <c r="C9" i="2" s="1"/>
  <c r="B3" i="2"/>
  <c r="F10" i="2"/>
  <c r="E10" i="2"/>
  <c r="D10" i="2"/>
  <c r="F8" i="2"/>
  <c r="E8" i="2"/>
  <c r="D8" i="2"/>
  <c r="F7" i="2"/>
  <c r="E7" i="2"/>
  <c r="D7" i="2"/>
  <c r="F6" i="2"/>
  <c r="E6" i="2"/>
  <c r="D6" i="2"/>
  <c r="F5" i="2"/>
  <c r="E5" i="2"/>
  <c r="D5" i="2"/>
  <c r="F4" i="2"/>
  <c r="E4" i="2"/>
  <c r="D4" i="2"/>
  <c r="F3" i="2"/>
  <c r="E3" i="2"/>
  <c r="D3" i="2"/>
  <c r="C6" i="2"/>
  <c r="C5" i="2"/>
  <c r="C4" i="2"/>
  <c r="C3" i="2"/>
  <c r="C81" i="1"/>
  <c r="C10" i="2" s="1"/>
  <c r="C63" i="1"/>
  <c r="C8" i="2" s="1"/>
  <c r="C54" i="1"/>
  <c r="C7" i="2" s="1"/>
  <c r="B4" i="2" l="1"/>
  <c r="B5" i="2" s="1"/>
  <c r="B6" i="2" s="1"/>
  <c r="B7" i="2" s="1"/>
  <c r="B8" i="2" s="1"/>
  <c r="B9" i="2" s="1"/>
  <c r="B10" i="2" s="1"/>
</calcChain>
</file>

<file path=xl/sharedStrings.xml><?xml version="1.0" encoding="utf-8"?>
<sst xmlns="http://schemas.openxmlformats.org/spreadsheetml/2006/main" count="183" uniqueCount="24">
  <si>
    <t>Process</t>
  </si>
  <si>
    <t>Category</t>
  </si>
  <si>
    <t>BAU</t>
  </si>
  <si>
    <t>Natural gas</t>
  </si>
  <si>
    <t>Oxygen</t>
  </si>
  <si>
    <t>Ethylene</t>
  </si>
  <si>
    <t>Hydrogen</t>
  </si>
  <si>
    <t>Carbon dioxide</t>
  </si>
  <si>
    <t>CAPEX</t>
  </si>
  <si>
    <t>DAC + wind</t>
  </si>
  <si>
    <t>NG + wind</t>
  </si>
  <si>
    <t>NG + wind + gE</t>
  </si>
  <si>
    <t>DAC + wind + gE</t>
  </si>
  <si>
    <t>yCoordinate</t>
  </si>
  <si>
    <t>Utilities + fixed costs</t>
  </si>
  <si>
    <t>Biogas</t>
  </si>
  <si>
    <t>Biogas + bE</t>
  </si>
  <si>
    <t>Biogas + bioE</t>
  </si>
  <si>
    <t>GWP</t>
  </si>
  <si>
    <t>Human health</t>
  </si>
  <si>
    <t>Ecosystems</t>
  </si>
  <si>
    <t>Resources</t>
  </si>
  <si>
    <t>Biogas + gE - NG</t>
  </si>
  <si>
    <t>Biogas + gE - DAC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</si>
</sst>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11" fontId="0" fillId="0" borderId="0" xfId="0" applyNumberFormat="1"/>
    <xf numFmtId="0" fontId="0" fillId="0" borderId="1" xfId="0" applyFill="1" applyBorder="1" applyAlignment="1"/>
    <xf numFmtId="11" fontId="0" fillId="0" borderId="1" xfId="0" applyNumberFormat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FD47-E324-40E0-A0BA-F148F5D8DE49}">
  <dimension ref="A1:T87"/>
  <sheetViews>
    <sheetView zoomScale="115" zoomScaleNormal="115" workbookViewId="0">
      <selection activeCell="C2" sqref="C2"/>
    </sheetView>
  </sheetViews>
  <sheetFormatPr defaultRowHeight="14.4" x14ac:dyDescent="0.3"/>
  <cols>
    <col min="1" max="1" width="17" customWidth="1"/>
    <col min="2" max="2" width="22.5546875" bestFit="1" customWidth="1"/>
    <col min="3" max="3" width="13.44140625" bestFit="1" customWidth="1"/>
    <col min="4" max="5" width="13.44140625" style="4" bestFit="1" customWidth="1"/>
    <col min="6" max="6" width="13.44140625" bestFit="1" customWidth="1"/>
    <col min="7" max="7" width="10.33203125" bestFit="1" customWidth="1"/>
  </cols>
  <sheetData>
    <row r="1" spans="1:13" x14ac:dyDescent="0.3">
      <c r="A1" s="1" t="s">
        <v>0</v>
      </c>
      <c r="B1" s="1" t="s">
        <v>1</v>
      </c>
      <c r="C1" s="1" t="s">
        <v>18</v>
      </c>
      <c r="D1" s="6" t="s">
        <v>19</v>
      </c>
      <c r="E1" s="6" t="s">
        <v>20</v>
      </c>
      <c r="F1" s="1" t="s">
        <v>21</v>
      </c>
    </row>
    <row r="2" spans="1:13" x14ac:dyDescent="0.3">
      <c r="A2" s="1" t="s">
        <v>2</v>
      </c>
      <c r="B2" s="1" t="s">
        <v>2</v>
      </c>
      <c r="C2" s="2">
        <v>6.1267693999999997</v>
      </c>
      <c r="D2" s="6">
        <v>1.5002652999999999E-5</v>
      </c>
      <c r="E2" s="6">
        <v>3.1124967999999999E-8</v>
      </c>
      <c r="F2" s="2">
        <v>0.64467456999999995</v>
      </c>
    </row>
    <row r="3" spans="1:13" x14ac:dyDescent="0.3">
      <c r="A3" s="1" t="s">
        <v>2</v>
      </c>
      <c r="B3" s="1" t="s">
        <v>3</v>
      </c>
      <c r="C3" s="2">
        <v>0</v>
      </c>
      <c r="D3" s="2">
        <v>0</v>
      </c>
      <c r="E3" s="2">
        <v>0</v>
      </c>
      <c r="F3" s="2">
        <v>0</v>
      </c>
    </row>
    <row r="4" spans="1:13" x14ac:dyDescent="0.3">
      <c r="A4" s="1" t="s">
        <v>2</v>
      </c>
      <c r="B4" s="1" t="s">
        <v>7</v>
      </c>
      <c r="C4" s="2">
        <v>0</v>
      </c>
      <c r="D4" s="2">
        <v>0</v>
      </c>
      <c r="E4" s="2">
        <v>0</v>
      </c>
      <c r="F4" s="2">
        <v>0</v>
      </c>
    </row>
    <row r="5" spans="1:13" x14ac:dyDescent="0.3">
      <c r="A5" s="1" t="s">
        <v>2</v>
      </c>
      <c r="B5" s="1" t="s">
        <v>15</v>
      </c>
      <c r="C5" s="2">
        <v>0</v>
      </c>
      <c r="D5" s="2">
        <v>0</v>
      </c>
      <c r="E5" s="2">
        <v>0</v>
      </c>
      <c r="F5" s="2">
        <v>0</v>
      </c>
    </row>
    <row r="6" spans="1:13" x14ac:dyDescent="0.3">
      <c r="A6" s="1" t="s">
        <v>2</v>
      </c>
      <c r="B6" s="1" t="s">
        <v>4</v>
      </c>
      <c r="C6" s="2">
        <v>0</v>
      </c>
      <c r="D6" s="2">
        <v>0</v>
      </c>
      <c r="E6" s="2">
        <v>0</v>
      </c>
      <c r="F6" s="2">
        <v>0</v>
      </c>
    </row>
    <row r="7" spans="1:13" x14ac:dyDescent="0.3">
      <c r="A7" s="1" t="s">
        <v>2</v>
      </c>
      <c r="B7" s="1" t="s">
        <v>6</v>
      </c>
      <c r="C7" s="2">
        <v>0</v>
      </c>
      <c r="D7" s="2">
        <v>0</v>
      </c>
      <c r="E7" s="2">
        <v>0</v>
      </c>
      <c r="F7" s="2">
        <v>0</v>
      </c>
    </row>
    <row r="8" spans="1:13" x14ac:dyDescent="0.3">
      <c r="A8" s="1" t="s">
        <v>2</v>
      </c>
      <c r="B8" s="1" t="s">
        <v>5</v>
      </c>
      <c r="C8" s="2">
        <v>0</v>
      </c>
      <c r="D8" s="2">
        <v>0</v>
      </c>
      <c r="E8" s="2">
        <v>0</v>
      </c>
      <c r="F8" s="2">
        <v>0</v>
      </c>
    </row>
    <row r="9" spans="1:13" x14ac:dyDescent="0.3">
      <c r="A9" s="1" t="s">
        <v>2</v>
      </c>
      <c r="B9" s="1" t="s">
        <v>14</v>
      </c>
      <c r="C9" s="2">
        <v>0</v>
      </c>
      <c r="D9" s="2">
        <v>0</v>
      </c>
      <c r="E9" s="2">
        <v>0</v>
      </c>
      <c r="F9" s="2">
        <v>0</v>
      </c>
    </row>
    <row r="10" spans="1:13" x14ac:dyDescent="0.3">
      <c r="A10" s="1" t="s">
        <v>2</v>
      </c>
      <c r="B10" s="1" t="s">
        <v>8</v>
      </c>
      <c r="C10" s="2">
        <v>0</v>
      </c>
      <c r="D10" s="2">
        <v>0</v>
      </c>
      <c r="E10" s="2">
        <v>0</v>
      </c>
      <c r="F10" s="2">
        <v>0</v>
      </c>
    </row>
    <row r="11" spans="1:13" x14ac:dyDescent="0.3">
      <c r="A11" s="1" t="s">
        <v>10</v>
      </c>
      <c r="B11" s="1" t="s">
        <v>2</v>
      </c>
      <c r="C11" s="2">
        <v>0</v>
      </c>
      <c r="D11" s="2">
        <v>0</v>
      </c>
      <c r="E11" s="2">
        <v>0</v>
      </c>
      <c r="F11" s="2">
        <v>0</v>
      </c>
      <c r="L11" s="4"/>
      <c r="M11" s="4"/>
    </row>
    <row r="12" spans="1:13" x14ac:dyDescent="0.3">
      <c r="A12" s="1" t="s">
        <v>10</v>
      </c>
      <c r="B12" s="1" t="s">
        <v>3</v>
      </c>
      <c r="C12" s="2">
        <v>0</v>
      </c>
      <c r="D12" s="2">
        <v>0</v>
      </c>
      <c r="E12" s="2">
        <v>0</v>
      </c>
      <c r="F12" s="2">
        <v>0</v>
      </c>
      <c r="L12" s="4"/>
      <c r="M12" s="4"/>
    </row>
    <row r="13" spans="1:13" x14ac:dyDescent="0.3">
      <c r="A13" s="1" t="s">
        <v>10</v>
      </c>
      <c r="B13" s="1" t="s">
        <v>7</v>
      </c>
      <c r="C13" s="2">
        <v>7.4845913E-2</v>
      </c>
      <c r="D13" s="6">
        <v>1.2125559000000001E-7</v>
      </c>
      <c r="E13" s="6">
        <v>3.2270253999999997E-10</v>
      </c>
      <c r="F13" s="2">
        <v>2.2496143999999999E-2</v>
      </c>
    </row>
    <row r="14" spans="1:13" x14ac:dyDescent="0.3">
      <c r="A14" s="1" t="s">
        <v>10</v>
      </c>
      <c r="B14" s="1" t="s">
        <v>15</v>
      </c>
      <c r="C14" s="2">
        <v>0</v>
      </c>
      <c r="D14" s="2">
        <v>0</v>
      </c>
      <c r="E14" s="2">
        <v>0</v>
      </c>
      <c r="F14" s="2">
        <v>0</v>
      </c>
    </row>
    <row r="15" spans="1:13" x14ac:dyDescent="0.3">
      <c r="A15" s="1" t="s">
        <v>10</v>
      </c>
      <c r="B15" s="1" t="s">
        <v>4</v>
      </c>
      <c r="C15" s="2">
        <v>0</v>
      </c>
      <c r="D15" s="2">
        <v>0</v>
      </c>
      <c r="E15" s="2">
        <v>0</v>
      </c>
      <c r="F15" s="2">
        <v>0</v>
      </c>
    </row>
    <row r="16" spans="1:13" x14ac:dyDescent="0.3">
      <c r="A16" s="1" t="s">
        <v>10</v>
      </c>
      <c r="B16" s="1" t="s">
        <v>6</v>
      </c>
      <c r="C16" s="2">
        <v>0.10580871</v>
      </c>
      <c r="D16" s="6">
        <v>6.4758242000000002E-7</v>
      </c>
      <c r="E16" s="6">
        <v>6.6773524E-10</v>
      </c>
      <c r="F16" s="2">
        <v>7.6129416E-3</v>
      </c>
    </row>
    <row r="17" spans="1:19" x14ac:dyDescent="0.3">
      <c r="A17" s="1" t="s">
        <v>10</v>
      </c>
      <c r="B17" s="1" t="s">
        <v>5</v>
      </c>
      <c r="C17" s="2">
        <v>0.71924902999999996</v>
      </c>
      <c r="D17" s="6">
        <v>1.0148656E-6</v>
      </c>
      <c r="E17" s="6">
        <v>2.5915332999999999E-9</v>
      </c>
      <c r="F17" s="2">
        <v>0.28409791000000001</v>
      </c>
      <c r="O17" s="4"/>
      <c r="P17" s="4"/>
      <c r="R17" s="4"/>
    </row>
    <row r="18" spans="1:19" x14ac:dyDescent="0.3">
      <c r="A18" s="1" t="s">
        <v>10</v>
      </c>
      <c r="B18" s="1" t="s">
        <v>14</v>
      </c>
      <c r="C18" s="2">
        <v>0.23100000000000001</v>
      </c>
      <c r="D18" s="6">
        <v>7.0299999999999998E-7</v>
      </c>
      <c r="E18" s="6">
        <v>1.2300000000000001E-9</v>
      </c>
      <c r="F18" s="2">
        <v>2.06E-2</v>
      </c>
      <c r="G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x14ac:dyDescent="0.3">
      <c r="A19" s="1" t="s">
        <v>10</v>
      </c>
      <c r="B19" s="1" t="s">
        <v>8</v>
      </c>
      <c r="C19" s="2">
        <v>0</v>
      </c>
      <c r="D19" s="2">
        <v>0</v>
      </c>
      <c r="E19" s="2">
        <v>0</v>
      </c>
      <c r="F19" s="2">
        <v>0</v>
      </c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3">
      <c r="A20" s="1" t="s">
        <v>9</v>
      </c>
      <c r="B20" s="1" t="s">
        <v>2</v>
      </c>
      <c r="C20" s="2">
        <v>0</v>
      </c>
      <c r="D20" s="2">
        <v>0</v>
      </c>
      <c r="E20" s="2">
        <v>0</v>
      </c>
      <c r="F20" s="2">
        <v>0</v>
      </c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 x14ac:dyDescent="0.3">
      <c r="A21" s="1" t="s">
        <v>9</v>
      </c>
      <c r="B21" s="1" t="s">
        <v>3</v>
      </c>
      <c r="C21" s="2">
        <v>0</v>
      </c>
      <c r="D21" s="2">
        <v>0</v>
      </c>
      <c r="E21" s="2">
        <v>0</v>
      </c>
      <c r="F21" s="2">
        <v>0</v>
      </c>
      <c r="H21" s="4"/>
      <c r="K21" s="4"/>
      <c r="M21" s="4"/>
      <c r="N21" s="4"/>
      <c r="O21" s="4"/>
      <c r="P21" s="4"/>
      <c r="Q21" s="4"/>
      <c r="R21" s="4"/>
      <c r="S21" s="4"/>
    </row>
    <row r="22" spans="1:19" x14ac:dyDescent="0.3">
      <c r="A22" s="1" t="s">
        <v>9</v>
      </c>
      <c r="B22" s="1" t="s">
        <v>7</v>
      </c>
      <c r="C22" s="2">
        <v>-0.51305031000000001</v>
      </c>
      <c r="D22" s="6">
        <v>-4.1444902E-7</v>
      </c>
      <c r="E22" s="6">
        <v>-1.3477761999999999E-9</v>
      </c>
      <c r="F22" s="2">
        <v>3.3101747000000001E-2</v>
      </c>
      <c r="I22" s="4"/>
      <c r="K22" s="4"/>
      <c r="L22" s="4"/>
      <c r="M22" s="4"/>
      <c r="N22" s="4"/>
      <c r="O22" s="4"/>
      <c r="P22" s="4"/>
      <c r="Q22" s="4"/>
      <c r="R22" s="4"/>
      <c r="S22" s="4"/>
    </row>
    <row r="23" spans="1:19" x14ac:dyDescent="0.3">
      <c r="A23" s="1" t="s">
        <v>9</v>
      </c>
      <c r="B23" s="1" t="s">
        <v>15</v>
      </c>
      <c r="C23" s="2">
        <v>0</v>
      </c>
      <c r="D23" s="2">
        <v>0</v>
      </c>
      <c r="E23" s="2">
        <v>0</v>
      </c>
      <c r="F23" s="2">
        <v>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x14ac:dyDescent="0.3">
      <c r="A24" s="1" t="s">
        <v>9</v>
      </c>
      <c r="B24" s="1" t="s">
        <v>4</v>
      </c>
      <c r="C24" s="2">
        <v>0</v>
      </c>
      <c r="D24" s="2">
        <v>0</v>
      </c>
      <c r="E24" s="2">
        <v>0</v>
      </c>
      <c r="F24" s="2">
        <v>0</v>
      </c>
      <c r="K24" s="4"/>
      <c r="M24" s="4"/>
      <c r="O24" s="4"/>
      <c r="P24" s="4"/>
      <c r="Q24" s="4"/>
      <c r="R24" s="4"/>
      <c r="S24" s="4"/>
    </row>
    <row r="25" spans="1:19" x14ac:dyDescent="0.3">
      <c r="A25" s="1" t="s">
        <v>9</v>
      </c>
      <c r="B25" s="1" t="s">
        <v>6</v>
      </c>
      <c r="C25" s="2">
        <v>0.10580871</v>
      </c>
      <c r="D25" s="6">
        <v>6.4758242000000002E-7</v>
      </c>
      <c r="E25" s="6">
        <v>6.6773524E-10</v>
      </c>
      <c r="F25" s="2">
        <v>7.6129416E-3</v>
      </c>
      <c r="I25" s="4"/>
      <c r="K25" s="4"/>
      <c r="L25" s="4"/>
      <c r="M25" s="4"/>
      <c r="N25" s="4"/>
      <c r="O25" s="4"/>
      <c r="P25" s="4"/>
      <c r="Q25" s="4"/>
      <c r="R25" s="4"/>
      <c r="S25" s="4"/>
    </row>
    <row r="26" spans="1:19" x14ac:dyDescent="0.3">
      <c r="A26" s="1" t="s">
        <v>9</v>
      </c>
      <c r="B26" s="1" t="s">
        <v>5</v>
      </c>
      <c r="C26" s="2">
        <v>0.71924902999999996</v>
      </c>
      <c r="D26" s="6">
        <v>1.0148656E-6</v>
      </c>
      <c r="E26" s="6">
        <v>2.5915332999999999E-9</v>
      </c>
      <c r="F26" s="2">
        <v>0.28409791000000001</v>
      </c>
      <c r="G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x14ac:dyDescent="0.3">
      <c r="A27" s="1" t="s">
        <v>9</v>
      </c>
      <c r="B27" s="1" t="s">
        <v>14</v>
      </c>
      <c r="C27" s="2">
        <v>0.23100000000000001</v>
      </c>
      <c r="D27" s="6">
        <v>7.0299999999999998E-7</v>
      </c>
      <c r="E27" s="6">
        <v>1.2300000000000001E-9</v>
      </c>
      <c r="F27" s="2">
        <v>2.06E-2</v>
      </c>
      <c r="H27" s="4"/>
      <c r="K27" s="4"/>
      <c r="M27" s="4"/>
      <c r="O27" s="4"/>
      <c r="P27" s="4"/>
      <c r="Q27" s="4"/>
      <c r="R27" s="4"/>
      <c r="S27" s="4"/>
    </row>
    <row r="28" spans="1:19" x14ac:dyDescent="0.3">
      <c r="A28" s="1" t="s">
        <v>9</v>
      </c>
      <c r="B28" s="1" t="s">
        <v>8</v>
      </c>
      <c r="C28" s="2">
        <v>0</v>
      </c>
      <c r="D28" s="2">
        <v>0</v>
      </c>
      <c r="E28" s="2">
        <v>0</v>
      </c>
      <c r="F28" s="2">
        <v>0</v>
      </c>
      <c r="H28" s="4"/>
      <c r="K28" s="4"/>
      <c r="L28" s="4"/>
      <c r="M28" s="4"/>
      <c r="N28" s="4"/>
      <c r="O28" s="4"/>
      <c r="P28" s="4"/>
      <c r="Q28" s="4"/>
      <c r="R28" s="4"/>
      <c r="S28" s="4"/>
    </row>
    <row r="29" spans="1:19" x14ac:dyDescent="0.3">
      <c r="A29" s="1" t="s">
        <v>11</v>
      </c>
      <c r="B29" s="1" t="s">
        <v>2</v>
      </c>
      <c r="C29" s="2">
        <v>0</v>
      </c>
      <c r="D29" s="2">
        <v>0</v>
      </c>
      <c r="E29" s="2">
        <v>0</v>
      </c>
      <c r="F29" s="2">
        <v>0</v>
      </c>
      <c r="H29" s="4"/>
      <c r="K29" s="4"/>
      <c r="L29" s="4"/>
      <c r="M29" s="4"/>
      <c r="N29" s="4"/>
      <c r="O29" s="4"/>
      <c r="P29" s="4"/>
      <c r="Q29" s="4"/>
      <c r="R29" s="4"/>
      <c r="S29" s="4"/>
    </row>
    <row r="30" spans="1:19" x14ac:dyDescent="0.3">
      <c r="A30" s="1" t="s">
        <v>11</v>
      </c>
      <c r="B30" s="1" t="s">
        <v>3</v>
      </c>
      <c r="C30" s="2">
        <v>0</v>
      </c>
      <c r="D30" s="2">
        <v>0</v>
      </c>
      <c r="E30" s="2">
        <v>0</v>
      </c>
      <c r="F30" s="2"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9" x14ac:dyDescent="0.3">
      <c r="A31" s="1" t="s">
        <v>11</v>
      </c>
      <c r="B31" s="1" t="s">
        <v>7</v>
      </c>
      <c r="C31" s="2">
        <v>7.4845913E-2</v>
      </c>
      <c r="D31" s="6">
        <v>1.2125559000000001E-7</v>
      </c>
      <c r="E31" s="6">
        <v>3.2270253999999997E-10</v>
      </c>
      <c r="F31" s="2">
        <v>2.2496143999999999E-2</v>
      </c>
      <c r="G31" s="4"/>
      <c r="I31" s="4"/>
      <c r="J31" s="4"/>
      <c r="K31" s="4"/>
      <c r="L31" s="4"/>
      <c r="M31" s="4"/>
      <c r="N31" s="4"/>
      <c r="O31" s="4"/>
      <c r="P31" s="4"/>
      <c r="R31" s="4"/>
      <c r="S31" s="4"/>
    </row>
    <row r="32" spans="1:19" x14ac:dyDescent="0.3">
      <c r="A32" s="1" t="s">
        <v>11</v>
      </c>
      <c r="B32" s="1" t="s">
        <v>15</v>
      </c>
      <c r="C32" s="2">
        <v>0</v>
      </c>
      <c r="D32" s="2">
        <v>0</v>
      </c>
      <c r="E32" s="2">
        <v>0</v>
      </c>
      <c r="F32" s="2">
        <v>0</v>
      </c>
      <c r="J32" s="4"/>
      <c r="L32" s="4"/>
      <c r="R32" s="4"/>
      <c r="S32" s="4"/>
    </row>
    <row r="33" spans="1:19" x14ac:dyDescent="0.3">
      <c r="A33" s="1" t="s">
        <v>11</v>
      </c>
      <c r="B33" s="1" t="s">
        <v>4</v>
      </c>
      <c r="C33" s="2">
        <v>0</v>
      </c>
      <c r="D33" s="2">
        <v>0</v>
      </c>
      <c r="E33" s="2">
        <v>0</v>
      </c>
      <c r="F33" s="2">
        <v>0</v>
      </c>
      <c r="H33" s="4"/>
      <c r="J33" s="4"/>
      <c r="K33" s="4"/>
      <c r="N33" s="4"/>
      <c r="O33" s="4"/>
      <c r="P33" s="4"/>
      <c r="R33" s="4"/>
      <c r="S33" s="4"/>
    </row>
    <row r="34" spans="1:19" x14ac:dyDescent="0.3">
      <c r="A34" s="1" t="s">
        <v>11</v>
      </c>
      <c r="B34" s="1" t="s">
        <v>6</v>
      </c>
      <c r="C34" s="2">
        <v>0.10580871</v>
      </c>
      <c r="D34" s="6">
        <v>6.4758242000000002E-7</v>
      </c>
      <c r="E34" s="6">
        <v>6.6773524E-10</v>
      </c>
      <c r="F34" s="2">
        <v>7.6129416E-3</v>
      </c>
      <c r="H34" s="4"/>
      <c r="K34" s="4"/>
      <c r="L34" s="4"/>
      <c r="M34" s="4"/>
      <c r="N34" s="4"/>
      <c r="O34" s="4"/>
      <c r="P34" s="4"/>
      <c r="R34" s="4"/>
    </row>
    <row r="35" spans="1:19" x14ac:dyDescent="0.3">
      <c r="A35" s="1" t="s">
        <v>11</v>
      </c>
      <c r="B35" s="1" t="s">
        <v>5</v>
      </c>
      <c r="C35" s="2">
        <v>0.97996329000000004</v>
      </c>
      <c r="D35" s="6">
        <v>3.0222244E-6</v>
      </c>
      <c r="E35" s="6">
        <v>4.6552514000000001E-9</v>
      </c>
      <c r="F35" s="2">
        <v>8.7206392999999993E-2</v>
      </c>
      <c r="O35" s="4"/>
      <c r="P35" s="4"/>
      <c r="R35" s="4"/>
      <c r="S35" s="4"/>
    </row>
    <row r="36" spans="1:19" x14ac:dyDescent="0.3">
      <c r="A36" s="1" t="s">
        <v>11</v>
      </c>
      <c r="B36" s="1" t="s">
        <v>14</v>
      </c>
      <c r="C36" s="2">
        <v>0.23011791060000006</v>
      </c>
      <c r="D36" s="6">
        <v>7.0299999999999998E-7</v>
      </c>
      <c r="E36" s="6">
        <v>1.2300000000000001E-9</v>
      </c>
      <c r="F36" s="2">
        <v>2.06E-2</v>
      </c>
      <c r="M36" s="4"/>
      <c r="O36" s="4"/>
      <c r="P36" s="4"/>
      <c r="Q36" s="4"/>
      <c r="R36" s="4"/>
      <c r="S36" s="4"/>
    </row>
    <row r="37" spans="1:19" x14ac:dyDescent="0.3">
      <c r="A37" s="1" t="s">
        <v>11</v>
      </c>
      <c r="B37" s="1" t="s">
        <v>8</v>
      </c>
      <c r="C37" s="2">
        <v>0</v>
      </c>
      <c r="D37" s="2">
        <v>0</v>
      </c>
      <c r="E37" s="2">
        <v>0</v>
      </c>
      <c r="F37" s="2">
        <v>0</v>
      </c>
      <c r="K37" s="4"/>
      <c r="M37" s="4"/>
      <c r="O37" s="4"/>
      <c r="P37" s="4"/>
      <c r="Q37" s="4"/>
      <c r="R37" s="4"/>
      <c r="S37" s="4"/>
    </row>
    <row r="38" spans="1:19" x14ac:dyDescent="0.3">
      <c r="A38" s="1" t="s">
        <v>12</v>
      </c>
      <c r="B38" s="1" t="s">
        <v>2</v>
      </c>
      <c r="C38" s="2">
        <v>0</v>
      </c>
      <c r="D38" s="2">
        <v>0</v>
      </c>
      <c r="E38" s="2">
        <v>0</v>
      </c>
      <c r="F38" s="2">
        <v>0</v>
      </c>
      <c r="K38" s="4"/>
      <c r="M38" s="4"/>
      <c r="O38" s="4"/>
      <c r="P38" s="4"/>
      <c r="Q38" s="4"/>
      <c r="R38" s="4"/>
      <c r="S38" s="4"/>
    </row>
    <row r="39" spans="1:19" x14ac:dyDescent="0.3">
      <c r="A39" s="1" t="s">
        <v>12</v>
      </c>
      <c r="B39" s="1" t="s">
        <v>3</v>
      </c>
      <c r="C39" s="2">
        <v>0</v>
      </c>
      <c r="D39" s="2">
        <v>0</v>
      </c>
      <c r="E39" s="2">
        <v>0</v>
      </c>
      <c r="F39" s="2">
        <v>0</v>
      </c>
      <c r="I39" s="4"/>
      <c r="K39" s="4"/>
      <c r="M39" s="4"/>
      <c r="N39" s="4"/>
      <c r="O39" s="4"/>
      <c r="P39" s="4"/>
      <c r="Q39" s="4"/>
      <c r="R39" s="4"/>
      <c r="S39" s="4"/>
    </row>
    <row r="40" spans="1:19" x14ac:dyDescent="0.3">
      <c r="A40" s="1" t="s">
        <v>12</v>
      </c>
      <c r="B40" s="1" t="s">
        <v>7</v>
      </c>
      <c r="C40" s="2">
        <v>-0.51305031000000001</v>
      </c>
      <c r="D40" s="6">
        <v>-4.1444902E-7</v>
      </c>
      <c r="E40" s="6">
        <v>-1.3477761999999999E-9</v>
      </c>
      <c r="F40" s="2">
        <v>3.3101747000000001E-2</v>
      </c>
      <c r="O40" s="4"/>
      <c r="P40" s="4"/>
      <c r="Q40" s="4"/>
    </row>
    <row r="41" spans="1:19" x14ac:dyDescent="0.3">
      <c r="A41" s="1" t="s">
        <v>12</v>
      </c>
      <c r="B41" s="1" t="s">
        <v>15</v>
      </c>
      <c r="C41" s="2">
        <v>0</v>
      </c>
      <c r="D41" s="2">
        <v>0</v>
      </c>
      <c r="E41" s="2">
        <v>0</v>
      </c>
      <c r="F41" s="2">
        <v>0</v>
      </c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 x14ac:dyDescent="0.3">
      <c r="A42" s="1" t="s">
        <v>12</v>
      </c>
      <c r="B42" s="1" t="s">
        <v>4</v>
      </c>
      <c r="C42" s="2">
        <v>0</v>
      </c>
      <c r="D42" s="2">
        <v>0</v>
      </c>
      <c r="E42" s="2">
        <v>0</v>
      </c>
      <c r="F42" s="2">
        <v>0</v>
      </c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 x14ac:dyDescent="0.3">
      <c r="A43" s="1" t="s">
        <v>12</v>
      </c>
      <c r="B43" s="1" t="s">
        <v>6</v>
      </c>
      <c r="C43" s="2">
        <v>0.10580871</v>
      </c>
      <c r="D43" s="6">
        <v>6.4758242000000002E-7</v>
      </c>
      <c r="E43" s="6">
        <v>6.6773524E-10</v>
      </c>
      <c r="F43" s="2">
        <v>7.6129416E-3</v>
      </c>
      <c r="H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19" x14ac:dyDescent="0.3">
      <c r="A44" s="1" t="s">
        <v>12</v>
      </c>
      <c r="B44" s="1" t="s">
        <v>5</v>
      </c>
      <c r="C44" s="2">
        <v>-0.4253728</v>
      </c>
      <c r="D44" s="6">
        <v>1.7416497000000001E-6</v>
      </c>
      <c r="E44" s="6">
        <v>6.6205671999999995E-10</v>
      </c>
      <c r="F44" s="2">
        <v>0.11255854999999999</v>
      </c>
      <c r="K44" s="4"/>
      <c r="L44" s="4"/>
      <c r="Q44" s="4"/>
      <c r="S44" s="4"/>
    </row>
    <row r="45" spans="1:19" x14ac:dyDescent="0.3">
      <c r="A45" s="1" t="s">
        <v>12</v>
      </c>
      <c r="B45" s="1" t="s">
        <v>14</v>
      </c>
      <c r="C45" s="2">
        <v>0.23011791060000006</v>
      </c>
      <c r="D45" s="6">
        <v>7.0299999999999998E-7</v>
      </c>
      <c r="E45" s="6">
        <v>1.2300000000000001E-9</v>
      </c>
      <c r="F45" s="2">
        <v>2.06E-2</v>
      </c>
      <c r="I45" s="4"/>
      <c r="J45" s="4"/>
      <c r="L45" s="4"/>
      <c r="N45" s="4"/>
      <c r="P45" s="4"/>
      <c r="Q45" s="4"/>
    </row>
    <row r="46" spans="1:19" x14ac:dyDescent="0.3">
      <c r="A46" s="1" t="s">
        <v>12</v>
      </c>
      <c r="B46" s="1" t="s">
        <v>8</v>
      </c>
      <c r="C46" s="2">
        <v>0</v>
      </c>
      <c r="D46" s="2">
        <v>0</v>
      </c>
      <c r="E46" s="2">
        <v>0</v>
      </c>
      <c r="F46" s="2">
        <v>0</v>
      </c>
      <c r="J46" s="4"/>
      <c r="L46" s="4"/>
      <c r="N46" s="4"/>
      <c r="P46" s="4"/>
      <c r="Q46" s="4"/>
    </row>
    <row r="47" spans="1:19" x14ac:dyDescent="0.3">
      <c r="A47" s="3" t="s">
        <v>15</v>
      </c>
      <c r="B47" s="1" t="s">
        <v>2</v>
      </c>
      <c r="C47" s="2">
        <v>0</v>
      </c>
      <c r="D47" s="2">
        <v>0</v>
      </c>
      <c r="E47" s="2">
        <v>0</v>
      </c>
      <c r="F47" s="2">
        <v>0</v>
      </c>
      <c r="J47" s="4"/>
      <c r="L47" s="4"/>
      <c r="N47" s="4"/>
      <c r="P47" s="4"/>
      <c r="Q47" s="4"/>
    </row>
    <row r="48" spans="1:19" x14ac:dyDescent="0.3">
      <c r="A48" s="3" t="s">
        <v>15</v>
      </c>
      <c r="B48" s="1" t="s">
        <v>3</v>
      </c>
      <c r="C48" s="2">
        <v>0</v>
      </c>
      <c r="D48" s="2">
        <v>0</v>
      </c>
      <c r="E48" s="2">
        <v>0</v>
      </c>
      <c r="F48" s="2">
        <v>0</v>
      </c>
      <c r="I48" s="4"/>
      <c r="L48" s="4"/>
      <c r="N48" s="4"/>
      <c r="P48" s="4"/>
      <c r="Q48" s="4"/>
    </row>
    <row r="49" spans="1:20" x14ac:dyDescent="0.3">
      <c r="A49" s="3" t="s">
        <v>15</v>
      </c>
      <c r="B49" s="1" t="s">
        <v>7</v>
      </c>
      <c r="C49" s="2">
        <v>0</v>
      </c>
      <c r="D49" s="2">
        <v>0</v>
      </c>
      <c r="E49" s="2">
        <v>0</v>
      </c>
      <c r="F49" s="2">
        <v>0</v>
      </c>
      <c r="L49" s="4"/>
      <c r="N49" s="4"/>
      <c r="P49" s="4"/>
      <c r="Q49" s="4"/>
    </row>
    <row r="50" spans="1:20" x14ac:dyDescent="0.3">
      <c r="A50" s="3" t="s">
        <v>15</v>
      </c>
      <c r="B50" s="1" t="s">
        <v>15</v>
      </c>
      <c r="C50" s="2">
        <v>-0.89744959999999996</v>
      </c>
      <c r="D50" s="6">
        <v>-8.3283323000000004E-7</v>
      </c>
      <c r="E50" s="6">
        <v>-2.5129275E-9</v>
      </c>
      <c r="F50" s="2">
        <v>0</v>
      </c>
      <c r="J50" s="4"/>
      <c r="K50" s="4"/>
      <c r="L50" s="4"/>
      <c r="M50" s="4"/>
      <c r="N50" s="4"/>
      <c r="O50" s="4"/>
      <c r="P50" s="4"/>
      <c r="Q50" s="4"/>
    </row>
    <row r="51" spans="1:20" x14ac:dyDescent="0.3">
      <c r="A51" s="3" t="s">
        <v>15</v>
      </c>
      <c r="B51" s="1" t="s">
        <v>4</v>
      </c>
      <c r="C51" s="2">
        <v>0</v>
      </c>
      <c r="D51" s="2">
        <v>0</v>
      </c>
      <c r="E51" s="2">
        <v>0</v>
      </c>
      <c r="F51" s="2">
        <v>0</v>
      </c>
      <c r="H51" s="4"/>
      <c r="J51" s="4"/>
      <c r="K51" s="4"/>
      <c r="L51" s="4"/>
      <c r="M51" s="4"/>
      <c r="N51" s="4"/>
      <c r="O51" s="4"/>
      <c r="P51" s="4"/>
      <c r="Q51" s="4"/>
    </row>
    <row r="52" spans="1:20" x14ac:dyDescent="0.3">
      <c r="A52" s="3" t="s">
        <v>15</v>
      </c>
      <c r="B52" s="1" t="s">
        <v>6</v>
      </c>
      <c r="C52" s="2">
        <v>0</v>
      </c>
      <c r="D52" s="2">
        <v>0</v>
      </c>
      <c r="E52" s="2">
        <v>0</v>
      </c>
      <c r="F52" s="2">
        <v>0</v>
      </c>
      <c r="I52" s="4"/>
    </row>
    <row r="53" spans="1:20" x14ac:dyDescent="0.3">
      <c r="A53" s="3" t="s">
        <v>15</v>
      </c>
      <c r="B53" s="1" t="s">
        <v>5</v>
      </c>
      <c r="C53" s="2">
        <v>0.71561644999999996</v>
      </c>
      <c r="D53" s="6">
        <v>1.0097400000000001E-6</v>
      </c>
      <c r="E53" s="6">
        <v>2.5784446999999999E-9</v>
      </c>
      <c r="F53" s="2">
        <v>0.28266307000000002</v>
      </c>
      <c r="I53" s="4"/>
      <c r="L53" s="4"/>
      <c r="Q53" s="4"/>
    </row>
    <row r="54" spans="1:20" x14ac:dyDescent="0.3">
      <c r="A54" s="3" t="s">
        <v>15</v>
      </c>
      <c r="B54" s="1" t="s">
        <v>14</v>
      </c>
      <c r="C54" s="2">
        <f>1.36155937821+0.0084</f>
        <v>1.3699593782099999</v>
      </c>
      <c r="D54" s="6">
        <v>2.4099999999999998E-6</v>
      </c>
      <c r="E54" s="6">
        <v>5.2499999999999999E-9</v>
      </c>
      <c r="F54" s="2">
        <v>0.14599999999999999</v>
      </c>
      <c r="I54" s="4"/>
      <c r="L54" s="4"/>
      <c r="Q54" s="4"/>
    </row>
    <row r="55" spans="1:20" x14ac:dyDescent="0.3">
      <c r="A55" s="3" t="s">
        <v>15</v>
      </c>
      <c r="B55" s="1" t="s">
        <v>8</v>
      </c>
      <c r="C55" s="2">
        <v>0</v>
      </c>
      <c r="D55" s="2">
        <v>0</v>
      </c>
      <c r="E55" s="2">
        <v>0</v>
      </c>
      <c r="F55" s="2">
        <v>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 x14ac:dyDescent="0.3">
      <c r="A56" s="3" t="s">
        <v>22</v>
      </c>
      <c r="B56" s="1" t="s">
        <v>2</v>
      </c>
      <c r="C56" s="2">
        <v>0</v>
      </c>
      <c r="D56" s="2">
        <v>0</v>
      </c>
      <c r="E56" s="2">
        <v>0</v>
      </c>
      <c r="F56" s="2">
        <v>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 x14ac:dyDescent="0.3">
      <c r="A57" s="3" t="s">
        <v>22</v>
      </c>
      <c r="B57" s="1" t="s">
        <v>3</v>
      </c>
      <c r="C57" s="2">
        <v>0</v>
      </c>
      <c r="D57" s="2">
        <v>0</v>
      </c>
      <c r="E57" s="2">
        <v>0</v>
      </c>
      <c r="F57" s="2">
        <v>0</v>
      </c>
      <c r="L57" s="4"/>
      <c r="O57" s="4"/>
      <c r="Q57" s="4"/>
      <c r="S57" s="4"/>
      <c r="T57" s="4"/>
    </row>
    <row r="58" spans="1:20" x14ac:dyDescent="0.3">
      <c r="A58" s="3" t="s">
        <v>22</v>
      </c>
      <c r="B58" s="1" t="s">
        <v>7</v>
      </c>
      <c r="C58" s="2">
        <v>0</v>
      </c>
      <c r="D58" s="2">
        <v>0</v>
      </c>
      <c r="E58" s="2">
        <v>0</v>
      </c>
      <c r="F58" s="2">
        <v>0</v>
      </c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0" x14ac:dyDescent="0.3">
      <c r="A59" s="3" t="s">
        <v>22</v>
      </c>
      <c r="B59" s="1" t="s">
        <v>15</v>
      </c>
      <c r="C59" s="2">
        <v>-0.89744959999999996</v>
      </c>
      <c r="D59" s="6">
        <v>-8.3283323000000004E-7</v>
      </c>
      <c r="E59" s="6">
        <v>-2.5129275E-9</v>
      </c>
      <c r="F59" s="2">
        <v>0</v>
      </c>
      <c r="G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0" x14ac:dyDescent="0.3">
      <c r="A60" s="3" t="s">
        <v>22</v>
      </c>
      <c r="B60" s="1" t="s">
        <v>4</v>
      </c>
      <c r="C60" s="2">
        <v>0</v>
      </c>
      <c r="D60" s="2">
        <v>0</v>
      </c>
      <c r="E60" s="2">
        <v>0</v>
      </c>
      <c r="F60" s="2">
        <v>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 x14ac:dyDescent="0.3">
      <c r="A61" s="3" t="s">
        <v>22</v>
      </c>
      <c r="B61" s="1" t="s">
        <v>6</v>
      </c>
      <c r="C61" s="2">
        <v>0</v>
      </c>
      <c r="D61" s="2">
        <v>0</v>
      </c>
      <c r="E61" s="2">
        <v>0</v>
      </c>
      <c r="F61" s="2">
        <v>0</v>
      </c>
      <c r="H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 x14ac:dyDescent="0.3">
      <c r="A62" s="3" t="s">
        <v>22</v>
      </c>
      <c r="B62" s="1" t="s">
        <v>5</v>
      </c>
      <c r="C62" s="2">
        <v>0.97501397999999995</v>
      </c>
      <c r="D62" s="6">
        <v>3.0069606999999999E-6</v>
      </c>
      <c r="E62" s="6">
        <v>4.6317400999999996E-9</v>
      </c>
      <c r="F62" s="2">
        <v>8.6765957000000005E-2</v>
      </c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 x14ac:dyDescent="0.3">
      <c r="A63" s="3" t="s">
        <v>22</v>
      </c>
      <c r="B63" s="1" t="s">
        <v>14</v>
      </c>
      <c r="C63" s="2">
        <f>1.36155937821+0.0084</f>
        <v>1.3699593782099999</v>
      </c>
      <c r="D63" s="6">
        <v>2.4099999999999998E-6</v>
      </c>
      <c r="E63" s="6">
        <v>5.2499999999999999E-9</v>
      </c>
      <c r="F63" s="2">
        <v>0.14599999999999999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0" x14ac:dyDescent="0.3">
      <c r="A64" s="3" t="s">
        <v>22</v>
      </c>
      <c r="B64" s="1" t="s">
        <v>8</v>
      </c>
      <c r="C64" s="2">
        <v>0</v>
      </c>
      <c r="D64" s="2">
        <v>0</v>
      </c>
      <c r="E64" s="2">
        <v>0</v>
      </c>
      <c r="F64" s="2">
        <v>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 x14ac:dyDescent="0.3">
      <c r="A65" s="3" t="s">
        <v>23</v>
      </c>
      <c r="B65" s="1" t="s">
        <v>2</v>
      </c>
      <c r="C65" s="2">
        <v>0</v>
      </c>
      <c r="D65" s="2">
        <v>0</v>
      </c>
      <c r="E65" s="2">
        <v>0</v>
      </c>
      <c r="F65" s="2">
        <v>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 x14ac:dyDescent="0.3">
      <c r="A66" s="3" t="s">
        <v>23</v>
      </c>
      <c r="B66" s="1" t="s">
        <v>3</v>
      </c>
      <c r="C66" s="2">
        <v>0</v>
      </c>
      <c r="D66" s="2">
        <v>0</v>
      </c>
      <c r="E66" s="2">
        <v>0</v>
      </c>
      <c r="F66" s="2">
        <v>0</v>
      </c>
      <c r="H66" s="4"/>
      <c r="I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 x14ac:dyDescent="0.3">
      <c r="A67" s="3" t="s">
        <v>23</v>
      </c>
      <c r="B67" s="1" t="s">
        <v>7</v>
      </c>
      <c r="C67" s="2">
        <v>0</v>
      </c>
      <c r="D67" s="2">
        <v>0</v>
      </c>
      <c r="E67" s="2">
        <v>0</v>
      </c>
      <c r="F67" s="2">
        <v>0</v>
      </c>
      <c r="G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 x14ac:dyDescent="0.3">
      <c r="A68" s="3" t="s">
        <v>23</v>
      </c>
      <c r="B68" s="1" t="s">
        <v>15</v>
      </c>
      <c r="C68" s="2">
        <v>-0.89744959999999996</v>
      </c>
      <c r="D68" s="6">
        <v>-8.3283323000000004E-7</v>
      </c>
      <c r="E68" s="6">
        <v>-2.5129275E-9</v>
      </c>
      <c r="F68" s="2">
        <v>0</v>
      </c>
      <c r="H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 x14ac:dyDescent="0.3">
      <c r="A69" s="3" t="s">
        <v>23</v>
      </c>
      <c r="B69" s="1" t="s">
        <v>4</v>
      </c>
      <c r="C69" s="2">
        <v>0</v>
      </c>
      <c r="D69" s="2">
        <v>0</v>
      </c>
      <c r="E69" s="2">
        <v>0</v>
      </c>
      <c r="F69" s="2">
        <v>0</v>
      </c>
      <c r="H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 x14ac:dyDescent="0.3">
      <c r="A70" s="3" t="s">
        <v>23</v>
      </c>
      <c r="B70" s="1" t="s">
        <v>6</v>
      </c>
      <c r="C70" s="2">
        <v>0</v>
      </c>
      <c r="D70" s="2">
        <v>0</v>
      </c>
      <c r="E70" s="2">
        <v>0</v>
      </c>
      <c r="F70" s="2"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 x14ac:dyDescent="0.3">
      <c r="A71" s="3" t="s">
        <v>23</v>
      </c>
      <c r="B71" s="1" t="s">
        <v>5</v>
      </c>
      <c r="C71" s="2">
        <v>-0.42322444999999997</v>
      </c>
      <c r="D71" s="6">
        <v>1.7328535000000001E-6</v>
      </c>
      <c r="E71" s="6">
        <v>6.5871300000000002E-10</v>
      </c>
      <c r="F71" s="2">
        <v>0.11199007</v>
      </c>
      <c r="G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 x14ac:dyDescent="0.3">
      <c r="A72" s="3" t="s">
        <v>23</v>
      </c>
      <c r="B72" s="1" t="s">
        <v>14</v>
      </c>
      <c r="C72" s="2">
        <f>1.36155937821+0.0084</f>
        <v>1.3699593782099999</v>
      </c>
      <c r="D72" s="6">
        <v>2.4099999999999998E-6</v>
      </c>
      <c r="E72" s="6">
        <v>5.2499999999999999E-9</v>
      </c>
      <c r="F72" s="2">
        <v>0.14599999999999999</v>
      </c>
      <c r="H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 x14ac:dyDescent="0.3">
      <c r="A73" s="3" t="s">
        <v>23</v>
      </c>
      <c r="B73" s="1" t="s">
        <v>8</v>
      </c>
      <c r="C73" s="2">
        <v>0</v>
      </c>
      <c r="D73" s="2">
        <v>0</v>
      </c>
      <c r="E73" s="2">
        <v>0</v>
      </c>
      <c r="F73" s="2">
        <v>0</v>
      </c>
      <c r="G73" s="4"/>
      <c r="H73" s="4"/>
      <c r="K73" s="4"/>
      <c r="L73" s="4"/>
      <c r="N73" s="4"/>
      <c r="O73" s="4"/>
      <c r="P73" s="4"/>
      <c r="Q73" s="4"/>
      <c r="R73" s="4"/>
      <c r="S73" s="4"/>
      <c r="T73" s="4"/>
    </row>
    <row r="74" spans="1:20" x14ac:dyDescent="0.3">
      <c r="A74" s="3" t="s">
        <v>17</v>
      </c>
      <c r="B74" s="1" t="s">
        <v>2</v>
      </c>
      <c r="C74" s="2">
        <v>0</v>
      </c>
      <c r="D74" s="2">
        <v>0</v>
      </c>
      <c r="E74" s="2">
        <v>0</v>
      </c>
      <c r="F74" s="2">
        <v>0</v>
      </c>
      <c r="H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 x14ac:dyDescent="0.3">
      <c r="A75" s="3" t="s">
        <v>17</v>
      </c>
      <c r="B75" s="1" t="s">
        <v>3</v>
      </c>
      <c r="C75" s="2">
        <v>0</v>
      </c>
      <c r="D75" s="2">
        <v>0</v>
      </c>
      <c r="E75" s="2">
        <v>0</v>
      </c>
      <c r="F75" s="2">
        <v>0</v>
      </c>
      <c r="K75" s="4"/>
      <c r="L75" s="4"/>
      <c r="O75" s="4"/>
      <c r="P75" s="4"/>
      <c r="Q75" s="4"/>
      <c r="R75" s="4"/>
      <c r="S75" s="4"/>
      <c r="T75" s="4"/>
    </row>
    <row r="76" spans="1:20" x14ac:dyDescent="0.3">
      <c r="A76" s="3" t="s">
        <v>17</v>
      </c>
      <c r="B76" s="1" t="s">
        <v>7</v>
      </c>
      <c r="C76" s="2">
        <v>0</v>
      </c>
      <c r="D76" s="2">
        <v>0</v>
      </c>
      <c r="E76" s="2">
        <v>0</v>
      </c>
      <c r="F76" s="2">
        <v>0</v>
      </c>
      <c r="O76" s="4"/>
      <c r="Q76" s="4"/>
      <c r="T76" s="4"/>
    </row>
    <row r="77" spans="1:20" x14ac:dyDescent="0.3">
      <c r="A77" s="3" t="s">
        <v>17</v>
      </c>
      <c r="B77" s="1" t="s">
        <v>15</v>
      </c>
      <c r="C77" s="2">
        <v>-0.89744959999999996</v>
      </c>
      <c r="D77" s="6">
        <v>-8.3283323000000004E-7</v>
      </c>
      <c r="E77" s="6">
        <v>-2.5129275E-9</v>
      </c>
      <c r="F77" s="2">
        <v>0</v>
      </c>
      <c r="J77" s="4"/>
      <c r="K77" s="4"/>
      <c r="N77" s="4"/>
      <c r="O77" s="4"/>
      <c r="P77" s="4"/>
      <c r="Q77" s="4"/>
      <c r="R77" s="4"/>
      <c r="S77" s="4"/>
      <c r="T77" s="4"/>
    </row>
    <row r="78" spans="1:20" x14ac:dyDescent="0.3">
      <c r="A78" s="3" t="s">
        <v>17</v>
      </c>
      <c r="B78" s="1" t="s">
        <v>4</v>
      </c>
      <c r="C78" s="2">
        <v>0</v>
      </c>
      <c r="D78" s="2">
        <v>0</v>
      </c>
      <c r="E78" s="2">
        <v>0</v>
      </c>
      <c r="F78" s="2">
        <v>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 x14ac:dyDescent="0.3">
      <c r="A79" s="3" t="s">
        <v>17</v>
      </c>
      <c r="B79" s="1" t="s">
        <v>6</v>
      </c>
      <c r="C79" s="2">
        <v>0</v>
      </c>
      <c r="D79" s="2">
        <v>0</v>
      </c>
      <c r="E79" s="2">
        <v>0</v>
      </c>
      <c r="F79" s="2">
        <v>0</v>
      </c>
      <c r="K79" s="4"/>
      <c r="L79" s="4"/>
      <c r="N79" s="4"/>
      <c r="O79" s="4"/>
      <c r="P79" s="4"/>
      <c r="Q79" s="4"/>
      <c r="R79" s="4"/>
      <c r="S79" s="4"/>
      <c r="T79" s="4"/>
    </row>
    <row r="80" spans="1:20" x14ac:dyDescent="0.3">
      <c r="A80" s="3" t="s">
        <v>17</v>
      </c>
      <c r="B80" s="1" t="s">
        <v>5</v>
      </c>
      <c r="C80" s="2">
        <v>-2.5754853999999998</v>
      </c>
      <c r="D80" s="6">
        <v>-2.1187067E-7</v>
      </c>
      <c r="E80" s="6">
        <v>-4.5327696000000001E-9</v>
      </c>
      <c r="F80" s="2">
        <v>0.32606357000000002</v>
      </c>
      <c r="L80" s="4"/>
      <c r="O80" s="4"/>
      <c r="T80" s="4"/>
    </row>
    <row r="81" spans="1:20" x14ac:dyDescent="0.3">
      <c r="A81" s="3" t="s">
        <v>17</v>
      </c>
      <c r="B81" s="1" t="s">
        <v>14</v>
      </c>
      <c r="C81" s="2">
        <f>1.36155937821+0.0084</f>
        <v>1.3699593782099999</v>
      </c>
      <c r="D81" s="6">
        <v>2.4099999999999998E-6</v>
      </c>
      <c r="E81" s="6">
        <v>5.2499999999999999E-9</v>
      </c>
      <c r="F81" s="2">
        <v>0.14599999999999999</v>
      </c>
      <c r="L81" s="4"/>
      <c r="O81" s="4"/>
      <c r="T81" s="4"/>
    </row>
    <row r="82" spans="1:20" x14ac:dyDescent="0.3">
      <c r="A82" s="3" t="s">
        <v>17</v>
      </c>
      <c r="B82" s="1" t="s">
        <v>8</v>
      </c>
      <c r="C82" s="2">
        <v>0</v>
      </c>
      <c r="D82" s="2">
        <v>0</v>
      </c>
      <c r="E82" s="2">
        <v>0</v>
      </c>
      <c r="F82" s="2">
        <v>0</v>
      </c>
      <c r="O82" s="4"/>
      <c r="T82" s="4"/>
    </row>
    <row r="84" spans="1:20" x14ac:dyDescent="0.3">
      <c r="O84" s="4"/>
      <c r="T84" s="4"/>
    </row>
    <row r="85" spans="1:20" x14ac:dyDescent="0.3">
      <c r="O85" s="4"/>
      <c r="P85" s="4"/>
      <c r="Q85" s="4"/>
      <c r="S85" s="4"/>
      <c r="T85" s="4"/>
    </row>
    <row r="86" spans="1:20" x14ac:dyDescent="0.3">
      <c r="O86" s="4"/>
      <c r="T86" s="4"/>
    </row>
    <row r="87" spans="1:20" x14ac:dyDescent="0.3">
      <c r="S87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25BE-0F44-4164-9A46-CC2062763E23}">
  <dimension ref="A1:Q40"/>
  <sheetViews>
    <sheetView tabSelected="1" zoomScale="180" zoomScaleNormal="180" workbookViewId="0">
      <selection activeCell="L8" sqref="L8"/>
    </sheetView>
  </sheetViews>
  <sheetFormatPr defaultRowHeight="14.4" x14ac:dyDescent="0.3"/>
  <cols>
    <col min="1" max="1" width="14.5546875" bestFit="1" customWidth="1"/>
    <col min="2" max="2" width="11.88671875" bestFit="1" customWidth="1"/>
    <col min="3" max="3" width="9.5546875" bestFit="1" customWidth="1"/>
    <col min="4" max="4" width="12.5546875" bestFit="1" customWidth="1"/>
    <col min="5" max="5" width="10.44140625" bestFit="1" customWidth="1"/>
    <col min="6" max="6" width="9.33203125" bestFit="1" customWidth="1"/>
  </cols>
  <sheetData>
    <row r="1" spans="1:6" x14ac:dyDescent="0.3">
      <c r="A1" s="1" t="s">
        <v>0</v>
      </c>
      <c r="B1" s="1" t="s">
        <v>13</v>
      </c>
      <c r="C1" s="1" t="s">
        <v>18</v>
      </c>
      <c r="D1" s="5" t="s">
        <v>19</v>
      </c>
      <c r="E1" s="5" t="s">
        <v>20</v>
      </c>
      <c r="F1" s="5" t="s">
        <v>21</v>
      </c>
    </row>
    <row r="2" spans="1:6" x14ac:dyDescent="0.3">
      <c r="A2" s="1" t="s">
        <v>2</v>
      </c>
      <c r="B2" s="1">
        <v>0</v>
      </c>
      <c r="C2" s="1"/>
      <c r="D2" s="5"/>
      <c r="E2" s="5"/>
      <c r="F2" s="5"/>
    </row>
    <row r="3" spans="1:6" x14ac:dyDescent="0.3">
      <c r="A3" s="1" t="s">
        <v>10</v>
      </c>
      <c r="B3" s="1">
        <f>B2+1</f>
        <v>1</v>
      </c>
      <c r="C3" s="2">
        <f>SUM(All!C11:C19)</f>
        <v>1.1309036530000001</v>
      </c>
      <c r="D3" s="6">
        <f>SUM(All!D11:D19)</f>
        <v>2.48670361E-6</v>
      </c>
      <c r="E3" s="6">
        <f>SUM(All!E11:E19)</f>
        <v>4.8119710799999997E-9</v>
      </c>
      <c r="F3" s="2">
        <f>SUM(All!F11:F19)</f>
        <v>0.33480699559999999</v>
      </c>
    </row>
    <row r="4" spans="1:6" x14ac:dyDescent="0.3">
      <c r="A4" s="1" t="s">
        <v>9</v>
      </c>
      <c r="B4" s="1">
        <f t="shared" ref="B4:B10" si="0">B3+1</f>
        <v>2</v>
      </c>
      <c r="C4" s="2">
        <f>SUM(All!C20:C28)</f>
        <v>0.54300742999999996</v>
      </c>
      <c r="D4" s="6">
        <f>SUM(All!D20:D28)</f>
        <v>1.9509989999999998E-6</v>
      </c>
      <c r="E4" s="6">
        <f>SUM(All!E20:E28)</f>
        <v>3.1414923400000002E-9</v>
      </c>
      <c r="F4" s="2">
        <f>SUM(All!F20:F28)</f>
        <v>0.34541259860000001</v>
      </c>
    </row>
    <row r="5" spans="1:6" x14ac:dyDescent="0.3">
      <c r="A5" s="1" t="s">
        <v>11</v>
      </c>
      <c r="B5" s="1">
        <f t="shared" si="0"/>
        <v>3</v>
      </c>
      <c r="C5" s="2">
        <f>SUM(All!C29:C37)</f>
        <v>1.3907358236</v>
      </c>
      <c r="D5" s="6">
        <f>SUM(All!D29:D37)</f>
        <v>4.4940624099999997E-6</v>
      </c>
      <c r="E5" s="6">
        <f>SUM(All!E29:E37)</f>
        <v>6.8756891800000003E-9</v>
      </c>
      <c r="F5" s="2">
        <f>SUM(All!F29:F37)</f>
        <v>0.1379154786</v>
      </c>
    </row>
    <row r="6" spans="1:6" x14ac:dyDescent="0.3">
      <c r="A6" s="1" t="s">
        <v>12</v>
      </c>
      <c r="B6" s="1">
        <f t="shared" si="0"/>
        <v>4</v>
      </c>
      <c r="C6" s="2">
        <f>SUM(All!C38:C46)</f>
        <v>-0.60249648939999989</v>
      </c>
      <c r="D6" s="6">
        <f>SUM(All!D38:D46)</f>
        <v>2.6777831000000001E-6</v>
      </c>
      <c r="E6" s="6">
        <f>SUM(All!E38:E46)</f>
        <v>1.2120157600000003E-9</v>
      </c>
      <c r="F6" s="2">
        <f>SUM(All!F38:F46)</f>
        <v>0.17387323860000001</v>
      </c>
    </row>
    <row r="7" spans="1:6" x14ac:dyDescent="0.3">
      <c r="A7" s="1" t="s">
        <v>15</v>
      </c>
      <c r="B7" s="1">
        <f t="shared" si="0"/>
        <v>5</v>
      </c>
      <c r="C7" s="2">
        <f>SUM(All!C47:C55)</f>
        <v>1.1881262282099998</v>
      </c>
      <c r="D7" s="6">
        <f>SUM(All!D47:D55)</f>
        <v>2.58690677E-6</v>
      </c>
      <c r="E7" s="6">
        <f>SUM(All!E47:E55)</f>
        <v>5.3155171999999994E-9</v>
      </c>
      <c r="F7" s="2">
        <f>SUM(All!F47:F55)</f>
        <v>0.42866307000000003</v>
      </c>
    </row>
    <row r="8" spans="1:6" x14ac:dyDescent="0.3">
      <c r="A8" s="3" t="s">
        <v>22</v>
      </c>
      <c r="B8" s="1">
        <f t="shared" si="0"/>
        <v>6</v>
      </c>
      <c r="C8" s="2">
        <f>SUM(All!C56:C64)</f>
        <v>1.44752375821</v>
      </c>
      <c r="D8" s="6">
        <f>SUM(All!D56:D64)</f>
        <v>4.5841274699999998E-6</v>
      </c>
      <c r="E8" s="6">
        <f>SUM(All!E56:E64)</f>
        <v>7.3688125999999995E-9</v>
      </c>
      <c r="F8" s="2">
        <f>SUM(All!F56:F64)</f>
        <v>0.232765957</v>
      </c>
    </row>
    <row r="9" spans="1:6" x14ac:dyDescent="0.3">
      <c r="A9" s="3" t="s">
        <v>23</v>
      </c>
      <c r="B9" s="1">
        <f t="shared" si="0"/>
        <v>7</v>
      </c>
      <c r="C9" s="2">
        <f>SUM(All!C65:C73)</f>
        <v>4.9285328209999868E-2</v>
      </c>
      <c r="D9" s="6">
        <f>SUM(All!D65:D73)</f>
        <v>3.3100202699999997E-6</v>
      </c>
      <c r="E9" s="6">
        <f>SUM(All!E65:E73)</f>
        <v>3.3957854999999997E-9</v>
      </c>
      <c r="F9" s="2">
        <f>SUM(All!F65:F73)</f>
        <v>0.25799006999999996</v>
      </c>
    </row>
    <row r="10" spans="1:6" x14ac:dyDescent="0.3">
      <c r="A10" s="1" t="s">
        <v>16</v>
      </c>
      <c r="B10" s="1">
        <f t="shared" si="0"/>
        <v>8</v>
      </c>
      <c r="C10" s="2">
        <f>SUM(All!C74:C82)</f>
        <v>-2.1029756217899997</v>
      </c>
      <c r="D10" s="6">
        <f>SUM(All!D74:D82)</f>
        <v>1.3652960999999997E-6</v>
      </c>
      <c r="E10" s="6">
        <f>SUM(All!E74:E82)</f>
        <v>-1.7956971000000002E-9</v>
      </c>
      <c r="F10" s="2">
        <f>SUM(All!F74:F82)</f>
        <v>0.47206356999999999</v>
      </c>
    </row>
    <row r="11" spans="1:6" x14ac:dyDescent="0.3">
      <c r="D11" s="7"/>
      <c r="E11" s="7"/>
      <c r="F11" s="7"/>
    </row>
    <row r="24" spans="10:17" x14ac:dyDescent="0.3">
      <c r="J24" s="4"/>
      <c r="K24" s="4"/>
      <c r="L24" s="4"/>
      <c r="M24" s="4"/>
      <c r="N24" s="4"/>
      <c r="O24" s="4"/>
      <c r="P24" s="4"/>
      <c r="Q24" s="4"/>
    </row>
    <row r="25" spans="10:17" x14ac:dyDescent="0.3">
      <c r="J25" s="4"/>
      <c r="K25" s="4"/>
      <c r="L25" s="4"/>
      <c r="M25" s="4"/>
      <c r="N25" s="4"/>
      <c r="O25" s="4"/>
      <c r="P25" s="4"/>
      <c r="Q25" s="4"/>
    </row>
    <row r="33" spans="4:11" x14ac:dyDescent="0.3">
      <c r="D33" s="4"/>
      <c r="E33" s="4"/>
      <c r="F33" s="4"/>
      <c r="G33" s="4"/>
      <c r="H33" s="4"/>
      <c r="I33" s="4"/>
      <c r="J33" s="4"/>
      <c r="K33" s="4"/>
    </row>
    <row r="34" spans="4:11" x14ac:dyDescent="0.3">
      <c r="D34" s="4"/>
      <c r="E34" s="4"/>
      <c r="F34" s="4"/>
      <c r="G34" s="4"/>
      <c r="H34" s="4"/>
      <c r="I34" s="4"/>
      <c r="J34" s="4"/>
      <c r="K34" s="4"/>
    </row>
    <row r="40" spans="4:11" x14ac:dyDescent="0.3">
      <c r="D40" s="4"/>
      <c r="E40" s="4"/>
      <c r="F40" s="4"/>
      <c r="G40" s="4"/>
      <c r="H40" s="4"/>
      <c r="I40" s="4"/>
      <c r="J40" s="4"/>
      <c r="K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Cummulative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2022-07-26T14:10:30Z</dcterms:created>
  <dcterms:modified xsi:type="dcterms:W3CDTF">2022-08-30T17:05:20Z</dcterms:modified>
</cp:coreProperties>
</file>