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anabera\Desktop\Carbon dioxide to 1-propanol\Data\Economics\Carbon dioxide to 1-propanol\Carbon dioxide to 1-propanol v4\"/>
    </mc:Choice>
  </mc:AlternateContent>
  <xr:revisionPtr revIDLastSave="0" documentId="13_ncr:1_{E32E3D47-AF67-4179-9048-914CFFDCCAFE}" xr6:coauthVersionLast="47" xr6:coauthVersionMax="47" xr10:uidLastSave="{00000000-0000-0000-0000-000000000000}"/>
  <bookViews>
    <workbookView xWindow="38280" yWindow="-120" windowWidth="38640" windowHeight="21240" xr2:uid="{00000000-000D-0000-FFFF-FFFF00000000}"/>
  </bookViews>
  <sheets>
    <sheet name="CAPEX" sheetId="7" r:id="rId1"/>
    <sheet name="Production costs" sheetId="12" r:id="rId2"/>
    <sheet name="Catalyst costs" sheetId="13" r:id="rId3"/>
    <sheet name="OPEX" sheetId="8" r:id="rId4"/>
    <sheet name="Summary" sheetId="1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5" i="7" l="1"/>
  <c r="D34" i="7"/>
  <c r="D33" i="7"/>
  <c r="H160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G19" i="8"/>
  <c r="G16" i="8"/>
  <c r="G15" i="8"/>
  <c r="G12" i="8"/>
  <c r="G11" i="8"/>
  <c r="G10" i="8"/>
  <c r="G7" i="8"/>
  <c r="G6" i="8"/>
  <c r="G5" i="8"/>
  <c r="F35" i="11" l="1"/>
  <c r="F34" i="11"/>
  <c r="F33" i="11"/>
  <c r="F32" i="11"/>
  <c r="F30" i="11"/>
  <c r="F29" i="11"/>
  <c r="F27" i="11"/>
  <c r="E10" i="8"/>
  <c r="D19" i="8" l="1"/>
  <c r="D12" i="8"/>
  <c r="D10" i="8"/>
  <c r="D11" i="8"/>
  <c r="D16" i="8"/>
  <c r="D15" i="8"/>
  <c r="D7" i="8"/>
  <c r="D6" i="8"/>
  <c r="D5" i="8"/>
  <c r="D192" i="7"/>
  <c r="D188" i="7"/>
  <c r="D184" i="7"/>
  <c r="D180" i="7"/>
  <c r="L26" i="7"/>
  <c r="L24" i="7"/>
  <c r="L23" i="7"/>
  <c r="M21" i="7"/>
  <c r="N21" i="7" s="1"/>
  <c r="O21" i="7" s="1"/>
  <c r="Q21" i="7" s="1"/>
  <c r="D175" i="7" s="1"/>
  <c r="M22" i="7"/>
  <c r="N22" i="7" s="1"/>
  <c r="O22" i="7" s="1"/>
  <c r="Q22" i="7" s="1"/>
  <c r="D176" i="7" s="1"/>
  <c r="D164" i="7"/>
  <c r="D163" i="7"/>
  <c r="D162" i="7"/>
  <c r="H162" i="7" s="1"/>
  <c r="H30" i="7"/>
  <c r="F19" i="8" l="1"/>
  <c r="L5" i="8"/>
  <c r="F16" i="8"/>
  <c r="F15" i="8"/>
  <c r="F7" i="8"/>
  <c r="F28" i="11" s="1"/>
  <c r="F6" i="8"/>
  <c r="M5" i="8" l="1"/>
  <c r="E12" i="8" s="1"/>
  <c r="F12" i="8" s="1"/>
  <c r="G17" i="8"/>
  <c r="G20" i="8"/>
  <c r="F31" i="11" l="1"/>
  <c r="G13" i="8"/>
  <c r="H29" i="7"/>
  <c r="H28" i="7"/>
  <c r="H27" i="7"/>
  <c r="H26" i="7"/>
  <c r="H25" i="7"/>
  <c r="H24" i="7"/>
  <c r="H23" i="7"/>
  <c r="H22" i="7"/>
  <c r="H21" i="7"/>
  <c r="H20" i="7"/>
  <c r="H96" i="7"/>
  <c r="H95" i="7"/>
  <c r="H94" i="7"/>
  <c r="H93" i="7"/>
  <c r="H92" i="7"/>
  <c r="H91" i="7"/>
  <c r="H90" i="7"/>
  <c r="M26" i="7"/>
  <c r="N26" i="7" s="1"/>
  <c r="O26" i="7" s="1"/>
  <c r="Q26" i="7" s="1"/>
  <c r="D191" i="7" s="1"/>
  <c r="H191" i="7" s="1"/>
  <c r="M25" i="7"/>
  <c r="N25" i="7" s="1"/>
  <c r="O25" i="7" s="1"/>
  <c r="Q25" i="7" s="1"/>
  <c r="D187" i="7" s="1"/>
  <c r="H187" i="7" s="1"/>
  <c r="M24" i="7"/>
  <c r="N24" i="7" s="1"/>
  <c r="H192" i="7"/>
  <c r="H188" i="7"/>
  <c r="H184" i="7"/>
  <c r="M23" i="7"/>
  <c r="N23" i="7" s="1"/>
  <c r="H180" i="7"/>
  <c r="H35" i="7"/>
  <c r="H34" i="7"/>
  <c r="H33" i="7"/>
  <c r="H164" i="7"/>
  <c r="H163" i="7"/>
  <c r="M20" i="7"/>
  <c r="N20" i="7" s="1"/>
  <c r="O20" i="7" s="1"/>
  <c r="Q20" i="7" s="1"/>
  <c r="M19" i="7"/>
  <c r="N19" i="7" s="1"/>
  <c r="O19" i="7" s="1"/>
  <c r="Q19" i="7" s="1"/>
  <c r="D173" i="7" s="1"/>
  <c r="H89" i="7"/>
  <c r="H88" i="7"/>
  <c r="H87" i="7"/>
  <c r="H86" i="7"/>
  <c r="H85" i="7"/>
  <c r="H84" i="7"/>
  <c r="H83" i="7"/>
  <c r="H82" i="7"/>
  <c r="H81" i="7"/>
  <c r="H80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189" i="7" l="1"/>
  <c r="H165" i="7"/>
  <c r="F8" i="11" s="1"/>
  <c r="H36" i="7"/>
  <c r="H193" i="7"/>
  <c r="D174" i="7"/>
  <c r="H174" i="7" s="1"/>
  <c r="O24" i="7"/>
  <c r="Q24" i="7" s="1"/>
  <c r="O23" i="7"/>
  <c r="Q23" i="7" s="1"/>
  <c r="H173" i="7"/>
  <c r="F5" i="8"/>
  <c r="F26" i="11" s="1"/>
  <c r="F6" i="11" l="1"/>
  <c r="G6" i="11" s="1"/>
  <c r="D183" i="7"/>
  <c r="H183" i="7" s="1"/>
  <c r="H185" i="7" s="1"/>
  <c r="H176" i="7"/>
  <c r="D179" i="7"/>
  <c r="H179" i="7" s="1"/>
  <c r="H181" i="7" s="1"/>
  <c r="F10" i="11" s="1"/>
  <c r="H175" i="7"/>
  <c r="G8" i="8"/>
  <c r="E5" i="13"/>
  <c r="F5" i="13" s="1"/>
  <c r="G21" i="8" s="1"/>
  <c r="G10" i="11" l="1"/>
  <c r="H52" i="7"/>
  <c r="H51" i="7"/>
  <c r="H50" i="7"/>
  <c r="H49" i="7"/>
  <c r="H48" i="7"/>
  <c r="H47" i="7"/>
  <c r="H46" i="7"/>
  <c r="H45" i="7"/>
  <c r="H44" i="7"/>
  <c r="H17" i="7"/>
  <c r="H16" i="7"/>
  <c r="H15" i="7"/>
  <c r="H14" i="7"/>
  <c r="C6" i="12" l="1"/>
  <c r="F15" i="11" s="1"/>
  <c r="C7" i="12" l="1"/>
  <c r="F16" i="11" s="1"/>
  <c r="C8" i="12" l="1"/>
  <c r="C9" i="12" l="1"/>
  <c r="C11" i="11" s="1"/>
  <c r="F17" i="11"/>
  <c r="C16" i="11"/>
  <c r="C15" i="11"/>
  <c r="M18" i="7"/>
  <c r="N18" i="7" s="1"/>
  <c r="O18" i="7" s="1"/>
  <c r="Q18" i="7" s="1"/>
  <c r="M17" i="7"/>
  <c r="N17" i="7" s="1"/>
  <c r="O17" i="7" s="1"/>
  <c r="Q17" i="7" s="1"/>
  <c r="M16" i="7"/>
  <c r="N16" i="7" s="1"/>
  <c r="O16" i="7" s="1"/>
  <c r="Q16" i="7" s="1"/>
  <c r="D170" i="7" s="1"/>
  <c r="H43" i="7"/>
  <c r="H19" i="7"/>
  <c r="H18" i="7"/>
  <c r="H31" i="7" l="1"/>
  <c r="D172" i="7"/>
  <c r="H172" i="7" s="1"/>
  <c r="D171" i="7"/>
  <c r="H171" i="7" s="1"/>
  <c r="H170" i="7"/>
  <c r="H42" i="7"/>
  <c r="H41" i="7"/>
  <c r="H40" i="7"/>
  <c r="H39" i="7"/>
  <c r="H38" i="7"/>
  <c r="F5" i="11" l="1"/>
  <c r="G5" i="11" s="1"/>
  <c r="F11" i="8"/>
  <c r="F10" i="8"/>
  <c r="B208" i="7"/>
  <c r="C17" i="11" s="1"/>
  <c r="F7" i="11" l="1"/>
  <c r="G7" i="11" s="1"/>
  <c r="G22" i="8"/>
  <c r="C20" i="11" s="1"/>
  <c r="M15" i="7"/>
  <c r="N15" i="7" s="1"/>
  <c r="O15" i="7" s="1"/>
  <c r="Q15" i="7" s="1"/>
  <c r="D169" i="7" s="1"/>
  <c r="M14" i="7"/>
  <c r="N14" i="7" s="1"/>
  <c r="O14" i="7" s="1"/>
  <c r="Q14" i="7" s="1"/>
  <c r="D168" i="7" s="1"/>
  <c r="M13" i="7"/>
  <c r="N13" i="7" s="1"/>
  <c r="O13" i="7" s="1"/>
  <c r="Q13" i="7" s="1"/>
  <c r="D167" i="7" l="1"/>
  <c r="H167" i="7" s="1"/>
  <c r="H168" i="7"/>
  <c r="H169" i="7"/>
  <c r="G8" i="11"/>
  <c r="H177" i="7" l="1"/>
  <c r="H194" i="7" l="1"/>
  <c r="B198" i="7" s="1"/>
  <c r="C3" i="11" s="1"/>
  <c r="F9" i="11"/>
  <c r="G9" i="11"/>
  <c r="B199" i="7" l="1"/>
  <c r="B200" i="7" s="1"/>
  <c r="C5" i="11" s="1"/>
  <c r="C4" i="11" l="1"/>
  <c r="C11" i="12"/>
  <c r="C12" i="12" s="1"/>
  <c r="C12" i="11" s="1"/>
  <c r="B201" i="7"/>
  <c r="C6" i="11" s="1"/>
  <c r="B203" i="7"/>
  <c r="B204" i="7" s="1"/>
  <c r="C18" i="12" s="1"/>
  <c r="C15" i="12"/>
  <c r="F20" i="11" s="1"/>
  <c r="B202" i="7"/>
  <c r="C7" i="11" s="1"/>
  <c r="C19" i="12"/>
  <c r="C14" i="11" s="1"/>
  <c r="F21" i="11"/>
  <c r="F18" i="11"/>
  <c r="C14" i="12"/>
  <c r="C9" i="11"/>
  <c r="C203" i="7"/>
  <c r="C8" i="11"/>
  <c r="B205" i="7"/>
  <c r="C10" i="11" s="1"/>
  <c r="C16" i="12" l="1"/>
  <c r="C13" i="11" s="1"/>
  <c r="F19" i="11"/>
  <c r="H6" i="11"/>
  <c r="H10" i="11"/>
  <c r="H5" i="11"/>
  <c r="H7" i="11"/>
  <c r="H8" i="11"/>
  <c r="H9" i="11"/>
  <c r="B209" i="7"/>
  <c r="B210" i="7" s="1"/>
  <c r="C18" i="11" s="1"/>
  <c r="C20" i="12" l="1"/>
  <c r="C19" i="11" s="1"/>
  <c r="C21" i="11" s="1"/>
  <c r="C22" i="11" s="1"/>
  <c r="C24" i="11" s="1"/>
  <c r="C25" i="11" s="1"/>
  <c r="K15" i="11" l="1"/>
  <c r="F36" i="11" l="1"/>
  <c r="F11" i="11" l="1"/>
  <c r="G11" i="11" l="1"/>
  <c r="K18" i="11" l="1"/>
  <c r="K17" i="11" l="1"/>
  <c r="K6" i="11"/>
  <c r="K10" i="11"/>
  <c r="K7" i="11"/>
  <c r="K9" i="11"/>
  <c r="K8" i="11"/>
  <c r="K16" i="11"/>
  <c r="F22" i="11"/>
  <c r="K19" i="11" l="1"/>
  <c r="H11" i="11"/>
  <c r="K5" i="11"/>
  <c r="K11" i="11" s="1"/>
</calcChain>
</file>

<file path=xl/sharedStrings.xml><?xml version="1.0" encoding="utf-8"?>
<sst xmlns="http://schemas.openxmlformats.org/spreadsheetml/2006/main" count="743" uniqueCount="268">
  <si>
    <t>Cost factors</t>
  </si>
  <si>
    <t>Equipment erection</t>
  </si>
  <si>
    <t>Piping</t>
  </si>
  <si>
    <t>Instrumentation and control</t>
  </si>
  <si>
    <t>Electrical</t>
  </si>
  <si>
    <t>Civil</t>
  </si>
  <si>
    <t>Structures and buildings</t>
  </si>
  <si>
    <t>Lagging and paint</t>
  </si>
  <si>
    <t>Material factor for 304 SS</t>
  </si>
  <si>
    <t xml:space="preserve">Equipment </t>
  </si>
  <si>
    <t>a</t>
  </si>
  <si>
    <t>b</t>
  </si>
  <si>
    <t>n</t>
  </si>
  <si>
    <t>Equipment approximated as</t>
  </si>
  <si>
    <t>Dimension needed</t>
  </si>
  <si>
    <t>Value</t>
  </si>
  <si>
    <t>Volume</t>
  </si>
  <si>
    <t>h (m)</t>
  </si>
  <si>
    <t>Shell mass (kg)</t>
  </si>
  <si>
    <r>
      <t>Purchased Cost (C</t>
    </r>
    <r>
      <rPr>
        <b/>
        <vertAlign val="subscript"/>
        <sz val="11"/>
        <color theme="1"/>
        <rFont val="Calibri"/>
        <family val="2"/>
        <scheme val="minor"/>
      </rPr>
      <t>e,i,a</t>
    </r>
    <r>
      <rPr>
        <b/>
        <sz val="11"/>
        <color theme="1"/>
        <rFont val="Calibri"/>
        <family val="2"/>
        <scheme val="minor"/>
      </rPr>
      <t>)</t>
    </r>
  </si>
  <si>
    <t>Internal diameter (m)</t>
  </si>
  <si>
    <t>External diameter (m)</t>
  </si>
  <si>
    <t>Equipment</t>
  </si>
  <si>
    <t>Material</t>
  </si>
  <si>
    <t>Total cost</t>
  </si>
  <si>
    <t>Cooling water</t>
  </si>
  <si>
    <t>Electricity</t>
  </si>
  <si>
    <t>Project lifetime</t>
  </si>
  <si>
    <t>Interest rate</t>
  </si>
  <si>
    <t>ACCR</t>
  </si>
  <si>
    <t>Unit</t>
  </si>
  <si>
    <t>Quantity</t>
  </si>
  <si>
    <t>Price ($/unit)</t>
  </si>
  <si>
    <t>ton/hr</t>
  </si>
  <si>
    <t>CEPCI 2010</t>
  </si>
  <si>
    <t>CEPCI 2019</t>
  </si>
  <si>
    <t>CAPEX (M$/year)</t>
  </si>
  <si>
    <t>M$/year</t>
  </si>
  <si>
    <r>
      <t>f</t>
    </r>
    <r>
      <rPr>
        <vertAlign val="subscript"/>
        <sz val="11"/>
        <color theme="1"/>
        <rFont val="Calibri"/>
        <family val="2"/>
        <scheme val="minor"/>
      </rPr>
      <t>er</t>
    </r>
  </si>
  <si>
    <r>
      <t>f</t>
    </r>
    <r>
      <rPr>
        <vertAlign val="subscript"/>
        <sz val="11"/>
        <color theme="1"/>
        <rFont val="Calibri"/>
        <family val="2"/>
        <scheme val="minor"/>
      </rPr>
      <t>p</t>
    </r>
  </si>
  <si>
    <r>
      <t>f</t>
    </r>
    <r>
      <rPr>
        <vertAlign val="subscript"/>
        <sz val="11"/>
        <color theme="1"/>
        <rFont val="Calibri"/>
        <family val="2"/>
        <scheme val="minor"/>
      </rPr>
      <t>i</t>
    </r>
  </si>
  <si>
    <r>
      <t>f</t>
    </r>
    <r>
      <rPr>
        <vertAlign val="subscript"/>
        <sz val="11"/>
        <color theme="1"/>
        <rFont val="Calibri"/>
        <family val="2"/>
        <scheme val="minor"/>
      </rPr>
      <t>el</t>
    </r>
  </si>
  <si>
    <r>
      <t>f</t>
    </r>
    <r>
      <rPr>
        <vertAlign val="subscript"/>
        <sz val="11"/>
        <color theme="1"/>
        <rFont val="Calibri"/>
        <family val="2"/>
        <scheme val="minor"/>
      </rPr>
      <t>c</t>
    </r>
  </si>
  <si>
    <r>
      <t>f</t>
    </r>
    <r>
      <rPr>
        <vertAlign val="subscript"/>
        <sz val="11"/>
        <color theme="1"/>
        <rFont val="Calibri"/>
        <family val="2"/>
        <scheme val="minor"/>
      </rPr>
      <t>s</t>
    </r>
  </si>
  <si>
    <r>
      <t>f</t>
    </r>
    <r>
      <rPr>
        <vertAlign val="subscript"/>
        <sz val="11"/>
        <color theme="1"/>
        <rFont val="Calibri"/>
        <family val="2"/>
        <scheme val="minor"/>
      </rPr>
      <t>l</t>
    </r>
  </si>
  <si>
    <r>
      <t>f</t>
    </r>
    <r>
      <rPr>
        <vertAlign val="subscript"/>
        <sz val="11"/>
        <color theme="1"/>
        <rFont val="Calibri"/>
        <family val="2"/>
        <scheme val="minor"/>
      </rPr>
      <t>m</t>
    </r>
  </si>
  <si>
    <t>K-100</t>
  </si>
  <si>
    <t>K-101</t>
  </si>
  <si>
    <t>K-109</t>
  </si>
  <si>
    <t>V-100</t>
  </si>
  <si>
    <t>V-101</t>
  </si>
  <si>
    <r>
      <t>Area for shell (m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</si>
  <si>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r>
      <t>Density (kg/m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</si>
  <si>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t>Power, kW</t>
  </si>
  <si>
    <t xml:space="preserve">Area </t>
  </si>
  <si>
    <t>Flue gas emissions</t>
  </si>
  <si>
    <t>OPEX (M$/year)</t>
  </si>
  <si>
    <t>Compressors</t>
  </si>
  <si>
    <t>Reactors</t>
  </si>
  <si>
    <t>Shell mass, kg</t>
  </si>
  <si>
    <t>Installed capital cost</t>
  </si>
  <si>
    <t>Offsites (OS)</t>
  </si>
  <si>
    <t>Design and Engineering (D&amp;E)</t>
  </si>
  <si>
    <t>Contingency (X)</t>
  </si>
  <si>
    <t>Fixed capital investment</t>
  </si>
  <si>
    <t>Total investment</t>
  </si>
  <si>
    <t>Annualized capital</t>
  </si>
  <si>
    <t>Working capital</t>
  </si>
  <si>
    <t>Labor Costs</t>
  </si>
  <si>
    <t>Supervision</t>
  </si>
  <si>
    <t>25% of operating Labor</t>
  </si>
  <si>
    <t>Description</t>
  </si>
  <si>
    <t>Assumption</t>
  </si>
  <si>
    <t>Direct overhead</t>
  </si>
  <si>
    <t>45% of labor and supervision</t>
  </si>
  <si>
    <t>Maintanance Costs</t>
  </si>
  <si>
    <t xml:space="preserve">Maintanance </t>
  </si>
  <si>
    <t>3% of the installed capital cost</t>
  </si>
  <si>
    <t>Overhead expenses</t>
  </si>
  <si>
    <t>Overhead Expenses</t>
  </si>
  <si>
    <t>Plant overhead</t>
  </si>
  <si>
    <t>Operating labor</t>
  </si>
  <si>
    <t>65% of labor and maintanace</t>
  </si>
  <si>
    <t>Tax &amp; Insurance</t>
  </si>
  <si>
    <t>Design and engineering (D&amp;E)</t>
  </si>
  <si>
    <t>2% of installed cost and offsites</t>
  </si>
  <si>
    <t>Interest</t>
  </si>
  <si>
    <t>Interest on debit</t>
  </si>
  <si>
    <t>6% of working capital</t>
  </si>
  <si>
    <t>Labor costs</t>
  </si>
  <si>
    <t>Maintanance costs</t>
  </si>
  <si>
    <t>Total fixed production costs</t>
  </si>
  <si>
    <t>Reference</t>
  </si>
  <si>
    <t>9 shift positions, 9 operators/shift</t>
  </si>
  <si>
    <t>CEPCI 2018</t>
  </si>
  <si>
    <t>Reference Data</t>
  </si>
  <si>
    <t>Hydrogen</t>
  </si>
  <si>
    <t>K-102</t>
  </si>
  <si>
    <t>K-103</t>
  </si>
  <si>
    <t>K-104</t>
  </si>
  <si>
    <t>K-105</t>
  </si>
  <si>
    <t>Unit operation</t>
  </si>
  <si>
    <t>Catalyst used</t>
  </si>
  <si>
    <t>$/kg</t>
  </si>
  <si>
    <t>Catalyst costs</t>
  </si>
  <si>
    <t>E-141</t>
  </si>
  <si>
    <t>E-137</t>
  </si>
  <si>
    <t>E-139</t>
  </si>
  <si>
    <t>E-171</t>
  </si>
  <si>
    <t>E-173</t>
  </si>
  <si>
    <t>E-161</t>
  </si>
  <si>
    <t>E-163</t>
  </si>
  <si>
    <t>E-154</t>
  </si>
  <si>
    <t>E-156</t>
  </si>
  <si>
    <t>E-146</t>
  </si>
  <si>
    <t>E-152</t>
  </si>
  <si>
    <t>E-172</t>
  </si>
  <si>
    <t>E-176</t>
  </si>
  <si>
    <t>E-174</t>
  </si>
  <si>
    <t>E-162</t>
  </si>
  <si>
    <t>E-164</t>
  </si>
  <si>
    <t>E-166</t>
  </si>
  <si>
    <t>E-151</t>
  </si>
  <si>
    <t>E-153</t>
  </si>
  <si>
    <t>E-175</t>
  </si>
  <si>
    <t>E-177</t>
  </si>
  <si>
    <t>E-169</t>
  </si>
  <si>
    <t>E-159</t>
  </si>
  <si>
    <t>E-157</t>
  </si>
  <si>
    <t>E-165</t>
  </si>
  <si>
    <t>E-167</t>
  </si>
  <si>
    <t>E-144</t>
  </si>
  <si>
    <t>E-148</t>
  </si>
  <si>
    <t>E-150</t>
  </si>
  <si>
    <t>E-140</t>
  </si>
  <si>
    <t>E-142</t>
  </si>
  <si>
    <t>E-138</t>
  </si>
  <si>
    <t>E-168</t>
  </si>
  <si>
    <t>E-170</t>
  </si>
  <si>
    <t>E-160</t>
  </si>
  <si>
    <t>E-158</t>
  </si>
  <si>
    <t>E-155</t>
  </si>
  <si>
    <t>E-143</t>
  </si>
  <si>
    <t>E-145</t>
  </si>
  <si>
    <t>E-147</t>
  </si>
  <si>
    <t>E-149</t>
  </si>
  <si>
    <t>Total</t>
  </si>
  <si>
    <t>V-102</t>
  </si>
  <si>
    <t>V-103</t>
  </si>
  <si>
    <t>V-104</t>
  </si>
  <si>
    <t>V-105</t>
  </si>
  <si>
    <t>V-106</t>
  </si>
  <si>
    <t>V-107</t>
  </si>
  <si>
    <t>Grand Total</t>
  </si>
  <si>
    <t>Hydroformylation</t>
  </si>
  <si>
    <t>Hydrogenation</t>
  </si>
  <si>
    <t>Furnace</t>
  </si>
  <si>
    <t>Duty, MW</t>
  </si>
  <si>
    <t>P-100</t>
  </si>
  <si>
    <t>P-101</t>
  </si>
  <si>
    <t>P-102</t>
  </si>
  <si>
    <t>Flow, litres/s</t>
  </si>
  <si>
    <t>Pumps</t>
  </si>
  <si>
    <t>Absorption column T-100</t>
  </si>
  <si>
    <t>Flash separators</t>
  </si>
  <si>
    <t>Heat exchangers</t>
  </si>
  <si>
    <t>Structure</t>
  </si>
  <si>
    <t>Tray</t>
  </si>
  <si>
    <t>diameter, m</t>
  </si>
  <si>
    <t>Sieve trays</t>
  </si>
  <si>
    <t xml:space="preserve">Centrifugal compressor </t>
  </si>
  <si>
    <t>Centrifugal pump</t>
  </si>
  <si>
    <t>U tube HEX</t>
  </si>
  <si>
    <t>Pressure vessel</t>
  </si>
  <si>
    <t>n-stages</t>
  </si>
  <si>
    <t>T-100</t>
  </si>
  <si>
    <t>Stripping column T-101</t>
  </si>
  <si>
    <t>Absorption column T-102</t>
  </si>
  <si>
    <t>Stripping column T-103</t>
  </si>
  <si>
    <t>T-101</t>
  </si>
  <si>
    <t>T-102</t>
  </si>
  <si>
    <t>T-103</t>
  </si>
  <si>
    <t>E-192</t>
  </si>
  <si>
    <t>E-183</t>
  </si>
  <si>
    <t>E-187</t>
  </si>
  <si>
    <t>E-185</t>
  </si>
  <si>
    <t>E-193</t>
  </si>
  <si>
    <t>E-182</t>
  </si>
  <si>
    <t>E-184</t>
  </si>
  <si>
    <t>E-186</t>
  </si>
  <si>
    <t>E-190</t>
  </si>
  <si>
    <t>E-188</t>
  </si>
  <si>
    <t>E-179</t>
  </si>
  <si>
    <t>E-181</t>
  </si>
  <si>
    <t>E-189</t>
  </si>
  <si>
    <t>E-191</t>
  </si>
  <si>
    <t>E-178</t>
  </si>
  <si>
    <t>E-180</t>
  </si>
  <si>
    <t>K-106</t>
  </si>
  <si>
    <t>K-107</t>
  </si>
  <si>
    <t>K-108</t>
  </si>
  <si>
    <t>K-110</t>
  </si>
  <si>
    <t>K-111</t>
  </si>
  <si>
    <t>K-112</t>
  </si>
  <si>
    <t>K-113</t>
  </si>
  <si>
    <t>K-114</t>
  </si>
  <si>
    <t>K-115</t>
  </si>
  <si>
    <r>
      <t>Rh/PPh</t>
    </r>
    <r>
      <rPr>
        <vertAlign val="subscript"/>
        <sz val="11"/>
        <color theme="1"/>
        <rFont val="Calibri"/>
        <family val="2"/>
        <scheme val="minor"/>
      </rPr>
      <t>3</t>
    </r>
  </si>
  <si>
    <t>kg/hr</t>
  </si>
  <si>
    <t>Propanol produced</t>
  </si>
  <si>
    <t>$/hr</t>
  </si>
  <si>
    <t>Total OPEX</t>
  </si>
  <si>
    <t>Sigma Aldrich: https://www.sigmaaldrich.com/US/en/product/aldrich/225665</t>
  </si>
  <si>
    <t>Raw material costs</t>
  </si>
  <si>
    <t>Utility costs</t>
  </si>
  <si>
    <t>Additional costs (purge,etc)</t>
  </si>
  <si>
    <t>Refer catalyst costs sheet</t>
  </si>
  <si>
    <t>Cost of propanol per kg</t>
  </si>
  <si>
    <t>Fixed production costs (M$/year)</t>
  </si>
  <si>
    <t>Total expenses (M$/year)</t>
  </si>
  <si>
    <t>Total expenses ($/hr)</t>
  </si>
  <si>
    <t>Total propanol produced (kg/hr)</t>
  </si>
  <si>
    <t>Ethylene</t>
  </si>
  <si>
    <t xml:space="preserve">Total  </t>
  </si>
  <si>
    <t>CEPCI 2008</t>
  </si>
  <si>
    <t>Products sold</t>
  </si>
  <si>
    <t>Steam</t>
  </si>
  <si>
    <t xml:space="preserve">Iasonas 2020 </t>
  </si>
  <si>
    <r>
      <t>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/hr</t>
    </r>
  </si>
  <si>
    <t>MWh</t>
  </si>
  <si>
    <t>Wastewater treatment</t>
  </si>
  <si>
    <t xml:space="preserve">Natural gas </t>
  </si>
  <si>
    <t>$/MJ</t>
  </si>
  <si>
    <t>$/cu. ft</t>
  </si>
  <si>
    <t>EIA natural gas (@55 MJ/kg)</t>
  </si>
  <si>
    <t>CEPCI 2022</t>
  </si>
  <si>
    <t>CEPCI 2021</t>
  </si>
  <si>
    <t>Cost of propanol per ton</t>
  </si>
  <si>
    <t>CAPEX summary</t>
  </si>
  <si>
    <t>CAPEX short summary</t>
  </si>
  <si>
    <t>CAPEX [M$/year]</t>
  </si>
  <si>
    <t>Columns</t>
  </si>
  <si>
    <t>Production costs summary</t>
  </si>
  <si>
    <t>Production costs  short summary</t>
  </si>
  <si>
    <t>Category</t>
  </si>
  <si>
    <t>Labor</t>
  </si>
  <si>
    <t>Overhead</t>
  </si>
  <si>
    <t>OPEX short summary</t>
  </si>
  <si>
    <t>Catalyst</t>
  </si>
  <si>
    <t>Contribution 2010</t>
  </si>
  <si>
    <t>K-116</t>
  </si>
  <si>
    <t xml:space="preserve"> </t>
  </si>
  <si>
    <t>E-136</t>
  </si>
  <si>
    <t>E-135</t>
  </si>
  <si>
    <t>RWGS</t>
  </si>
  <si>
    <t>V-108</t>
  </si>
  <si>
    <t>V-109</t>
  </si>
  <si>
    <t>Carbon dioxide</t>
  </si>
  <si>
    <t>Fired heat - natural gas</t>
  </si>
  <si>
    <t>Carbon dioxide - NG CCU</t>
  </si>
  <si>
    <t>Hydrogen - Wind</t>
  </si>
  <si>
    <t>Iasonas 2020</t>
  </si>
  <si>
    <t>Parkinson 2019</t>
  </si>
  <si>
    <t>Turton 2018</t>
  </si>
  <si>
    <t>Purchased equipment cost 2019</t>
  </si>
  <si>
    <t>Contribution 2019</t>
  </si>
  <si>
    <t>Purchased equipment cost 2019 (M$/year)</t>
  </si>
  <si>
    <t>2019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</si>
</sst>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5A5A5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8" fillId="3" borderId="5" applyNumberFormat="0" applyAlignment="0" applyProtection="0"/>
    <xf numFmtId="0" fontId="10" fillId="0" borderId="0"/>
  </cellStyleXfs>
  <cellXfs count="112">
    <xf numFmtId="0" fontId="0" fillId="0" borderId="0" xfId="0"/>
    <xf numFmtId="0" fontId="1" fillId="0" borderId="0" xfId="0" applyFont="1"/>
    <xf numFmtId="0" fontId="1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4" fillId="0" borderId="1" xfId="1" applyFont="1" applyBorder="1" applyAlignment="1">
      <alignment horizontal="center"/>
    </xf>
    <xf numFmtId="16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1" fillId="0" borderId="1" xfId="0" applyFont="1" applyFill="1" applyBorder="1" applyAlignment="1">
      <alignment horizontal="right"/>
    </xf>
    <xf numFmtId="0" fontId="1" fillId="0" borderId="1" xfId="0" applyFont="1" applyBorder="1" applyAlignment="1">
      <alignment horizontal="right"/>
    </xf>
    <xf numFmtId="2" fontId="1" fillId="0" borderId="1" xfId="0" applyNumberFormat="1" applyFont="1" applyBorder="1" applyAlignment="1">
      <alignment horizontal="right"/>
    </xf>
    <xf numFmtId="0" fontId="0" fillId="0" borderId="1" xfId="0" applyBorder="1"/>
    <xf numFmtId="0" fontId="0" fillId="0" borderId="0" xfId="0" applyFont="1"/>
    <xf numFmtId="0" fontId="0" fillId="0" borderId="1" xfId="0" applyFont="1" applyBorder="1"/>
    <xf numFmtId="0" fontId="1" fillId="0" borderId="1" xfId="0" applyFont="1" applyBorder="1"/>
    <xf numFmtId="0" fontId="0" fillId="0" borderId="1" xfId="0" applyFont="1" applyBorder="1" applyAlignment="1">
      <alignment horizontal="center"/>
    </xf>
    <xf numFmtId="164" fontId="0" fillId="0" borderId="1" xfId="0" applyNumberFormat="1" applyFont="1" applyBorder="1"/>
    <xf numFmtId="2" fontId="1" fillId="0" borderId="1" xfId="0" applyNumberFormat="1" applyFont="1" applyBorder="1"/>
    <xf numFmtId="164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64" fontId="0" fillId="0" borderId="1" xfId="0" applyNumberFormat="1" applyBorder="1"/>
    <xf numFmtId="2" fontId="0" fillId="0" borderId="1" xfId="0" applyNumberFormat="1" applyBorder="1"/>
    <xf numFmtId="0" fontId="0" fillId="0" borderId="0" xfId="0" applyFill="1" applyBorder="1" applyAlignment="1">
      <alignment horizontal="center"/>
    </xf>
    <xf numFmtId="2" fontId="0" fillId="0" borderId="1" xfId="0" applyNumberFormat="1" applyFont="1" applyBorder="1"/>
    <xf numFmtId="2" fontId="0" fillId="0" borderId="1" xfId="0" applyNumberFormat="1" applyFont="1" applyFill="1" applyBorder="1"/>
    <xf numFmtId="0" fontId="0" fillId="0" borderId="1" xfId="0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/>
    </xf>
    <xf numFmtId="2" fontId="0" fillId="0" borderId="1" xfId="0" applyNumberFormat="1" applyBorder="1" applyAlignment="1"/>
    <xf numFmtId="0" fontId="1" fillId="0" borderId="1" xfId="0" applyFont="1" applyFill="1" applyBorder="1"/>
    <xf numFmtId="2" fontId="1" fillId="0" borderId="4" xfId="0" applyNumberFormat="1" applyFont="1" applyBorder="1"/>
    <xf numFmtId="2" fontId="0" fillId="4" borderId="1" xfId="0" applyNumberFormat="1" applyFont="1" applyFill="1" applyBorder="1"/>
    <xf numFmtId="0" fontId="8" fillId="0" borderId="0" xfId="2" applyFill="1" applyBorder="1"/>
    <xf numFmtId="0" fontId="8" fillId="3" borderId="1" xfId="2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right"/>
    </xf>
    <xf numFmtId="2" fontId="1" fillId="0" borderId="1" xfId="0" applyNumberFormat="1" applyFont="1" applyBorder="1" applyAlignment="1">
      <alignment horizontal="right"/>
    </xf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right"/>
    </xf>
    <xf numFmtId="2" fontId="1" fillId="0" borderId="1" xfId="0" applyNumberFormat="1" applyFont="1" applyBorder="1" applyAlignment="1">
      <alignment horizontal="right"/>
    </xf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1" applyFont="1" applyBorder="1" applyAlignment="1">
      <alignment horizontal="center"/>
    </xf>
    <xf numFmtId="16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right"/>
    </xf>
    <xf numFmtId="2" fontId="1" fillId="0" borderId="1" xfId="0" applyNumberFormat="1" applyFont="1" applyBorder="1" applyAlignment="1">
      <alignment horizontal="right"/>
    </xf>
    <xf numFmtId="2" fontId="0" fillId="0" borderId="1" xfId="0" applyNumberFormat="1" applyBorder="1" applyAlignment="1">
      <alignment horizontal="center"/>
    </xf>
    <xf numFmtId="11" fontId="0" fillId="0" borderId="0" xfId="0" applyNumberFormat="1"/>
    <xf numFmtId="1" fontId="0" fillId="0" borderId="1" xfId="0" applyNumberFormat="1" applyFill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2" fontId="0" fillId="0" borderId="1" xfId="0" applyNumberFormat="1" applyFont="1" applyBorder="1" applyAlignment="1">
      <alignment horizontal="center"/>
    </xf>
    <xf numFmtId="2" fontId="0" fillId="0" borderId="1" xfId="0" applyNumberFormat="1" applyFont="1" applyFill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164" fontId="0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Font="1"/>
    <xf numFmtId="2" fontId="1" fillId="0" borderId="1" xfId="0" applyNumberFormat="1" applyFont="1" applyBorder="1" applyAlignment="1">
      <alignment horizontal="center"/>
    </xf>
    <xf numFmtId="0" fontId="0" fillId="0" borderId="1" xfId="0" applyFont="1" applyFill="1" applyBorder="1"/>
    <xf numFmtId="0" fontId="0" fillId="0" borderId="0" xfId="0" applyFont="1" applyBorder="1"/>
    <xf numFmtId="2" fontId="0" fillId="0" borderId="1" xfId="0" applyNumberFormat="1" applyBorder="1"/>
    <xf numFmtId="2" fontId="0" fillId="0" borderId="1" xfId="0" applyNumberFormat="1" applyFont="1" applyBorder="1"/>
    <xf numFmtId="0" fontId="1" fillId="0" borderId="1" xfId="0" applyFont="1" applyFill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Font="1"/>
    <xf numFmtId="0" fontId="0" fillId="0" borderId="1" xfId="0" applyFont="1" applyBorder="1"/>
    <xf numFmtId="0" fontId="0" fillId="0" borderId="1" xfId="0" applyFont="1" applyFill="1" applyBorder="1"/>
    <xf numFmtId="0" fontId="0" fillId="0" borderId="0" xfId="0" applyFont="1" applyBorder="1"/>
    <xf numFmtId="0" fontId="0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0" fillId="0" borderId="1" xfId="0" applyNumberFormat="1" applyBorder="1"/>
    <xf numFmtId="2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0" borderId="1" xfId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7" fillId="0" borderId="2" xfId="1" applyFont="1" applyBorder="1" applyAlignment="1">
      <alignment horizontal="center"/>
    </xf>
    <xf numFmtId="0" fontId="7" fillId="0" borderId="3" xfId="1" applyFont="1" applyBorder="1" applyAlignment="1">
      <alignment horizontal="center"/>
    </xf>
    <xf numFmtId="0" fontId="7" fillId="0" borderId="4" xfId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</cellXfs>
  <cellStyles count="4">
    <cellStyle name="Check Cell" xfId="2" builtinId="23"/>
    <cellStyle name="Hyperlink" xfId="1" builtinId="8"/>
    <cellStyle name="Normal" xfId="0" builtinId="0"/>
    <cellStyle name="Normal 2" xfId="3" xr:uid="{3CBD245A-C44E-4E3A-BBEE-B22BCB5D36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eia.gov/dnav/ng/ng_pri_sum_dcu_nus_a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0"/>
  <sheetViews>
    <sheetView tabSelected="1" topLeftCell="A4" zoomScale="120" zoomScaleNormal="120" workbookViewId="0">
      <selection activeCell="D33" sqref="D33"/>
    </sheetView>
  </sheetViews>
  <sheetFormatPr defaultRowHeight="14.4" x14ac:dyDescent="0.3"/>
  <cols>
    <col min="1" max="1" width="29.44140625" bestFit="1" customWidth="1"/>
    <col min="2" max="2" width="22.6640625" bestFit="1" customWidth="1"/>
    <col min="3" max="3" width="16.33203125" bestFit="1" customWidth="1"/>
    <col min="4" max="4" width="9.109375" bestFit="1" customWidth="1"/>
    <col min="5" max="6" width="7.5546875" bestFit="1" customWidth="1"/>
    <col min="7" max="7" width="4.88671875" bestFit="1" customWidth="1"/>
    <col min="8" max="8" width="9.33203125" bestFit="1" customWidth="1"/>
    <col min="10" max="10" width="11.109375" bestFit="1" customWidth="1"/>
    <col min="11" max="11" width="11.44140625" bestFit="1" customWidth="1"/>
    <col min="12" max="12" width="6" bestFit="1" customWidth="1"/>
    <col min="14" max="14" width="8.44140625" bestFit="1" customWidth="1"/>
    <col min="15" max="15" width="9" customWidth="1"/>
    <col min="17" max="17" width="9.33203125" bestFit="1" customWidth="1"/>
  </cols>
  <sheetData>
    <row r="1" spans="1:17" x14ac:dyDescent="0.3">
      <c r="A1" s="2" t="s">
        <v>0</v>
      </c>
      <c r="B1" s="3"/>
      <c r="C1" s="3"/>
    </row>
    <row r="2" spans="1:17" ht="15.6" x14ac:dyDescent="0.35">
      <c r="A2" s="3" t="s">
        <v>1</v>
      </c>
      <c r="B2" s="3" t="s">
        <v>38</v>
      </c>
      <c r="C2" s="3">
        <v>0.3</v>
      </c>
    </row>
    <row r="3" spans="1:17" ht="15.6" x14ac:dyDescent="0.35">
      <c r="A3" s="3" t="s">
        <v>2</v>
      </c>
      <c r="B3" s="3" t="s">
        <v>39</v>
      </c>
      <c r="C3" s="3">
        <v>0.8</v>
      </c>
    </row>
    <row r="4" spans="1:17" ht="15.6" x14ac:dyDescent="0.35">
      <c r="A4" s="3" t="s">
        <v>3</v>
      </c>
      <c r="B4" s="3" t="s">
        <v>40</v>
      </c>
      <c r="C4" s="3">
        <v>0.3</v>
      </c>
    </row>
    <row r="5" spans="1:17" ht="15.6" x14ac:dyDescent="0.35">
      <c r="A5" s="3" t="s">
        <v>4</v>
      </c>
      <c r="B5" s="3" t="s">
        <v>41</v>
      </c>
      <c r="C5" s="3">
        <v>0.2</v>
      </c>
    </row>
    <row r="6" spans="1:17" ht="15.6" x14ac:dyDescent="0.35">
      <c r="A6" s="3" t="s">
        <v>5</v>
      </c>
      <c r="B6" s="3" t="s">
        <v>42</v>
      </c>
      <c r="C6" s="3">
        <v>0.3</v>
      </c>
    </row>
    <row r="7" spans="1:17" ht="15.6" x14ac:dyDescent="0.35">
      <c r="A7" s="3" t="s">
        <v>6</v>
      </c>
      <c r="B7" s="3" t="s">
        <v>43</v>
      </c>
      <c r="C7" s="3">
        <v>0.2</v>
      </c>
    </row>
    <row r="8" spans="1:17" ht="15.6" x14ac:dyDescent="0.35">
      <c r="A8" s="3" t="s">
        <v>7</v>
      </c>
      <c r="B8" s="3" t="s">
        <v>44</v>
      </c>
      <c r="C8" s="3">
        <v>0.1</v>
      </c>
    </row>
    <row r="9" spans="1:17" ht="15.6" x14ac:dyDescent="0.35">
      <c r="A9" s="3" t="s">
        <v>8</v>
      </c>
      <c r="B9" s="3" t="s">
        <v>45</v>
      </c>
      <c r="C9" s="3">
        <v>1.3</v>
      </c>
    </row>
    <row r="10" spans="1:17" x14ac:dyDescent="0.3">
      <c r="A10" s="25"/>
      <c r="B10" s="25"/>
      <c r="C10" s="25"/>
    </row>
    <row r="12" spans="1:17" ht="45.6" x14ac:dyDescent="0.35">
      <c r="A12" s="4" t="s">
        <v>9</v>
      </c>
      <c r="B12" s="5" t="s">
        <v>13</v>
      </c>
      <c r="C12" s="5" t="s">
        <v>14</v>
      </c>
      <c r="D12" s="4" t="s">
        <v>15</v>
      </c>
      <c r="E12" s="4" t="s">
        <v>10</v>
      </c>
      <c r="F12" s="4" t="s">
        <v>11</v>
      </c>
      <c r="G12" s="4" t="s">
        <v>12</v>
      </c>
      <c r="H12" s="5" t="s">
        <v>19</v>
      </c>
      <c r="J12" s="2" t="s">
        <v>22</v>
      </c>
      <c r="K12" s="5" t="s">
        <v>20</v>
      </c>
      <c r="L12" s="5" t="s">
        <v>17</v>
      </c>
      <c r="M12" s="5" t="s">
        <v>21</v>
      </c>
      <c r="N12" s="5" t="s">
        <v>51</v>
      </c>
      <c r="O12" s="5" t="s">
        <v>16</v>
      </c>
      <c r="P12" s="5" t="s">
        <v>52</v>
      </c>
      <c r="Q12" s="5" t="s">
        <v>18</v>
      </c>
    </row>
    <row r="13" spans="1:17" x14ac:dyDescent="0.3">
      <c r="A13" s="104" t="s">
        <v>57</v>
      </c>
      <c r="B13" s="105"/>
      <c r="C13" s="105"/>
      <c r="D13" s="105"/>
      <c r="E13" s="105"/>
      <c r="F13" s="105"/>
      <c r="G13" s="105"/>
      <c r="H13" s="106"/>
      <c r="J13" s="7" t="s">
        <v>49</v>
      </c>
      <c r="K13" s="95">
        <v>6.0960000000000001</v>
      </c>
      <c r="L13" s="64">
        <v>21.335999999999999</v>
      </c>
      <c r="M13" s="8">
        <f t="shared" ref="M13:M18" si="0">K13+0.0254</f>
        <v>6.1214000000000004</v>
      </c>
      <c r="N13" s="8">
        <f t="shared" ref="N13:N18" si="1">PI()*(M13*M13-K13*K13)/4</f>
        <v>0.24372629744589885</v>
      </c>
      <c r="O13" s="8">
        <f t="shared" ref="O13:O18" si="2">N13*L13</f>
        <v>5.2001442823056978</v>
      </c>
      <c r="P13" s="6">
        <v>8000</v>
      </c>
      <c r="Q13" s="10">
        <f t="shared" ref="Q13:Q18" si="3">P13*O13</f>
        <v>41601.154258445582</v>
      </c>
    </row>
    <row r="14" spans="1:17" x14ac:dyDescent="0.3">
      <c r="A14" s="6" t="s">
        <v>46</v>
      </c>
      <c r="B14" s="6" t="s">
        <v>170</v>
      </c>
      <c r="C14" s="6" t="s">
        <v>53</v>
      </c>
      <c r="D14" s="10">
        <v>3968.3150118991998</v>
      </c>
      <c r="E14" s="9">
        <v>580000</v>
      </c>
      <c r="F14" s="9">
        <v>20000</v>
      </c>
      <c r="G14" s="10">
        <v>0.6</v>
      </c>
      <c r="H14" s="10">
        <f t="shared" ref="H14:H17" si="4">(E14+(F14*(D14^G14)))/1000000</f>
        <v>3.4653179635951923</v>
      </c>
      <c r="J14" s="7" t="s">
        <v>50</v>
      </c>
      <c r="K14" s="95">
        <v>5.3339999999999996</v>
      </c>
      <c r="L14" s="64">
        <v>18.669</v>
      </c>
      <c r="M14" s="8">
        <f t="shared" si="0"/>
        <v>5.3593999999999999</v>
      </c>
      <c r="N14" s="8">
        <f t="shared" si="1"/>
        <v>0.21332384870004847</v>
      </c>
      <c r="O14" s="8">
        <f t="shared" si="2"/>
        <v>3.9825429313812051</v>
      </c>
      <c r="P14" s="6">
        <v>8000</v>
      </c>
      <c r="Q14" s="10">
        <f t="shared" si="3"/>
        <v>31860.343451049641</v>
      </c>
    </row>
    <row r="15" spans="1:17" x14ac:dyDescent="0.3">
      <c r="A15" s="6" t="s">
        <v>47</v>
      </c>
      <c r="B15" s="60" t="s">
        <v>170</v>
      </c>
      <c r="C15" s="6" t="s">
        <v>53</v>
      </c>
      <c r="D15" s="10">
        <v>3897.1179433343</v>
      </c>
      <c r="E15" s="9">
        <v>580000</v>
      </c>
      <c r="F15" s="9">
        <v>20000</v>
      </c>
      <c r="G15" s="10">
        <v>0.6</v>
      </c>
      <c r="H15" s="10">
        <f t="shared" si="4"/>
        <v>3.4341456077806423</v>
      </c>
      <c r="J15" s="7" t="s">
        <v>147</v>
      </c>
      <c r="K15" s="95">
        <v>5.3339999999999996</v>
      </c>
      <c r="L15" s="64">
        <v>18.669</v>
      </c>
      <c r="M15" s="8">
        <f t="shared" si="0"/>
        <v>5.3593999999999999</v>
      </c>
      <c r="N15" s="8">
        <f t="shared" si="1"/>
        <v>0.21332384870004847</v>
      </c>
      <c r="O15" s="8">
        <f t="shared" si="2"/>
        <v>3.9825429313812051</v>
      </c>
      <c r="P15" s="6">
        <v>8000</v>
      </c>
      <c r="Q15" s="10">
        <f t="shared" si="3"/>
        <v>31860.343451049641</v>
      </c>
    </row>
    <row r="16" spans="1:17" x14ac:dyDescent="0.3">
      <c r="A16" s="6" t="s">
        <v>97</v>
      </c>
      <c r="B16" s="60" t="s">
        <v>170</v>
      </c>
      <c r="C16" s="6" t="s">
        <v>53</v>
      </c>
      <c r="D16" s="10">
        <v>3874.3885258240398</v>
      </c>
      <c r="E16" s="9">
        <v>580000</v>
      </c>
      <c r="F16" s="9">
        <v>20000</v>
      </c>
      <c r="G16" s="10">
        <v>0.6</v>
      </c>
      <c r="H16" s="10">
        <f t="shared" si="4"/>
        <v>3.4241460726147013</v>
      </c>
      <c r="J16" s="7" t="s">
        <v>148</v>
      </c>
      <c r="K16" s="95">
        <v>6.5532000000000004</v>
      </c>
      <c r="L16" s="64">
        <v>22.936199999999999</v>
      </c>
      <c r="M16" s="8">
        <f t="shared" si="0"/>
        <v>6.5786000000000007</v>
      </c>
      <c r="N16" s="8">
        <f t="shared" si="1"/>
        <v>0.26196776669341076</v>
      </c>
      <c r="O16" s="8">
        <f t="shared" si="2"/>
        <v>6.0085450904334081</v>
      </c>
      <c r="P16" s="6">
        <v>8000</v>
      </c>
      <c r="Q16" s="10">
        <f t="shared" si="3"/>
        <v>48068.360723467267</v>
      </c>
    </row>
    <row r="17" spans="1:17" x14ac:dyDescent="0.3">
      <c r="A17" s="6" t="s">
        <v>98</v>
      </c>
      <c r="B17" s="60" t="s">
        <v>170</v>
      </c>
      <c r="C17" s="6" t="s">
        <v>53</v>
      </c>
      <c r="D17" s="10">
        <v>2652.17616291383</v>
      </c>
      <c r="E17" s="9">
        <v>580000</v>
      </c>
      <c r="F17" s="9">
        <v>20000</v>
      </c>
      <c r="G17" s="10">
        <v>0.6</v>
      </c>
      <c r="H17" s="10">
        <f t="shared" si="4"/>
        <v>2.84564267383251</v>
      </c>
      <c r="J17" s="7" t="s">
        <v>149</v>
      </c>
      <c r="K17" s="95">
        <v>0.60960000000000003</v>
      </c>
      <c r="L17" s="64">
        <v>3.3527999999999998</v>
      </c>
      <c r="M17" s="8">
        <f t="shared" si="0"/>
        <v>0.63500000000000001</v>
      </c>
      <c r="N17" s="8">
        <f t="shared" si="1"/>
        <v>2.4828666475777368E-2</v>
      </c>
      <c r="O17" s="8">
        <f t="shared" si="2"/>
        <v>8.3245552959986355E-2</v>
      </c>
      <c r="P17" s="6">
        <v>8000</v>
      </c>
      <c r="Q17" s="10">
        <f t="shared" si="3"/>
        <v>665.96442367989084</v>
      </c>
    </row>
    <row r="18" spans="1:17" x14ac:dyDescent="0.3">
      <c r="A18" s="6" t="s">
        <v>99</v>
      </c>
      <c r="B18" s="60" t="s">
        <v>170</v>
      </c>
      <c r="C18" s="6" t="s">
        <v>53</v>
      </c>
      <c r="D18" s="10">
        <v>1.87566438245067</v>
      </c>
      <c r="E18" s="9">
        <v>580000</v>
      </c>
      <c r="F18" s="9">
        <v>20000</v>
      </c>
      <c r="G18" s="10">
        <v>0.6</v>
      </c>
      <c r="H18" s="10">
        <f t="shared" ref="H18:H19" si="5">(E18+(F18*(D18^G18)))/1000000</f>
        <v>0.60916910303787819</v>
      </c>
      <c r="J18" s="7" t="s">
        <v>150</v>
      </c>
      <c r="K18" s="95">
        <v>3.3527999999999998</v>
      </c>
      <c r="L18" s="64">
        <v>11.7348</v>
      </c>
      <c r="M18" s="8">
        <f t="shared" si="0"/>
        <v>3.3781999999999996</v>
      </c>
      <c r="N18" s="8">
        <f t="shared" si="1"/>
        <v>0.13427748196083575</v>
      </c>
      <c r="O18" s="8">
        <f t="shared" si="2"/>
        <v>1.5757193953140154</v>
      </c>
      <c r="P18" s="6">
        <v>8000</v>
      </c>
      <c r="Q18" s="10">
        <f t="shared" si="3"/>
        <v>12605.755162512123</v>
      </c>
    </row>
    <row r="19" spans="1:17" x14ac:dyDescent="0.3">
      <c r="A19" s="6" t="s">
        <v>100</v>
      </c>
      <c r="B19" s="60" t="s">
        <v>170</v>
      </c>
      <c r="C19" s="6" t="s">
        <v>53</v>
      </c>
      <c r="D19" s="10">
        <v>2.0314085502542598</v>
      </c>
      <c r="E19" s="9">
        <v>580000</v>
      </c>
      <c r="F19" s="9">
        <v>20000</v>
      </c>
      <c r="G19" s="10">
        <v>0.6</v>
      </c>
      <c r="H19" s="10">
        <f t="shared" si="5"/>
        <v>0.61059907945358671</v>
      </c>
      <c r="J19" s="7" t="s">
        <v>151</v>
      </c>
      <c r="K19" s="95">
        <v>1.0668</v>
      </c>
      <c r="L19" s="64">
        <v>5.8673999999999999</v>
      </c>
      <c r="M19" s="8">
        <f t="shared" ref="M19:M20" si="6">K19+0.0254</f>
        <v>1.0922000000000001</v>
      </c>
      <c r="N19" s="8">
        <f t="shared" ref="N19:N20" si="7">PI()*(M19*M19-K19*K19)/4</f>
        <v>4.3070135723287363E-2</v>
      </c>
      <c r="O19" s="8">
        <f t="shared" ref="O19:O20" si="8">N19*L19</f>
        <v>0.25270971434281625</v>
      </c>
      <c r="P19" s="6">
        <v>8000</v>
      </c>
      <c r="Q19" s="10">
        <f t="shared" ref="Q19:Q20" si="9">P19*O19</f>
        <v>2021.67771474253</v>
      </c>
    </row>
    <row r="20" spans="1:17" x14ac:dyDescent="0.3">
      <c r="A20" s="60" t="s">
        <v>198</v>
      </c>
      <c r="B20" s="60" t="s">
        <v>170</v>
      </c>
      <c r="C20" s="60" t="s">
        <v>53</v>
      </c>
      <c r="D20" s="64">
        <v>2.0942138622574098</v>
      </c>
      <c r="E20" s="63">
        <v>580000</v>
      </c>
      <c r="F20" s="63">
        <v>20000</v>
      </c>
      <c r="G20" s="64">
        <v>0.6</v>
      </c>
      <c r="H20" s="64">
        <f t="shared" ref="H20:H29" si="10">(E20+(F20*(D20^G20)))/1000000</f>
        <v>0.61116324066751249</v>
      </c>
      <c r="J20" s="7" t="s">
        <v>152</v>
      </c>
      <c r="K20" s="95">
        <v>0.30480000000000002</v>
      </c>
      <c r="L20" s="64">
        <v>1.6763999999999999</v>
      </c>
      <c r="M20" s="8">
        <f t="shared" si="6"/>
        <v>0.33019999999999999</v>
      </c>
      <c r="N20" s="8">
        <f t="shared" si="7"/>
        <v>1.2667686977437436E-2</v>
      </c>
      <c r="O20" s="8">
        <f t="shared" si="8"/>
        <v>2.1236110448976116E-2</v>
      </c>
      <c r="P20" s="6">
        <v>8000</v>
      </c>
      <c r="Q20" s="10">
        <f t="shared" si="9"/>
        <v>169.88888359180893</v>
      </c>
    </row>
    <row r="21" spans="1:17" x14ac:dyDescent="0.3">
      <c r="A21" s="60" t="s">
        <v>199</v>
      </c>
      <c r="B21" s="60" t="s">
        <v>170</v>
      </c>
      <c r="C21" s="60" t="s">
        <v>53</v>
      </c>
      <c r="D21" s="64">
        <v>1.4371650978947801</v>
      </c>
      <c r="E21" s="63">
        <v>580000</v>
      </c>
      <c r="F21" s="63">
        <v>20000</v>
      </c>
      <c r="G21" s="64">
        <v>0.6</v>
      </c>
      <c r="H21" s="64">
        <f t="shared" si="10"/>
        <v>0.6048618815300123</v>
      </c>
      <c r="J21" s="61" t="s">
        <v>255</v>
      </c>
      <c r="K21" s="95">
        <v>1.3715999999999999</v>
      </c>
      <c r="L21" s="64">
        <v>7.5438000000000001</v>
      </c>
      <c r="M21" s="62">
        <f t="shared" ref="M21:M22" si="11">K21+0.0254</f>
        <v>1.397</v>
      </c>
      <c r="N21" s="62">
        <f t="shared" ref="N21:N22" si="12">PI()*(M21*M21-K21*K21)/4</f>
        <v>5.5231115221627589E-2</v>
      </c>
      <c r="O21" s="62">
        <f t="shared" ref="O21:O22" si="13">N21*L21</f>
        <v>0.41665248700891422</v>
      </c>
      <c r="P21" s="86">
        <v>8001</v>
      </c>
      <c r="Q21" s="64">
        <f t="shared" ref="Q21:Q22" si="14">P21*O21</f>
        <v>3333.6365485583228</v>
      </c>
    </row>
    <row r="22" spans="1:17" x14ac:dyDescent="0.3">
      <c r="A22" s="60" t="s">
        <v>200</v>
      </c>
      <c r="B22" s="60" t="s">
        <v>170</v>
      </c>
      <c r="C22" s="60" t="s">
        <v>53</v>
      </c>
      <c r="D22" s="64">
        <v>902.01094726853796</v>
      </c>
      <c r="E22" s="63">
        <v>580000</v>
      </c>
      <c r="F22" s="63">
        <v>20000</v>
      </c>
      <c r="G22" s="64">
        <v>0.6</v>
      </c>
      <c r="H22" s="64">
        <f t="shared" si="10"/>
        <v>1.7661977084293592</v>
      </c>
      <c r="J22" s="61" t="s">
        <v>256</v>
      </c>
      <c r="K22" s="95">
        <v>1.3715999999999999</v>
      </c>
      <c r="L22" s="64">
        <v>7.5438000000000001</v>
      </c>
      <c r="M22" s="62">
        <f t="shared" si="11"/>
        <v>1.397</v>
      </c>
      <c r="N22" s="62">
        <f t="shared" si="12"/>
        <v>5.5231115221627589E-2</v>
      </c>
      <c r="O22" s="62">
        <f t="shared" si="13"/>
        <v>0.41665248700891422</v>
      </c>
      <c r="P22" s="86">
        <v>8002</v>
      </c>
      <c r="Q22" s="64">
        <f t="shared" si="14"/>
        <v>3334.0532010453317</v>
      </c>
    </row>
    <row r="23" spans="1:17" x14ac:dyDescent="0.3">
      <c r="A23" s="60" t="s">
        <v>48</v>
      </c>
      <c r="B23" s="60" t="s">
        <v>170</v>
      </c>
      <c r="C23" s="60" t="s">
        <v>53</v>
      </c>
      <c r="D23" s="64">
        <v>966.97096409478797</v>
      </c>
      <c r="E23" s="63">
        <v>580000</v>
      </c>
      <c r="F23" s="63">
        <v>20000</v>
      </c>
      <c r="G23" s="64">
        <v>0.6</v>
      </c>
      <c r="H23" s="64">
        <f t="shared" si="10"/>
        <v>1.8167389983836102</v>
      </c>
      <c r="J23" s="61" t="s">
        <v>175</v>
      </c>
      <c r="K23" s="66">
        <v>1.5415000000000001</v>
      </c>
      <c r="L23" s="64">
        <f>0.6096*10</f>
        <v>6.0960000000000001</v>
      </c>
      <c r="M23" s="62">
        <f t="shared" ref="M23" si="15">K23+0.0254</f>
        <v>1.5669000000000002</v>
      </c>
      <c r="N23" s="62">
        <f t="shared" ref="N23" si="16">PI()*(M23*M23-K23*K23)/4</f>
        <v>6.2009823938057797E-2</v>
      </c>
      <c r="O23" s="62">
        <f t="shared" ref="O23" si="17">N23*L23</f>
        <v>0.37801188672640035</v>
      </c>
      <c r="P23" s="60">
        <v>8000</v>
      </c>
      <c r="Q23" s="64">
        <f t="shared" ref="Q23" si="18">P23*O23</f>
        <v>3024.0950938112028</v>
      </c>
    </row>
    <row r="24" spans="1:17" x14ac:dyDescent="0.3">
      <c r="A24" s="60" t="s">
        <v>201</v>
      </c>
      <c r="B24" s="60" t="s">
        <v>170</v>
      </c>
      <c r="C24" s="60" t="s">
        <v>53</v>
      </c>
      <c r="D24" s="64">
        <v>945.80368347796696</v>
      </c>
      <c r="E24" s="63">
        <v>580000</v>
      </c>
      <c r="F24" s="63">
        <v>20000</v>
      </c>
      <c r="G24" s="64">
        <v>0.6</v>
      </c>
      <c r="H24" s="64">
        <f t="shared" si="10"/>
        <v>1.8004235973587004</v>
      </c>
      <c r="J24" s="69" t="s">
        <v>179</v>
      </c>
      <c r="K24" s="66">
        <v>2.1346666669999999</v>
      </c>
      <c r="L24" s="64">
        <f>0.6096*3</f>
        <v>1.8288000000000002</v>
      </c>
      <c r="M24" s="62">
        <f t="shared" ref="M24:M26" si="19">K24+0.0254</f>
        <v>2.1600666669999997</v>
      </c>
      <c r="N24" s="62">
        <f t="shared" ref="N24:N26" si="20">PI()*(M24*M24-K24*K24)/4</f>
        <v>8.5676122089256734E-2</v>
      </c>
      <c r="O24" s="62">
        <f t="shared" ref="O24:O26" si="21">N24*L24</f>
        <v>0.15668449207683274</v>
      </c>
      <c r="P24" s="60">
        <v>8000</v>
      </c>
      <c r="Q24" s="64">
        <f t="shared" ref="Q24:Q26" si="22">P24*O24</f>
        <v>1253.475936614662</v>
      </c>
    </row>
    <row r="25" spans="1:17" x14ac:dyDescent="0.3">
      <c r="A25" s="60" t="s">
        <v>202</v>
      </c>
      <c r="B25" s="60" t="s">
        <v>170</v>
      </c>
      <c r="C25" s="60" t="s">
        <v>53</v>
      </c>
      <c r="D25" s="64">
        <v>554.29394842638101</v>
      </c>
      <c r="E25" s="63">
        <v>580000</v>
      </c>
      <c r="F25" s="63">
        <v>20000</v>
      </c>
      <c r="G25" s="64">
        <v>0.6</v>
      </c>
      <c r="H25" s="64">
        <f t="shared" si="10"/>
        <v>1.4656743718038643</v>
      </c>
      <c r="J25" s="69" t="s">
        <v>180</v>
      </c>
      <c r="K25" s="66">
        <v>1.224</v>
      </c>
      <c r="L25" s="64">
        <v>0.60960000000000003</v>
      </c>
      <c r="M25" s="62">
        <f t="shared" si="19"/>
        <v>1.2494000000000001</v>
      </c>
      <c r="N25" s="62">
        <f t="shared" si="20"/>
        <v>4.9342136960620307E-2</v>
      </c>
      <c r="O25" s="62">
        <f t="shared" si="21"/>
        <v>3.0078966691194142E-2</v>
      </c>
      <c r="P25" s="60">
        <v>8000</v>
      </c>
      <c r="Q25" s="64">
        <f t="shared" si="22"/>
        <v>240.63173352955314</v>
      </c>
    </row>
    <row r="26" spans="1:17" x14ac:dyDescent="0.3">
      <c r="A26" s="60" t="s">
        <v>203</v>
      </c>
      <c r="B26" s="60" t="s">
        <v>170</v>
      </c>
      <c r="C26" s="60" t="s">
        <v>53</v>
      </c>
      <c r="D26" s="64">
        <v>567.55420327873105</v>
      </c>
      <c r="E26" s="63">
        <v>580000</v>
      </c>
      <c r="F26" s="63">
        <v>20000</v>
      </c>
      <c r="G26" s="64">
        <v>0.6</v>
      </c>
      <c r="H26" s="64">
        <f t="shared" si="10"/>
        <v>1.4783268951693787</v>
      </c>
      <c r="J26" s="69" t="s">
        <v>181</v>
      </c>
      <c r="K26" s="66">
        <v>1.6795</v>
      </c>
      <c r="L26" s="64">
        <f>0.6096*2</f>
        <v>1.2192000000000001</v>
      </c>
      <c r="M26" s="62">
        <f t="shared" si="19"/>
        <v>1.7049000000000001</v>
      </c>
      <c r="N26" s="62">
        <f t="shared" si="20"/>
        <v>6.7515779222739242E-2</v>
      </c>
      <c r="O26" s="62">
        <f t="shared" si="21"/>
        <v>8.2315238028363685E-2</v>
      </c>
      <c r="P26" s="60">
        <v>8000</v>
      </c>
      <c r="Q26" s="64">
        <f t="shared" si="22"/>
        <v>658.52190422690944</v>
      </c>
    </row>
    <row r="27" spans="1:17" x14ac:dyDescent="0.3">
      <c r="A27" s="60" t="s">
        <v>204</v>
      </c>
      <c r="B27" s="60" t="s">
        <v>170</v>
      </c>
      <c r="C27" s="60" t="s">
        <v>53</v>
      </c>
      <c r="D27" s="64">
        <v>930.986804539849</v>
      </c>
      <c r="E27" s="63">
        <v>580000</v>
      </c>
      <c r="F27" s="63">
        <v>20000</v>
      </c>
      <c r="G27" s="64">
        <v>0.6</v>
      </c>
      <c r="H27" s="64">
        <f t="shared" si="10"/>
        <v>1.788915959514831</v>
      </c>
    </row>
    <row r="28" spans="1:17" x14ac:dyDescent="0.3">
      <c r="A28" s="60" t="s">
        <v>205</v>
      </c>
      <c r="B28" s="60" t="s">
        <v>170</v>
      </c>
      <c r="C28" s="60" t="s">
        <v>53</v>
      </c>
      <c r="D28" s="64">
        <v>2559.67493189061</v>
      </c>
      <c r="E28" s="63">
        <v>580000</v>
      </c>
      <c r="F28" s="63">
        <v>20000</v>
      </c>
      <c r="G28" s="64">
        <v>0.6</v>
      </c>
      <c r="H28" s="64">
        <f t="shared" si="10"/>
        <v>2.7978945043417927</v>
      </c>
      <c r="J28" s="58"/>
      <c r="K28" s="58"/>
      <c r="L28" s="58"/>
      <c r="M28" s="58"/>
      <c r="N28" s="58"/>
      <c r="O28" s="58"/>
    </row>
    <row r="29" spans="1:17" x14ac:dyDescent="0.3">
      <c r="A29" s="60" t="s">
        <v>206</v>
      </c>
      <c r="B29" s="60" t="s">
        <v>170</v>
      </c>
      <c r="C29" s="60" t="s">
        <v>53</v>
      </c>
      <c r="D29" s="64">
        <v>2937.9039296988999</v>
      </c>
      <c r="E29" s="63">
        <v>580000</v>
      </c>
      <c r="F29" s="63">
        <v>20000</v>
      </c>
      <c r="G29" s="64">
        <v>0.6</v>
      </c>
      <c r="H29" s="64">
        <f t="shared" si="10"/>
        <v>2.9890873642777609</v>
      </c>
      <c r="J29" s="58"/>
      <c r="K29" s="58"/>
      <c r="L29" s="58"/>
      <c r="M29" s="58"/>
      <c r="N29" s="58"/>
      <c r="O29" s="58"/>
    </row>
    <row r="30" spans="1:17" s="58" customFormat="1" x14ac:dyDescent="0.3">
      <c r="A30" s="86" t="s">
        <v>250</v>
      </c>
      <c r="B30" s="86" t="s">
        <v>170</v>
      </c>
      <c r="C30" s="86" t="s">
        <v>53</v>
      </c>
      <c r="D30" s="64">
        <v>3007.8458499827798</v>
      </c>
      <c r="E30" s="63">
        <v>580000</v>
      </c>
      <c r="F30" s="63">
        <v>20000</v>
      </c>
      <c r="G30" s="64">
        <v>0.6</v>
      </c>
      <c r="H30" s="64">
        <f t="shared" ref="H30" si="23">(E30+(F30*(D30^G30)))/1000000</f>
        <v>3.0233368262924087</v>
      </c>
      <c r="P30"/>
      <c r="Q30"/>
    </row>
    <row r="31" spans="1:17" x14ac:dyDescent="0.3">
      <c r="A31" s="6"/>
      <c r="B31" s="42" t="s">
        <v>146</v>
      </c>
      <c r="C31" s="6"/>
      <c r="D31" s="10"/>
      <c r="E31" s="9"/>
      <c r="F31" s="9"/>
      <c r="G31" s="10"/>
      <c r="H31" s="13">
        <f>SUM(H14:H30)</f>
        <v>34.531641848083744</v>
      </c>
      <c r="J31" s="58"/>
      <c r="K31" s="58"/>
      <c r="L31" s="58"/>
      <c r="M31" s="58"/>
      <c r="N31" s="58"/>
      <c r="O31" s="58"/>
      <c r="P31" s="58"/>
      <c r="Q31" s="58"/>
    </row>
    <row r="32" spans="1:17" x14ac:dyDescent="0.3">
      <c r="A32" s="104" t="s">
        <v>162</v>
      </c>
      <c r="B32" s="105"/>
      <c r="C32" s="105"/>
      <c r="D32" s="105"/>
      <c r="E32" s="105"/>
      <c r="F32" s="105"/>
      <c r="G32" s="105"/>
      <c r="H32" s="106"/>
      <c r="J32" s="58"/>
      <c r="K32" s="58"/>
      <c r="L32" s="58"/>
      <c r="M32" s="58"/>
      <c r="N32" s="58"/>
      <c r="O32" s="58"/>
    </row>
    <row r="33" spans="1:15" x14ac:dyDescent="0.3">
      <c r="A33" s="48" t="s">
        <v>158</v>
      </c>
      <c r="B33" s="54" t="s">
        <v>171</v>
      </c>
      <c r="C33" s="54" t="s">
        <v>161</v>
      </c>
      <c r="D33" s="64">
        <f>5.52953103098377*1000/3600</f>
        <v>1.5359808419399359</v>
      </c>
      <c r="E33" s="55">
        <v>8000</v>
      </c>
      <c r="F33" s="55">
        <v>240</v>
      </c>
      <c r="G33" s="56">
        <v>0.9</v>
      </c>
      <c r="H33" s="56">
        <f t="shared" ref="H33:H35" si="24">(E33+(F33*(D33^G33)))/1000000</f>
        <v>8.3531493901967038E-3</v>
      </c>
      <c r="J33" s="58"/>
      <c r="K33" s="58"/>
      <c r="L33" s="58"/>
      <c r="M33" s="58"/>
      <c r="N33" s="58"/>
      <c r="O33" s="58"/>
    </row>
    <row r="34" spans="1:15" x14ac:dyDescent="0.3">
      <c r="A34" s="48" t="s">
        <v>159</v>
      </c>
      <c r="B34" s="60" t="s">
        <v>171</v>
      </c>
      <c r="C34" s="54" t="s">
        <v>161</v>
      </c>
      <c r="D34" s="64">
        <f>38.2139638901829*1000/3600</f>
        <v>10.61498996949525</v>
      </c>
      <c r="E34" s="55">
        <v>8000</v>
      </c>
      <c r="F34" s="55">
        <v>240</v>
      </c>
      <c r="G34" s="56">
        <v>0.9</v>
      </c>
      <c r="H34" s="56">
        <f t="shared" si="24"/>
        <v>1.0011587234910298E-2</v>
      </c>
      <c r="J34" s="58"/>
      <c r="K34" s="58"/>
      <c r="L34" s="58"/>
      <c r="M34" s="58"/>
      <c r="N34" s="58"/>
      <c r="O34" s="58"/>
    </row>
    <row r="35" spans="1:15" x14ac:dyDescent="0.3">
      <c r="A35" s="48" t="s">
        <v>160</v>
      </c>
      <c r="B35" s="60" t="s">
        <v>171</v>
      </c>
      <c r="C35" s="54" t="s">
        <v>161</v>
      </c>
      <c r="D35" s="64">
        <f>39.9115952363907*1000/3600</f>
        <v>11.086554232330752</v>
      </c>
      <c r="E35" s="55">
        <v>8000</v>
      </c>
      <c r="F35" s="55">
        <v>240</v>
      </c>
      <c r="G35" s="56">
        <v>0.9</v>
      </c>
      <c r="H35" s="56">
        <f t="shared" si="24"/>
        <v>1.00918385821454E-2</v>
      </c>
      <c r="J35" s="58"/>
      <c r="K35" s="58"/>
      <c r="L35" s="58"/>
      <c r="M35" s="58"/>
      <c r="N35" s="58"/>
      <c r="O35" s="58"/>
    </row>
    <row r="36" spans="1:15" x14ac:dyDescent="0.3">
      <c r="A36" s="48"/>
      <c r="B36" s="47" t="s">
        <v>146</v>
      </c>
      <c r="C36" s="48"/>
      <c r="D36" s="50"/>
      <c r="E36" s="49"/>
      <c r="F36" s="49"/>
      <c r="G36" s="50"/>
      <c r="H36" s="51">
        <f>SUM(H33:H35)</f>
        <v>2.8456575207252401E-2</v>
      </c>
      <c r="J36" s="58"/>
      <c r="K36" s="58"/>
      <c r="L36" s="58"/>
      <c r="M36" s="58"/>
      <c r="N36" s="58"/>
      <c r="O36" s="58"/>
    </row>
    <row r="37" spans="1:15" x14ac:dyDescent="0.3">
      <c r="A37" s="104" t="s">
        <v>165</v>
      </c>
      <c r="B37" s="105"/>
      <c r="C37" s="105"/>
      <c r="D37" s="105"/>
      <c r="E37" s="105"/>
      <c r="F37" s="105"/>
      <c r="G37" s="105"/>
      <c r="H37" s="106"/>
      <c r="J37" s="58"/>
      <c r="K37" s="58"/>
      <c r="L37" s="58"/>
      <c r="M37" s="58"/>
      <c r="N37" s="58"/>
      <c r="O37" s="58"/>
    </row>
    <row r="38" spans="1:15" x14ac:dyDescent="0.3">
      <c r="A38" s="6" t="s">
        <v>195</v>
      </c>
      <c r="B38" s="6" t="s">
        <v>172</v>
      </c>
      <c r="C38" s="6" t="s">
        <v>54</v>
      </c>
      <c r="D38" s="31">
        <v>876.29109270952665</v>
      </c>
      <c r="E38" s="9">
        <v>28000</v>
      </c>
      <c r="F38" s="9">
        <v>54</v>
      </c>
      <c r="G38" s="10">
        <v>1.2</v>
      </c>
      <c r="H38" s="10">
        <f t="shared" ref="H38:H169" si="25">(E38+(F38*(D38^G38)))/1000000</f>
        <v>0.21147286237690799</v>
      </c>
      <c r="J38" s="58"/>
      <c r="K38" s="58"/>
      <c r="L38" s="58"/>
      <c r="M38" s="58"/>
      <c r="N38" s="58"/>
      <c r="O38" s="67"/>
    </row>
    <row r="39" spans="1:15" x14ac:dyDescent="0.3">
      <c r="A39" s="6" t="s">
        <v>195</v>
      </c>
      <c r="B39" s="60" t="s">
        <v>172</v>
      </c>
      <c r="C39" s="6" t="s">
        <v>54</v>
      </c>
      <c r="D39" s="31">
        <v>876.29109270952665</v>
      </c>
      <c r="E39" s="9">
        <v>28000</v>
      </c>
      <c r="F39" s="9">
        <v>54</v>
      </c>
      <c r="G39" s="10">
        <v>1.2</v>
      </c>
      <c r="H39" s="10">
        <f t="shared" si="25"/>
        <v>0.21147286237690799</v>
      </c>
      <c r="J39" s="58" t="s">
        <v>251</v>
      </c>
      <c r="K39" s="58"/>
      <c r="L39" s="58"/>
      <c r="M39" s="58"/>
      <c r="N39" s="58"/>
      <c r="O39" s="58"/>
    </row>
    <row r="40" spans="1:15" x14ac:dyDescent="0.3">
      <c r="A40" s="6" t="s">
        <v>195</v>
      </c>
      <c r="B40" s="60" t="s">
        <v>172</v>
      </c>
      <c r="C40" s="6" t="s">
        <v>54</v>
      </c>
      <c r="D40" s="31">
        <v>876.29109270952665</v>
      </c>
      <c r="E40" s="9">
        <v>28000</v>
      </c>
      <c r="F40" s="9">
        <v>54</v>
      </c>
      <c r="G40" s="10">
        <v>1.2</v>
      </c>
      <c r="H40" s="10">
        <f t="shared" si="25"/>
        <v>0.21147286237690799</v>
      </c>
      <c r="J40" s="58"/>
      <c r="K40" s="58"/>
      <c r="L40" s="58"/>
      <c r="M40" s="58"/>
      <c r="N40" s="58"/>
      <c r="O40" s="58"/>
    </row>
    <row r="41" spans="1:15" x14ac:dyDescent="0.3">
      <c r="A41" s="6" t="s">
        <v>194</v>
      </c>
      <c r="B41" s="60" t="s">
        <v>172</v>
      </c>
      <c r="C41" s="6" t="s">
        <v>54</v>
      </c>
      <c r="D41" s="31">
        <v>63.2735188225518</v>
      </c>
      <c r="E41" s="9">
        <v>28000</v>
      </c>
      <c r="F41" s="9">
        <v>54</v>
      </c>
      <c r="G41" s="10">
        <v>1.2</v>
      </c>
      <c r="H41" s="10">
        <f t="shared" si="25"/>
        <v>3.5831773967474306E-2</v>
      </c>
      <c r="J41" s="58"/>
      <c r="K41" s="58"/>
      <c r="L41" s="58"/>
      <c r="M41" s="58"/>
      <c r="N41" s="58"/>
      <c r="O41" s="58"/>
    </row>
    <row r="42" spans="1:15" x14ac:dyDescent="0.3">
      <c r="A42" s="6" t="s">
        <v>187</v>
      </c>
      <c r="B42" s="60" t="s">
        <v>172</v>
      </c>
      <c r="C42" s="6" t="s">
        <v>54</v>
      </c>
      <c r="D42" s="31">
        <v>224.38566656060701</v>
      </c>
      <c r="E42" s="9">
        <v>28000</v>
      </c>
      <c r="F42" s="9">
        <v>54</v>
      </c>
      <c r="G42" s="10">
        <v>1.2</v>
      </c>
      <c r="H42" s="10">
        <f t="shared" si="25"/>
        <v>6.3775679683563694E-2</v>
      </c>
      <c r="J42" s="58"/>
      <c r="K42" s="58"/>
      <c r="L42" s="58"/>
      <c r="M42" s="58"/>
      <c r="N42" s="58"/>
      <c r="O42" s="58"/>
    </row>
    <row r="43" spans="1:15" x14ac:dyDescent="0.3">
      <c r="A43" s="6" t="s">
        <v>197</v>
      </c>
      <c r="B43" s="60" t="s">
        <v>172</v>
      </c>
      <c r="C43" s="6" t="s">
        <v>54</v>
      </c>
      <c r="D43" s="31">
        <v>4.3604776536647396</v>
      </c>
      <c r="E43" s="9">
        <v>28000</v>
      </c>
      <c r="F43" s="9">
        <v>54</v>
      </c>
      <c r="G43" s="10">
        <v>1.2</v>
      </c>
      <c r="H43" s="10">
        <f t="shared" ref="H43" si="26">(E43+(F43*(D43^G43)))/1000000</f>
        <v>2.8316107382060078E-2</v>
      </c>
      <c r="J43" s="58"/>
      <c r="K43" s="58"/>
      <c r="L43" s="58"/>
      <c r="M43" s="58"/>
      <c r="N43" s="58"/>
      <c r="O43" s="58"/>
    </row>
    <row r="44" spans="1:15" x14ac:dyDescent="0.3">
      <c r="A44" s="6" t="s">
        <v>188</v>
      </c>
      <c r="B44" s="60" t="s">
        <v>172</v>
      </c>
      <c r="C44" s="6" t="s">
        <v>54</v>
      </c>
      <c r="D44" s="31">
        <v>913.00923762943</v>
      </c>
      <c r="E44" s="9">
        <v>28000</v>
      </c>
      <c r="F44" s="9">
        <v>54</v>
      </c>
      <c r="G44" s="10">
        <v>1.2</v>
      </c>
      <c r="H44" s="10">
        <f t="shared" ref="H44:H52" si="27">(E44+(F44*(D44^G44)))/1000000</f>
        <v>0.22073649896252653</v>
      </c>
      <c r="J44" s="58"/>
      <c r="K44" s="58"/>
      <c r="L44" s="58"/>
      <c r="M44" s="58"/>
      <c r="N44" s="58"/>
      <c r="O44" s="58"/>
    </row>
    <row r="45" spans="1:15" x14ac:dyDescent="0.3">
      <c r="A45" s="6" t="s">
        <v>188</v>
      </c>
      <c r="B45" s="60" t="s">
        <v>172</v>
      </c>
      <c r="C45" s="6" t="s">
        <v>54</v>
      </c>
      <c r="D45" s="31">
        <v>913.00923762943</v>
      </c>
      <c r="E45" s="9">
        <v>28000</v>
      </c>
      <c r="F45" s="9">
        <v>54</v>
      </c>
      <c r="G45" s="10">
        <v>1.2</v>
      </c>
      <c r="H45" s="10">
        <f t="shared" si="27"/>
        <v>0.22073649896252653</v>
      </c>
      <c r="J45" s="58"/>
      <c r="K45" s="58"/>
      <c r="L45" s="58"/>
      <c r="M45" s="58"/>
      <c r="N45" s="58"/>
      <c r="O45" s="58"/>
    </row>
    <row r="46" spans="1:15" x14ac:dyDescent="0.3">
      <c r="A46" s="6" t="s">
        <v>111</v>
      </c>
      <c r="B46" s="60" t="s">
        <v>172</v>
      </c>
      <c r="C46" s="6" t="s">
        <v>54</v>
      </c>
      <c r="D46" s="31">
        <v>97.103838790667098</v>
      </c>
      <c r="E46" s="9">
        <v>28000</v>
      </c>
      <c r="F46" s="9">
        <v>54</v>
      </c>
      <c r="G46" s="10">
        <v>1.2</v>
      </c>
      <c r="H46" s="10">
        <f t="shared" si="27"/>
        <v>4.1094153832718201E-2</v>
      </c>
      <c r="J46" s="58"/>
      <c r="K46" s="58"/>
      <c r="L46" s="58"/>
      <c r="M46" s="58"/>
      <c r="N46" s="58"/>
      <c r="O46" s="58"/>
    </row>
    <row r="47" spans="1:15" x14ac:dyDescent="0.3">
      <c r="A47" s="6" t="s">
        <v>129</v>
      </c>
      <c r="B47" s="60" t="s">
        <v>172</v>
      </c>
      <c r="C47" s="6" t="s">
        <v>54</v>
      </c>
      <c r="D47" s="31">
        <v>183.204017227832</v>
      </c>
      <c r="E47" s="9">
        <v>28000</v>
      </c>
      <c r="F47" s="9">
        <v>54</v>
      </c>
      <c r="G47" s="10">
        <v>1.2</v>
      </c>
      <c r="H47" s="10">
        <f t="shared" si="27"/>
        <v>5.6048894619874258E-2</v>
      </c>
      <c r="J47" s="58"/>
      <c r="K47" s="58"/>
      <c r="L47" s="58"/>
      <c r="M47" s="58"/>
      <c r="N47" s="58"/>
      <c r="O47" s="58"/>
    </row>
    <row r="48" spans="1:15" x14ac:dyDescent="0.3">
      <c r="A48" s="6" t="s">
        <v>130</v>
      </c>
      <c r="B48" s="60" t="s">
        <v>172</v>
      </c>
      <c r="C48" s="6" t="s">
        <v>54</v>
      </c>
      <c r="D48" s="31">
        <v>420.30381943742799</v>
      </c>
      <c r="E48" s="9">
        <v>28000</v>
      </c>
      <c r="F48" s="9">
        <v>54</v>
      </c>
      <c r="G48" s="10">
        <v>1.2</v>
      </c>
      <c r="H48" s="10">
        <f t="shared" si="27"/>
        <v>0.10397483468102449</v>
      </c>
      <c r="J48" s="58"/>
      <c r="K48" s="58"/>
      <c r="L48" s="58"/>
      <c r="M48" s="58"/>
      <c r="N48" s="67"/>
      <c r="O48" s="58"/>
    </row>
    <row r="49" spans="1:15" x14ac:dyDescent="0.3">
      <c r="A49" s="6" t="s">
        <v>128</v>
      </c>
      <c r="B49" s="60" t="s">
        <v>172</v>
      </c>
      <c r="C49" s="6" t="s">
        <v>54</v>
      </c>
      <c r="D49" s="31">
        <v>141.733021218635</v>
      </c>
      <c r="E49" s="9">
        <v>28000</v>
      </c>
      <c r="F49" s="9">
        <v>54</v>
      </c>
      <c r="G49" s="10">
        <v>1.2</v>
      </c>
      <c r="H49" s="10">
        <f t="shared" si="27"/>
        <v>4.8613845349666722E-2</v>
      </c>
      <c r="J49" s="58"/>
      <c r="K49" s="58"/>
      <c r="L49" s="58"/>
      <c r="M49" s="58"/>
      <c r="N49" s="58"/>
      <c r="O49" s="58"/>
    </row>
    <row r="50" spans="1:15" x14ac:dyDescent="0.3">
      <c r="A50" s="6" t="s">
        <v>127</v>
      </c>
      <c r="B50" s="60" t="s">
        <v>172</v>
      </c>
      <c r="C50" s="6" t="s">
        <v>54</v>
      </c>
      <c r="D50" s="31">
        <v>6.3323691505614101E-4</v>
      </c>
      <c r="E50" s="9">
        <v>28000</v>
      </c>
      <c r="F50" s="9">
        <v>54</v>
      </c>
      <c r="G50" s="10">
        <v>1.2</v>
      </c>
      <c r="H50" s="10">
        <f t="shared" si="27"/>
        <v>2.8000007839226796E-2</v>
      </c>
      <c r="J50" s="58"/>
      <c r="K50" s="58"/>
      <c r="L50" s="58"/>
      <c r="M50" s="58"/>
      <c r="N50" s="58"/>
      <c r="O50" s="58"/>
    </row>
    <row r="51" spans="1:15" ht="14.25" customHeight="1" x14ac:dyDescent="0.3">
      <c r="A51" s="6" t="s">
        <v>252</v>
      </c>
      <c r="B51" s="60" t="s">
        <v>172</v>
      </c>
      <c r="C51" s="6" t="s">
        <v>54</v>
      </c>
      <c r="D51" s="31">
        <v>115.103400562033</v>
      </c>
      <c r="E51" s="9">
        <v>28000</v>
      </c>
      <c r="F51" s="9">
        <v>54</v>
      </c>
      <c r="G51" s="10">
        <v>1.2</v>
      </c>
      <c r="H51" s="10">
        <f t="shared" si="27"/>
        <v>4.4058299186867274E-2</v>
      </c>
      <c r="J51" s="58"/>
      <c r="K51" s="58"/>
      <c r="L51" s="58"/>
      <c r="M51" s="58"/>
      <c r="N51" s="58"/>
      <c r="O51" s="58"/>
    </row>
    <row r="52" spans="1:15" x14ac:dyDescent="0.3">
      <c r="A52" s="6" t="s">
        <v>134</v>
      </c>
      <c r="B52" s="60" t="s">
        <v>172</v>
      </c>
      <c r="C52" s="6" t="s">
        <v>54</v>
      </c>
      <c r="D52" s="31">
        <v>279.39669939822301</v>
      </c>
      <c r="E52" s="9">
        <v>28000</v>
      </c>
      <c r="F52" s="9">
        <v>54</v>
      </c>
      <c r="G52" s="10">
        <v>1.2</v>
      </c>
      <c r="H52" s="10">
        <f t="shared" si="27"/>
        <v>7.4543526469341106E-2</v>
      </c>
      <c r="J52" s="58"/>
      <c r="K52" s="58"/>
      <c r="L52" s="58"/>
      <c r="M52" s="58"/>
      <c r="N52" s="58"/>
      <c r="O52" s="58"/>
    </row>
    <row r="53" spans="1:15" x14ac:dyDescent="0.3">
      <c r="A53" s="6" t="s">
        <v>136</v>
      </c>
      <c r="B53" s="60" t="s">
        <v>172</v>
      </c>
      <c r="C53" s="6" t="s">
        <v>54</v>
      </c>
      <c r="D53" s="31">
        <v>84.7667208108045</v>
      </c>
      <c r="E53" s="9">
        <v>28000</v>
      </c>
      <c r="F53" s="9">
        <v>54</v>
      </c>
      <c r="G53" s="10">
        <v>1.2</v>
      </c>
      <c r="H53" s="10">
        <f t="shared" ref="H53:H89" si="28">(E53+(F53*(D53^G53)))/1000000</f>
        <v>3.9124082965482532E-2</v>
      </c>
      <c r="J53" s="58"/>
      <c r="K53" s="58"/>
      <c r="L53" s="58"/>
      <c r="M53" s="58"/>
      <c r="N53" s="58"/>
      <c r="O53" s="58"/>
    </row>
    <row r="54" spans="1:15" x14ac:dyDescent="0.3">
      <c r="A54" s="6" t="s">
        <v>190</v>
      </c>
      <c r="B54" s="60" t="s">
        <v>172</v>
      </c>
      <c r="C54" s="6" t="s">
        <v>54</v>
      </c>
      <c r="D54" s="31">
        <v>92.0381127865694</v>
      </c>
      <c r="E54" s="9">
        <v>28000</v>
      </c>
      <c r="F54" s="9">
        <v>54</v>
      </c>
      <c r="G54" s="10">
        <v>1.2</v>
      </c>
      <c r="H54" s="10">
        <f t="shared" si="28"/>
        <v>4.027877399753952E-2</v>
      </c>
      <c r="J54" s="58"/>
      <c r="K54" s="58"/>
      <c r="L54" s="58"/>
      <c r="M54" s="58"/>
      <c r="N54" s="58"/>
      <c r="O54" s="58"/>
    </row>
    <row r="55" spans="1:15" x14ac:dyDescent="0.3">
      <c r="A55" s="6" t="s">
        <v>182</v>
      </c>
      <c r="B55" s="60" t="s">
        <v>172</v>
      </c>
      <c r="C55" s="6" t="s">
        <v>54</v>
      </c>
      <c r="D55" s="31">
        <v>69.033318199790799</v>
      </c>
      <c r="E55" s="9">
        <v>28000</v>
      </c>
      <c r="F55" s="9">
        <v>54</v>
      </c>
      <c r="G55" s="10">
        <v>1.2</v>
      </c>
      <c r="H55" s="10">
        <f t="shared" si="28"/>
        <v>3.6694893333794158E-2</v>
      </c>
      <c r="J55" s="58"/>
      <c r="K55" s="58"/>
      <c r="L55" s="58"/>
      <c r="M55" s="58"/>
      <c r="N55" s="58"/>
      <c r="O55" s="58"/>
    </row>
    <row r="56" spans="1:15" x14ac:dyDescent="0.3">
      <c r="A56" s="6" t="s">
        <v>124</v>
      </c>
      <c r="B56" s="60" t="s">
        <v>172</v>
      </c>
      <c r="C56" s="6" t="s">
        <v>54</v>
      </c>
      <c r="D56" s="31">
        <v>24.1054234391639</v>
      </c>
      <c r="E56" s="9">
        <v>28000</v>
      </c>
      <c r="F56" s="9">
        <v>54</v>
      </c>
      <c r="G56" s="10">
        <v>1.2</v>
      </c>
      <c r="H56" s="10">
        <f t="shared" si="28"/>
        <v>3.0459979440921714E-2</v>
      </c>
      <c r="J56" s="58"/>
      <c r="K56" s="58"/>
      <c r="L56" s="58"/>
      <c r="M56" s="58"/>
      <c r="N56" s="58"/>
      <c r="O56" s="58"/>
    </row>
    <row r="57" spans="1:15" x14ac:dyDescent="0.3">
      <c r="A57" s="6" t="s">
        <v>192</v>
      </c>
      <c r="B57" s="60" t="s">
        <v>172</v>
      </c>
      <c r="C57" s="6" t="s">
        <v>54</v>
      </c>
      <c r="D57" s="31">
        <v>140.39640578761501</v>
      </c>
      <c r="E57" s="9">
        <v>28000</v>
      </c>
      <c r="F57" s="9">
        <v>54</v>
      </c>
      <c r="G57" s="10">
        <v>1.2</v>
      </c>
      <c r="H57" s="10">
        <f t="shared" si="28"/>
        <v>4.8380786877624163E-2</v>
      </c>
      <c r="J57" s="58"/>
      <c r="K57" s="58"/>
      <c r="L57" s="58"/>
      <c r="M57" s="58"/>
      <c r="N57" s="58"/>
      <c r="O57" s="58"/>
    </row>
    <row r="58" spans="1:15" x14ac:dyDescent="0.3">
      <c r="A58" s="6" t="s">
        <v>193</v>
      </c>
      <c r="B58" s="60" t="s">
        <v>172</v>
      </c>
      <c r="C58" s="6" t="s">
        <v>54</v>
      </c>
      <c r="D58" s="31">
        <v>527.28759750785002</v>
      </c>
      <c r="E58" s="9">
        <v>28000</v>
      </c>
      <c r="F58" s="9">
        <v>54</v>
      </c>
      <c r="G58" s="10">
        <v>1.2</v>
      </c>
      <c r="H58" s="10">
        <f t="shared" si="28"/>
        <v>0.12773574299558915</v>
      </c>
      <c r="J58" s="58"/>
      <c r="K58" s="58"/>
      <c r="L58" s="58"/>
      <c r="M58" s="58"/>
      <c r="N58" s="58"/>
      <c r="O58" s="58"/>
    </row>
    <row r="59" spans="1:15" x14ac:dyDescent="0.3">
      <c r="A59" s="6" t="s">
        <v>193</v>
      </c>
      <c r="B59" s="60" t="s">
        <v>172</v>
      </c>
      <c r="C59" s="6" t="s">
        <v>54</v>
      </c>
      <c r="D59" s="31">
        <v>527.28759750785002</v>
      </c>
      <c r="E59" s="9">
        <v>28000</v>
      </c>
      <c r="F59" s="9">
        <v>54</v>
      </c>
      <c r="G59" s="10">
        <v>1.2</v>
      </c>
      <c r="H59" s="10">
        <f t="shared" si="28"/>
        <v>0.12773574299558915</v>
      </c>
      <c r="J59" s="58"/>
      <c r="K59" s="58"/>
      <c r="L59" s="58"/>
      <c r="M59" s="58"/>
      <c r="N59" s="58"/>
      <c r="O59" s="58"/>
    </row>
    <row r="60" spans="1:15" x14ac:dyDescent="0.3">
      <c r="A60" s="6" t="s">
        <v>139</v>
      </c>
      <c r="B60" s="60" t="s">
        <v>172</v>
      </c>
      <c r="C60" s="6" t="s">
        <v>54</v>
      </c>
      <c r="D60" s="31">
        <v>214.75106683489199</v>
      </c>
      <c r="E60" s="9">
        <v>28000</v>
      </c>
      <c r="F60" s="9">
        <v>54</v>
      </c>
      <c r="G60" s="10">
        <v>1.2</v>
      </c>
      <c r="H60" s="10">
        <f t="shared" si="28"/>
        <v>6.1940337438506486E-2</v>
      </c>
      <c r="J60" s="58"/>
      <c r="K60" s="58"/>
      <c r="L60" s="58"/>
      <c r="M60" s="58"/>
      <c r="N60" s="58"/>
      <c r="O60" s="58"/>
    </row>
    <row r="61" spans="1:15" x14ac:dyDescent="0.3">
      <c r="A61" s="6" t="s">
        <v>120</v>
      </c>
      <c r="B61" s="60" t="s">
        <v>172</v>
      </c>
      <c r="C61" s="6" t="s">
        <v>54</v>
      </c>
      <c r="D61" s="31">
        <v>31.786896608788901</v>
      </c>
      <c r="E61" s="9">
        <v>28000</v>
      </c>
      <c r="F61" s="9">
        <v>54</v>
      </c>
      <c r="G61" s="10">
        <v>1.2</v>
      </c>
      <c r="H61" s="10">
        <f t="shared" si="28"/>
        <v>3.1428400225546861E-2</v>
      </c>
      <c r="J61" s="58"/>
      <c r="K61" s="58"/>
      <c r="L61" s="58"/>
      <c r="M61" s="58"/>
      <c r="N61" s="58"/>
      <c r="O61" s="58"/>
    </row>
    <row r="62" spans="1:15" x14ac:dyDescent="0.3">
      <c r="A62" s="6" t="s">
        <v>119</v>
      </c>
      <c r="B62" s="60" t="s">
        <v>172</v>
      </c>
      <c r="C62" s="6" t="s">
        <v>54</v>
      </c>
      <c r="D62" s="31">
        <v>1.2330344304490399</v>
      </c>
      <c r="E62" s="9">
        <v>28000</v>
      </c>
      <c r="F62" s="9">
        <v>54</v>
      </c>
      <c r="G62" s="10">
        <v>1.2</v>
      </c>
      <c r="H62" s="10">
        <f t="shared" si="28"/>
        <v>2.8069432692082598E-2</v>
      </c>
      <c r="J62" s="58"/>
      <c r="K62" s="58"/>
      <c r="L62" s="58"/>
      <c r="M62" s="58"/>
      <c r="N62" s="58"/>
      <c r="O62" s="58"/>
    </row>
    <row r="63" spans="1:15" x14ac:dyDescent="0.3">
      <c r="A63" s="6" t="s">
        <v>121</v>
      </c>
      <c r="B63" s="60" t="s">
        <v>172</v>
      </c>
      <c r="C63" s="6" t="s">
        <v>54</v>
      </c>
      <c r="D63" s="31">
        <v>957.87727318829127</v>
      </c>
      <c r="E63" s="9">
        <v>28000</v>
      </c>
      <c r="F63" s="9">
        <v>54</v>
      </c>
      <c r="G63" s="10">
        <v>1.2</v>
      </c>
      <c r="H63" s="10">
        <f t="shared" si="28"/>
        <v>0.23215762407325871</v>
      </c>
      <c r="J63" s="58"/>
      <c r="K63" s="58"/>
      <c r="L63" s="58"/>
      <c r="M63" s="58"/>
      <c r="N63" s="58"/>
      <c r="O63" s="58"/>
    </row>
    <row r="64" spans="1:15" x14ac:dyDescent="0.3">
      <c r="A64" s="6" t="s">
        <v>121</v>
      </c>
      <c r="B64" s="60" t="s">
        <v>172</v>
      </c>
      <c r="C64" s="6" t="s">
        <v>54</v>
      </c>
      <c r="D64" s="31">
        <v>957.87727318829127</v>
      </c>
      <c r="E64" s="9">
        <v>28000</v>
      </c>
      <c r="F64" s="9">
        <v>54</v>
      </c>
      <c r="G64" s="10">
        <v>1.2</v>
      </c>
      <c r="H64" s="10">
        <f t="shared" si="28"/>
        <v>0.23215762407325871</v>
      </c>
      <c r="J64" s="58"/>
      <c r="K64" s="58"/>
      <c r="L64" s="58"/>
      <c r="M64" s="58"/>
      <c r="N64" s="58"/>
      <c r="O64" s="58"/>
    </row>
    <row r="65" spans="1:15" x14ac:dyDescent="0.3">
      <c r="A65" s="6" t="s">
        <v>121</v>
      </c>
      <c r="B65" s="60" t="s">
        <v>172</v>
      </c>
      <c r="C65" s="6" t="s">
        <v>54</v>
      </c>
      <c r="D65" s="31">
        <v>957.87727318829127</v>
      </c>
      <c r="E65" s="9">
        <v>28000</v>
      </c>
      <c r="F65" s="9">
        <v>54</v>
      </c>
      <c r="G65" s="10">
        <v>1.2</v>
      </c>
      <c r="H65" s="10">
        <f t="shared" si="28"/>
        <v>0.23215762407325871</v>
      </c>
      <c r="J65" s="58"/>
      <c r="K65" s="58"/>
      <c r="L65" s="58"/>
      <c r="M65" s="58"/>
      <c r="N65" s="58"/>
      <c r="O65" s="58"/>
    </row>
    <row r="66" spans="1:15" ht="15.75" customHeight="1" x14ac:dyDescent="0.3">
      <c r="A66" s="6" t="s">
        <v>121</v>
      </c>
      <c r="B66" s="60" t="s">
        <v>172</v>
      </c>
      <c r="C66" s="6" t="s">
        <v>54</v>
      </c>
      <c r="D66" s="31">
        <v>957.87727318829127</v>
      </c>
      <c r="E66" s="9">
        <v>28000</v>
      </c>
      <c r="F66" s="9">
        <v>54</v>
      </c>
      <c r="G66" s="10">
        <v>1.2</v>
      </c>
      <c r="H66" s="10">
        <f t="shared" si="28"/>
        <v>0.23215762407325871</v>
      </c>
      <c r="J66" s="58"/>
      <c r="K66" s="58"/>
      <c r="L66" s="58"/>
      <c r="M66" s="58"/>
      <c r="N66" s="58"/>
      <c r="O66" s="58"/>
    </row>
    <row r="67" spans="1:15" x14ac:dyDescent="0.3">
      <c r="A67" s="6" t="s">
        <v>121</v>
      </c>
      <c r="B67" s="60" t="s">
        <v>172</v>
      </c>
      <c r="C67" s="6" t="s">
        <v>54</v>
      </c>
      <c r="D67" s="31">
        <v>957.87727318829127</v>
      </c>
      <c r="E67" s="9">
        <v>28000</v>
      </c>
      <c r="F67" s="9">
        <v>54</v>
      </c>
      <c r="G67" s="10">
        <v>1.2</v>
      </c>
      <c r="H67" s="10">
        <f t="shared" si="28"/>
        <v>0.23215762407325871</v>
      </c>
      <c r="J67" s="58"/>
      <c r="K67" s="58"/>
      <c r="L67" s="58"/>
      <c r="M67" s="58"/>
      <c r="N67" s="58"/>
      <c r="O67" s="58"/>
    </row>
    <row r="68" spans="1:15" x14ac:dyDescent="0.3">
      <c r="A68" s="6" t="s">
        <v>121</v>
      </c>
      <c r="B68" s="60" t="s">
        <v>172</v>
      </c>
      <c r="C68" s="6" t="s">
        <v>54</v>
      </c>
      <c r="D68" s="31">
        <v>957.87727318829127</v>
      </c>
      <c r="E68" s="9">
        <v>28000</v>
      </c>
      <c r="F68" s="9">
        <v>54</v>
      </c>
      <c r="G68" s="10">
        <v>1.2</v>
      </c>
      <c r="H68" s="10">
        <f t="shared" si="28"/>
        <v>0.23215762407325871</v>
      </c>
      <c r="J68" s="58"/>
      <c r="K68" s="58"/>
      <c r="L68" s="58"/>
      <c r="M68" s="58"/>
      <c r="N68" s="58"/>
      <c r="O68" s="58"/>
    </row>
    <row r="69" spans="1:15" ht="15.75" customHeight="1" x14ac:dyDescent="0.3">
      <c r="A69" s="6" t="s">
        <v>121</v>
      </c>
      <c r="B69" s="60" t="s">
        <v>172</v>
      </c>
      <c r="C69" s="6" t="s">
        <v>54</v>
      </c>
      <c r="D69" s="31">
        <v>957.87727318829127</v>
      </c>
      <c r="E69" s="9">
        <v>28000</v>
      </c>
      <c r="F69" s="9">
        <v>54</v>
      </c>
      <c r="G69" s="10">
        <v>1.2</v>
      </c>
      <c r="H69" s="10">
        <f t="shared" si="28"/>
        <v>0.23215762407325871</v>
      </c>
      <c r="J69" s="58"/>
      <c r="K69" s="58"/>
      <c r="L69" s="58"/>
      <c r="M69" s="58"/>
      <c r="N69" s="58"/>
      <c r="O69" s="58"/>
    </row>
    <row r="70" spans="1:15" x14ac:dyDescent="0.3">
      <c r="A70" s="6" t="s">
        <v>121</v>
      </c>
      <c r="B70" s="60" t="s">
        <v>172</v>
      </c>
      <c r="C70" s="6" t="s">
        <v>54</v>
      </c>
      <c r="D70" s="31">
        <v>957.87727318829127</v>
      </c>
      <c r="E70" s="9">
        <v>28000</v>
      </c>
      <c r="F70" s="9">
        <v>54</v>
      </c>
      <c r="G70" s="10">
        <v>1.2</v>
      </c>
      <c r="H70" s="10">
        <f t="shared" si="28"/>
        <v>0.23215762407325871</v>
      </c>
      <c r="J70" s="58"/>
      <c r="K70" s="58"/>
      <c r="L70" s="58"/>
      <c r="M70" s="58"/>
      <c r="N70" s="58"/>
      <c r="O70" s="58"/>
    </row>
    <row r="71" spans="1:15" x14ac:dyDescent="0.3">
      <c r="A71" s="6" t="s">
        <v>121</v>
      </c>
      <c r="B71" s="60" t="s">
        <v>172</v>
      </c>
      <c r="C71" s="6" t="s">
        <v>54</v>
      </c>
      <c r="D71" s="31">
        <v>957.87727318829127</v>
      </c>
      <c r="E71" s="9">
        <v>28000</v>
      </c>
      <c r="F71" s="9">
        <v>54</v>
      </c>
      <c r="G71" s="10">
        <v>1.2</v>
      </c>
      <c r="H71" s="10">
        <f t="shared" si="28"/>
        <v>0.23215762407325871</v>
      </c>
      <c r="J71" s="58"/>
      <c r="K71" s="58"/>
      <c r="L71" s="58"/>
      <c r="M71" s="58"/>
      <c r="N71" s="58"/>
      <c r="O71" s="58"/>
    </row>
    <row r="72" spans="1:15" x14ac:dyDescent="0.3">
      <c r="A72" s="6" t="s">
        <v>121</v>
      </c>
      <c r="B72" s="60" t="s">
        <v>172</v>
      </c>
      <c r="C72" s="6" t="s">
        <v>54</v>
      </c>
      <c r="D72" s="31">
        <v>957.87727318829127</v>
      </c>
      <c r="E72" s="9">
        <v>28000</v>
      </c>
      <c r="F72" s="9">
        <v>54</v>
      </c>
      <c r="G72" s="10">
        <v>1.2</v>
      </c>
      <c r="H72" s="10">
        <f t="shared" si="28"/>
        <v>0.23215762407325871</v>
      </c>
      <c r="J72" s="58"/>
      <c r="K72" s="58"/>
      <c r="L72" s="58"/>
      <c r="M72" s="58"/>
      <c r="N72" s="58"/>
      <c r="O72" s="58"/>
    </row>
    <row r="73" spans="1:15" x14ac:dyDescent="0.3">
      <c r="A73" s="6" t="s">
        <v>121</v>
      </c>
      <c r="B73" s="60" t="s">
        <v>172</v>
      </c>
      <c r="C73" s="6" t="s">
        <v>54</v>
      </c>
      <c r="D73" s="31">
        <v>957.87727318829127</v>
      </c>
      <c r="E73" s="9">
        <v>28000</v>
      </c>
      <c r="F73" s="9">
        <v>54</v>
      </c>
      <c r="G73" s="10">
        <v>1.2</v>
      </c>
      <c r="H73" s="10">
        <f t="shared" si="28"/>
        <v>0.23215762407325871</v>
      </c>
      <c r="J73" s="58"/>
      <c r="K73" s="58"/>
      <c r="L73" s="58"/>
      <c r="M73" s="58"/>
      <c r="N73" s="58"/>
      <c r="O73" s="58"/>
    </row>
    <row r="74" spans="1:15" x14ac:dyDescent="0.3">
      <c r="A74" s="6" t="s">
        <v>121</v>
      </c>
      <c r="B74" s="60" t="s">
        <v>172</v>
      </c>
      <c r="C74" s="6" t="s">
        <v>54</v>
      </c>
      <c r="D74" s="31">
        <v>957.87727318829127</v>
      </c>
      <c r="E74" s="9">
        <v>28000</v>
      </c>
      <c r="F74" s="9">
        <v>54</v>
      </c>
      <c r="G74" s="10">
        <v>1.2</v>
      </c>
      <c r="H74" s="10">
        <f t="shared" si="28"/>
        <v>0.23215762407325871</v>
      </c>
      <c r="J74" s="58"/>
      <c r="K74" s="58"/>
      <c r="L74" s="58"/>
      <c r="M74" s="58"/>
      <c r="N74" s="58"/>
      <c r="O74" s="58"/>
    </row>
    <row r="75" spans="1:15" x14ac:dyDescent="0.3">
      <c r="A75" s="6" t="s">
        <v>121</v>
      </c>
      <c r="B75" s="60" t="s">
        <v>172</v>
      </c>
      <c r="C75" s="6" t="s">
        <v>54</v>
      </c>
      <c r="D75" s="31">
        <v>957.87727318829127</v>
      </c>
      <c r="E75" s="9">
        <v>28000</v>
      </c>
      <c r="F75" s="9">
        <v>54</v>
      </c>
      <c r="G75" s="10">
        <v>1.2</v>
      </c>
      <c r="H75" s="10">
        <f t="shared" si="28"/>
        <v>0.23215762407325871</v>
      </c>
      <c r="J75" s="58"/>
      <c r="K75" s="58"/>
      <c r="L75" s="58"/>
      <c r="M75" s="58"/>
      <c r="N75" s="58"/>
      <c r="O75" s="58"/>
    </row>
    <row r="76" spans="1:15" x14ac:dyDescent="0.3">
      <c r="A76" s="6" t="s">
        <v>121</v>
      </c>
      <c r="B76" s="60" t="s">
        <v>172</v>
      </c>
      <c r="C76" s="6" t="s">
        <v>54</v>
      </c>
      <c r="D76" s="31">
        <v>957.87727318829127</v>
      </c>
      <c r="E76" s="9">
        <v>28000</v>
      </c>
      <c r="F76" s="9">
        <v>54</v>
      </c>
      <c r="G76" s="10">
        <v>1.2</v>
      </c>
      <c r="H76" s="10">
        <f t="shared" si="28"/>
        <v>0.23215762407325871</v>
      </c>
      <c r="J76" s="58"/>
      <c r="K76" s="58"/>
      <c r="L76" s="58"/>
      <c r="M76" s="58"/>
      <c r="N76" s="58"/>
      <c r="O76" s="58"/>
    </row>
    <row r="77" spans="1:15" x14ac:dyDescent="0.3">
      <c r="A77" s="6" t="s">
        <v>121</v>
      </c>
      <c r="B77" s="60" t="s">
        <v>172</v>
      </c>
      <c r="C77" s="6" t="s">
        <v>54</v>
      </c>
      <c r="D77" s="31">
        <v>957.87727318829127</v>
      </c>
      <c r="E77" s="9">
        <v>28000</v>
      </c>
      <c r="F77" s="9">
        <v>54</v>
      </c>
      <c r="G77" s="10">
        <v>1.2</v>
      </c>
      <c r="H77" s="10">
        <f t="shared" si="28"/>
        <v>0.23215762407325871</v>
      </c>
      <c r="J77" s="58"/>
      <c r="K77" s="58"/>
      <c r="L77" s="58"/>
      <c r="M77" s="58"/>
      <c r="N77" s="58"/>
      <c r="O77" s="58"/>
    </row>
    <row r="78" spans="1:15" x14ac:dyDescent="0.3">
      <c r="A78" s="6" t="s">
        <v>121</v>
      </c>
      <c r="B78" s="60" t="s">
        <v>172</v>
      </c>
      <c r="C78" s="6" t="s">
        <v>54</v>
      </c>
      <c r="D78" s="31">
        <v>957.87727318829127</v>
      </c>
      <c r="E78" s="9">
        <v>28000</v>
      </c>
      <c r="F78" s="9">
        <v>54</v>
      </c>
      <c r="G78" s="10">
        <v>1.2</v>
      </c>
      <c r="H78" s="10">
        <f t="shared" si="28"/>
        <v>0.23215762407325871</v>
      </c>
      <c r="J78" s="58"/>
      <c r="K78" s="58"/>
      <c r="L78" s="58"/>
      <c r="M78" s="58"/>
      <c r="N78" s="58"/>
      <c r="O78" s="58"/>
    </row>
    <row r="79" spans="1:15" x14ac:dyDescent="0.3">
      <c r="A79" s="6" t="s">
        <v>121</v>
      </c>
      <c r="B79" s="60" t="s">
        <v>172</v>
      </c>
      <c r="C79" s="6" t="s">
        <v>54</v>
      </c>
      <c r="D79" s="31">
        <v>957.87727318829127</v>
      </c>
      <c r="E79" s="9">
        <v>28000</v>
      </c>
      <c r="F79" s="9">
        <v>54</v>
      </c>
      <c r="G79" s="10">
        <v>1.2</v>
      </c>
      <c r="H79" s="10">
        <f t="shared" si="28"/>
        <v>0.23215762407325871</v>
      </c>
      <c r="J79" s="58"/>
      <c r="K79" s="58"/>
      <c r="L79" s="58"/>
      <c r="M79" s="58"/>
      <c r="N79" s="58"/>
      <c r="O79" s="58"/>
    </row>
    <row r="80" spans="1:15" x14ac:dyDescent="0.3">
      <c r="A80" s="6" t="s">
        <v>121</v>
      </c>
      <c r="B80" s="60" t="s">
        <v>172</v>
      </c>
      <c r="C80" s="6" t="s">
        <v>54</v>
      </c>
      <c r="D80" s="31">
        <v>957.87727318829127</v>
      </c>
      <c r="E80" s="9">
        <v>28000</v>
      </c>
      <c r="F80" s="9">
        <v>54</v>
      </c>
      <c r="G80" s="10">
        <v>1.2</v>
      </c>
      <c r="H80" s="10">
        <f t="shared" si="28"/>
        <v>0.23215762407325871</v>
      </c>
      <c r="J80" s="58"/>
      <c r="K80" s="58"/>
      <c r="L80" s="58"/>
      <c r="M80" s="58"/>
      <c r="N80" s="58"/>
      <c r="O80" s="58"/>
    </row>
    <row r="81" spans="1:15" x14ac:dyDescent="0.3">
      <c r="A81" s="6" t="s">
        <v>121</v>
      </c>
      <c r="B81" s="60" t="s">
        <v>172</v>
      </c>
      <c r="C81" s="6" t="s">
        <v>54</v>
      </c>
      <c r="D81" s="31">
        <v>957.87727318829127</v>
      </c>
      <c r="E81" s="9">
        <v>28000</v>
      </c>
      <c r="F81" s="9">
        <v>54</v>
      </c>
      <c r="G81" s="10">
        <v>1.2</v>
      </c>
      <c r="H81" s="10">
        <f t="shared" si="28"/>
        <v>0.23215762407325871</v>
      </c>
      <c r="J81" s="58"/>
      <c r="K81" s="58"/>
      <c r="L81" s="58"/>
      <c r="M81" s="58"/>
      <c r="N81" s="58"/>
      <c r="O81" s="58"/>
    </row>
    <row r="82" spans="1:15" x14ac:dyDescent="0.3">
      <c r="A82" s="6" t="s">
        <v>121</v>
      </c>
      <c r="B82" s="60" t="s">
        <v>172</v>
      </c>
      <c r="C82" s="6" t="s">
        <v>54</v>
      </c>
      <c r="D82" s="31">
        <v>957.87727318829127</v>
      </c>
      <c r="E82" s="9">
        <v>28000</v>
      </c>
      <c r="F82" s="9">
        <v>54</v>
      </c>
      <c r="G82" s="10">
        <v>1.2</v>
      </c>
      <c r="H82" s="10">
        <f t="shared" si="28"/>
        <v>0.23215762407325871</v>
      </c>
      <c r="J82" s="58"/>
      <c r="K82" s="58"/>
      <c r="L82" s="58"/>
      <c r="M82" s="58"/>
      <c r="N82" s="58"/>
      <c r="O82" s="58"/>
    </row>
    <row r="83" spans="1:15" x14ac:dyDescent="0.3">
      <c r="A83" s="6" t="s">
        <v>121</v>
      </c>
      <c r="B83" s="60" t="s">
        <v>172</v>
      </c>
      <c r="C83" s="6" t="s">
        <v>54</v>
      </c>
      <c r="D83" s="31">
        <v>957.87727318829127</v>
      </c>
      <c r="E83" s="9">
        <v>28000</v>
      </c>
      <c r="F83" s="9">
        <v>54</v>
      </c>
      <c r="G83" s="10">
        <v>1.2</v>
      </c>
      <c r="H83" s="10">
        <f t="shared" si="28"/>
        <v>0.23215762407325871</v>
      </c>
      <c r="J83" s="58"/>
      <c r="K83" s="58"/>
      <c r="L83" s="58"/>
      <c r="M83" s="58"/>
      <c r="N83" s="58"/>
      <c r="O83" s="58"/>
    </row>
    <row r="84" spans="1:15" x14ac:dyDescent="0.3">
      <c r="A84" s="6" t="s">
        <v>121</v>
      </c>
      <c r="B84" s="60" t="s">
        <v>172</v>
      </c>
      <c r="C84" s="6" t="s">
        <v>54</v>
      </c>
      <c r="D84" s="31">
        <v>957.87727318829127</v>
      </c>
      <c r="E84" s="9">
        <v>28000</v>
      </c>
      <c r="F84" s="9">
        <v>54</v>
      </c>
      <c r="G84" s="10">
        <v>1.2</v>
      </c>
      <c r="H84" s="10">
        <f t="shared" si="28"/>
        <v>0.23215762407325871</v>
      </c>
      <c r="J84" s="58"/>
      <c r="K84" s="58"/>
      <c r="L84" s="58"/>
      <c r="M84" s="58"/>
      <c r="N84" s="58"/>
      <c r="O84" s="58"/>
    </row>
    <row r="85" spans="1:15" x14ac:dyDescent="0.3">
      <c r="A85" s="6" t="s">
        <v>121</v>
      </c>
      <c r="B85" s="60" t="s">
        <v>172</v>
      </c>
      <c r="C85" s="6" t="s">
        <v>54</v>
      </c>
      <c r="D85" s="31">
        <v>957.87727318829127</v>
      </c>
      <c r="E85" s="9">
        <v>28000</v>
      </c>
      <c r="F85" s="9">
        <v>54</v>
      </c>
      <c r="G85" s="10">
        <v>1.2</v>
      </c>
      <c r="H85" s="10">
        <f t="shared" si="28"/>
        <v>0.23215762407325871</v>
      </c>
      <c r="J85" s="58"/>
      <c r="K85" s="58"/>
      <c r="L85" s="58"/>
      <c r="M85" s="58"/>
      <c r="N85" s="58"/>
      <c r="O85" s="58"/>
    </row>
    <row r="86" spans="1:15" x14ac:dyDescent="0.3">
      <c r="A86" s="6" t="s">
        <v>138</v>
      </c>
      <c r="B86" s="60" t="s">
        <v>172</v>
      </c>
      <c r="C86" s="6" t="s">
        <v>54</v>
      </c>
      <c r="D86" s="31">
        <v>156.17573963962701</v>
      </c>
      <c r="E86" s="9">
        <v>28000</v>
      </c>
      <c r="F86" s="9">
        <v>54</v>
      </c>
      <c r="G86" s="10">
        <v>1.2</v>
      </c>
      <c r="H86" s="10">
        <f t="shared" si="28"/>
        <v>5.1159546209251595E-2</v>
      </c>
      <c r="J86" s="58"/>
      <c r="K86" s="58"/>
      <c r="L86" s="58"/>
      <c r="M86" s="58"/>
      <c r="N86" s="58"/>
      <c r="O86" s="58"/>
    </row>
    <row r="87" spans="1:15" x14ac:dyDescent="0.3">
      <c r="A87" s="6" t="s">
        <v>137</v>
      </c>
      <c r="B87" s="60" t="s">
        <v>172</v>
      </c>
      <c r="C87" s="6" t="s">
        <v>54</v>
      </c>
      <c r="D87" s="31">
        <v>110.447100112201</v>
      </c>
      <c r="E87" s="9">
        <v>28000</v>
      </c>
      <c r="F87" s="9">
        <v>54</v>
      </c>
      <c r="G87" s="10">
        <v>1.2</v>
      </c>
      <c r="H87" s="10">
        <f t="shared" si="28"/>
        <v>4.3281955858497083E-2</v>
      </c>
      <c r="J87" s="58"/>
      <c r="K87" s="58"/>
      <c r="L87" s="58"/>
      <c r="M87" s="58"/>
      <c r="N87" s="58"/>
      <c r="O87" s="58"/>
    </row>
    <row r="88" spans="1:15" x14ac:dyDescent="0.3">
      <c r="A88" s="6" t="s">
        <v>140</v>
      </c>
      <c r="B88" s="60" t="s">
        <v>172</v>
      </c>
      <c r="C88" s="6" t="s">
        <v>54</v>
      </c>
      <c r="D88" s="31">
        <v>529.83595234566405</v>
      </c>
      <c r="E88" s="9">
        <v>28000</v>
      </c>
      <c r="F88" s="9">
        <v>54</v>
      </c>
      <c r="G88" s="10">
        <v>1.2</v>
      </c>
      <c r="H88" s="10">
        <f t="shared" si="28"/>
        <v>0.12831444367051925</v>
      </c>
      <c r="J88" s="58"/>
      <c r="K88" s="58"/>
      <c r="L88" s="58"/>
      <c r="M88" s="58"/>
      <c r="N88" s="58"/>
      <c r="O88" s="58"/>
    </row>
    <row r="89" spans="1:15" x14ac:dyDescent="0.3">
      <c r="A89" s="6" t="s">
        <v>133</v>
      </c>
      <c r="B89" s="60" t="s">
        <v>172</v>
      </c>
      <c r="C89" s="6" t="s">
        <v>54</v>
      </c>
      <c r="D89" s="31">
        <v>107.70066284834</v>
      </c>
      <c r="E89" s="9">
        <v>28000</v>
      </c>
      <c r="F89" s="9">
        <v>54</v>
      </c>
      <c r="G89" s="10">
        <v>1.2</v>
      </c>
      <c r="H89" s="10">
        <f t="shared" si="28"/>
        <v>4.2827086160172077E-2</v>
      </c>
      <c r="J89" s="58"/>
      <c r="K89" s="58"/>
      <c r="L89" s="58"/>
      <c r="M89" s="58"/>
      <c r="N89" s="58"/>
    </row>
    <row r="90" spans="1:15" x14ac:dyDescent="0.3">
      <c r="A90" s="60" t="s">
        <v>115</v>
      </c>
      <c r="B90" s="60" t="s">
        <v>172</v>
      </c>
      <c r="C90" s="60" t="s">
        <v>54</v>
      </c>
      <c r="D90" s="31">
        <v>699.09099735534801</v>
      </c>
      <c r="E90" s="63">
        <v>28000</v>
      </c>
      <c r="F90" s="63">
        <v>54</v>
      </c>
      <c r="G90" s="64">
        <v>1.2</v>
      </c>
      <c r="H90" s="64">
        <f t="shared" ref="H90:H96" si="29">(E90+(F90*(D90^G90)))/1000000</f>
        <v>0.16790531421075439</v>
      </c>
      <c r="J90" s="58"/>
      <c r="K90" s="58"/>
      <c r="L90" s="58"/>
      <c r="M90" s="58"/>
      <c r="N90" s="58"/>
    </row>
    <row r="91" spans="1:15" x14ac:dyDescent="0.3">
      <c r="A91" s="60" t="s">
        <v>186</v>
      </c>
      <c r="B91" s="60" t="s">
        <v>172</v>
      </c>
      <c r="C91" s="60" t="s">
        <v>54</v>
      </c>
      <c r="D91" s="31">
        <v>584.06768168912095</v>
      </c>
      <c r="E91" s="63">
        <v>28000</v>
      </c>
      <c r="F91" s="63">
        <v>54</v>
      </c>
      <c r="G91" s="64">
        <v>1.2</v>
      </c>
      <c r="H91" s="64">
        <f t="shared" si="29"/>
        <v>0.14075857299017522</v>
      </c>
      <c r="J91" s="58"/>
      <c r="K91" s="58"/>
      <c r="L91" s="58"/>
      <c r="M91" s="58"/>
      <c r="N91" s="58"/>
    </row>
    <row r="92" spans="1:15" x14ac:dyDescent="0.3">
      <c r="A92" s="60" t="s">
        <v>189</v>
      </c>
      <c r="B92" s="60" t="s">
        <v>172</v>
      </c>
      <c r="C92" s="60" t="s">
        <v>54</v>
      </c>
      <c r="D92" s="31">
        <v>349.295667223061</v>
      </c>
      <c r="E92" s="63">
        <v>28000</v>
      </c>
      <c r="F92" s="63">
        <v>54</v>
      </c>
      <c r="G92" s="64">
        <v>1.2</v>
      </c>
      <c r="H92" s="64">
        <f t="shared" si="29"/>
        <v>8.8845098439450876E-2</v>
      </c>
      <c r="J92" s="58"/>
      <c r="K92" s="58"/>
      <c r="L92" s="58"/>
      <c r="M92" s="58"/>
      <c r="N92" s="58"/>
    </row>
    <row r="93" spans="1:15" x14ac:dyDescent="0.3">
      <c r="A93" s="60" t="s">
        <v>118</v>
      </c>
      <c r="B93" s="60" t="s">
        <v>172</v>
      </c>
      <c r="C93" s="60" t="s">
        <v>54</v>
      </c>
      <c r="D93" s="31">
        <v>98.457936559813405</v>
      </c>
      <c r="E93" s="63">
        <v>28000</v>
      </c>
      <c r="F93" s="63">
        <v>54</v>
      </c>
      <c r="G93" s="64">
        <v>1.2</v>
      </c>
      <c r="H93" s="64">
        <f t="shared" si="29"/>
        <v>4.1313573356589792E-2</v>
      </c>
      <c r="J93" s="58"/>
      <c r="K93" s="58"/>
      <c r="L93" s="58"/>
      <c r="M93" s="58"/>
      <c r="N93" s="58"/>
    </row>
    <row r="94" spans="1:15" x14ac:dyDescent="0.3">
      <c r="A94" s="60" t="s">
        <v>117</v>
      </c>
      <c r="B94" s="60" t="s">
        <v>172</v>
      </c>
      <c r="C94" s="60" t="s">
        <v>54</v>
      </c>
      <c r="D94" s="31">
        <v>35.064016913787697</v>
      </c>
      <c r="E94" s="63">
        <v>28000</v>
      </c>
      <c r="F94" s="63">
        <v>54</v>
      </c>
      <c r="G94" s="64">
        <v>1.2</v>
      </c>
      <c r="H94" s="64">
        <f t="shared" si="29"/>
        <v>3.1856805700568161E-2</v>
      </c>
      <c r="J94" s="58"/>
      <c r="K94" s="58"/>
      <c r="L94" s="58"/>
      <c r="M94" s="58"/>
      <c r="N94" s="58"/>
    </row>
    <row r="95" spans="1:15" x14ac:dyDescent="0.3">
      <c r="A95" s="60" t="s">
        <v>196</v>
      </c>
      <c r="B95" s="60" t="s">
        <v>172</v>
      </c>
      <c r="C95" s="60" t="s">
        <v>54</v>
      </c>
      <c r="D95" s="31">
        <v>406.33235765875003</v>
      </c>
      <c r="E95" s="63">
        <v>28000</v>
      </c>
      <c r="F95" s="63">
        <v>54</v>
      </c>
      <c r="G95" s="64">
        <v>1.2</v>
      </c>
      <c r="H95" s="64">
        <f t="shared" si="29"/>
        <v>0.1009543931947096</v>
      </c>
      <c r="J95" s="58"/>
      <c r="K95" s="58"/>
      <c r="L95" s="58"/>
      <c r="M95" s="58"/>
      <c r="N95" s="58"/>
    </row>
    <row r="96" spans="1:15" x14ac:dyDescent="0.3">
      <c r="A96" s="60" t="s">
        <v>108</v>
      </c>
      <c r="B96" s="60" t="s">
        <v>172</v>
      </c>
      <c r="C96" s="60" t="s">
        <v>54</v>
      </c>
      <c r="D96" s="31">
        <v>168.25246126021599</v>
      </c>
      <c r="E96" s="63">
        <v>28000</v>
      </c>
      <c r="F96" s="63">
        <v>54</v>
      </c>
      <c r="G96" s="64">
        <v>1.2</v>
      </c>
      <c r="H96" s="64">
        <f t="shared" si="29"/>
        <v>5.3324884362678127E-2</v>
      </c>
      <c r="J96" s="58"/>
      <c r="K96" s="58"/>
      <c r="L96" s="58"/>
      <c r="M96" s="58"/>
      <c r="N96" s="58"/>
    </row>
    <row r="97" spans="1:8" s="58" customFormat="1" x14ac:dyDescent="0.3">
      <c r="A97" s="86" t="s">
        <v>109</v>
      </c>
      <c r="B97" s="86" t="s">
        <v>172</v>
      </c>
      <c r="C97" s="86" t="s">
        <v>54</v>
      </c>
      <c r="D97" s="31">
        <v>2.8414751729144201</v>
      </c>
      <c r="E97" s="63">
        <v>28000</v>
      </c>
      <c r="F97" s="63">
        <v>54</v>
      </c>
      <c r="G97" s="64">
        <v>1.2</v>
      </c>
      <c r="H97" s="64">
        <f t="shared" ref="H97:H159" si="30">(E97+(F97*(D97^G97)))/1000000</f>
        <v>2.8189080350539401E-2</v>
      </c>
    </row>
    <row r="98" spans="1:8" s="58" customFormat="1" x14ac:dyDescent="0.3">
      <c r="A98" s="86" t="s">
        <v>110</v>
      </c>
      <c r="B98" s="86" t="s">
        <v>172</v>
      </c>
      <c r="C98" s="86" t="s">
        <v>54</v>
      </c>
      <c r="D98" s="31">
        <v>937.87467015377001</v>
      </c>
      <c r="E98" s="63">
        <v>28000</v>
      </c>
      <c r="F98" s="63">
        <v>54</v>
      </c>
      <c r="G98" s="64">
        <v>1.2</v>
      </c>
      <c r="H98" s="64">
        <f t="shared" si="30"/>
        <v>0.22705245022910647</v>
      </c>
    </row>
    <row r="99" spans="1:8" s="58" customFormat="1" x14ac:dyDescent="0.3">
      <c r="A99" s="86" t="s">
        <v>110</v>
      </c>
      <c r="B99" s="86" t="s">
        <v>172</v>
      </c>
      <c r="C99" s="86" t="s">
        <v>54</v>
      </c>
      <c r="D99" s="31">
        <v>937.87467015377001</v>
      </c>
      <c r="E99" s="63">
        <v>28000</v>
      </c>
      <c r="F99" s="63">
        <v>54</v>
      </c>
      <c r="G99" s="64">
        <v>1.2</v>
      </c>
      <c r="H99" s="64">
        <f t="shared" si="30"/>
        <v>0.22705245022910647</v>
      </c>
    </row>
    <row r="100" spans="1:8" s="58" customFormat="1" x14ac:dyDescent="0.3">
      <c r="A100" s="86" t="s">
        <v>126</v>
      </c>
      <c r="B100" s="86" t="s">
        <v>172</v>
      </c>
      <c r="C100" s="86" t="s">
        <v>54</v>
      </c>
      <c r="D100" s="31">
        <v>0.17639801430131799</v>
      </c>
      <c r="E100" s="63">
        <v>28000</v>
      </c>
      <c r="F100" s="63">
        <v>54</v>
      </c>
      <c r="G100" s="64">
        <v>1.2</v>
      </c>
      <c r="H100" s="64">
        <f t="shared" si="30"/>
        <v>2.8006732652359135E-2</v>
      </c>
    </row>
    <row r="101" spans="1:8" s="58" customFormat="1" x14ac:dyDescent="0.3">
      <c r="A101" s="86" t="s">
        <v>145</v>
      </c>
      <c r="B101" s="86" t="s">
        <v>172</v>
      </c>
      <c r="C101" s="86" t="s">
        <v>54</v>
      </c>
      <c r="D101" s="31">
        <v>200.180029941269</v>
      </c>
      <c r="E101" s="63">
        <v>28000</v>
      </c>
      <c r="F101" s="63">
        <v>54</v>
      </c>
      <c r="G101" s="64">
        <v>1.2</v>
      </c>
      <c r="H101" s="64">
        <f t="shared" si="30"/>
        <v>5.9195981898494926E-2</v>
      </c>
    </row>
    <row r="102" spans="1:8" s="58" customFormat="1" x14ac:dyDescent="0.3">
      <c r="A102" s="86" t="s">
        <v>144</v>
      </c>
      <c r="B102" s="86" t="s">
        <v>172</v>
      </c>
      <c r="C102" s="86" t="s">
        <v>54</v>
      </c>
      <c r="D102" s="31">
        <v>60.334658689947602</v>
      </c>
      <c r="E102" s="63">
        <v>28000</v>
      </c>
      <c r="F102" s="63">
        <v>54</v>
      </c>
      <c r="G102" s="64">
        <v>1.2</v>
      </c>
      <c r="H102" s="64">
        <f t="shared" si="30"/>
        <v>3.5397312947712846E-2</v>
      </c>
    </row>
    <row r="103" spans="1:8" s="58" customFormat="1" x14ac:dyDescent="0.3">
      <c r="A103" s="86" t="s">
        <v>122</v>
      </c>
      <c r="B103" s="86" t="s">
        <v>172</v>
      </c>
      <c r="C103" s="86" t="s">
        <v>54</v>
      </c>
      <c r="D103" s="31">
        <v>259.51892963344301</v>
      </c>
      <c r="E103" s="63">
        <v>28000</v>
      </c>
      <c r="F103" s="63">
        <v>54</v>
      </c>
      <c r="G103" s="64">
        <v>1.2</v>
      </c>
      <c r="H103" s="64">
        <f t="shared" si="30"/>
        <v>7.059872585810599E-2</v>
      </c>
    </row>
    <row r="104" spans="1:8" s="58" customFormat="1" x14ac:dyDescent="0.3">
      <c r="A104" s="86" t="s">
        <v>123</v>
      </c>
      <c r="B104" s="86" t="s">
        <v>172</v>
      </c>
      <c r="C104" s="86" t="s">
        <v>54</v>
      </c>
      <c r="D104" s="31">
        <v>540.62278934769199</v>
      </c>
      <c r="E104" s="63">
        <v>28000</v>
      </c>
      <c r="F104" s="63">
        <v>54</v>
      </c>
      <c r="G104" s="64">
        <v>1.2</v>
      </c>
      <c r="H104" s="64">
        <f t="shared" si="30"/>
        <v>0.13077014719522009</v>
      </c>
    </row>
    <row r="105" spans="1:8" s="58" customFormat="1" x14ac:dyDescent="0.3">
      <c r="A105" s="86" t="s">
        <v>141</v>
      </c>
      <c r="B105" s="86" t="s">
        <v>172</v>
      </c>
      <c r="C105" s="86" t="s">
        <v>54</v>
      </c>
      <c r="D105" s="31">
        <v>996.07885588411341</v>
      </c>
      <c r="E105" s="63">
        <v>28000</v>
      </c>
      <c r="F105" s="63">
        <v>54</v>
      </c>
      <c r="G105" s="64">
        <v>1.2</v>
      </c>
      <c r="H105" s="64">
        <f t="shared" si="30"/>
        <v>0.24196671809624576</v>
      </c>
    </row>
    <row r="106" spans="1:8" s="58" customFormat="1" x14ac:dyDescent="0.3">
      <c r="A106" s="86" t="s">
        <v>141</v>
      </c>
      <c r="B106" s="86" t="s">
        <v>172</v>
      </c>
      <c r="C106" s="86" t="s">
        <v>54</v>
      </c>
      <c r="D106" s="31">
        <v>996.07885588411341</v>
      </c>
      <c r="E106" s="63">
        <v>28000</v>
      </c>
      <c r="F106" s="63">
        <v>54</v>
      </c>
      <c r="G106" s="64">
        <v>1.2</v>
      </c>
      <c r="H106" s="64">
        <f t="shared" si="30"/>
        <v>0.24196671809624576</v>
      </c>
    </row>
    <row r="107" spans="1:8" s="58" customFormat="1" x14ac:dyDescent="0.3">
      <c r="A107" s="86" t="s">
        <v>141</v>
      </c>
      <c r="B107" s="86" t="s">
        <v>172</v>
      </c>
      <c r="C107" s="86" t="s">
        <v>54</v>
      </c>
      <c r="D107" s="31">
        <v>996.07885588411341</v>
      </c>
      <c r="E107" s="63">
        <v>28000</v>
      </c>
      <c r="F107" s="63">
        <v>54</v>
      </c>
      <c r="G107" s="64">
        <v>1.2</v>
      </c>
      <c r="H107" s="64">
        <f t="shared" si="30"/>
        <v>0.24196671809624576</v>
      </c>
    </row>
    <row r="108" spans="1:8" s="58" customFormat="1" x14ac:dyDescent="0.3">
      <c r="A108" s="86" t="s">
        <v>141</v>
      </c>
      <c r="B108" s="86" t="s">
        <v>172</v>
      </c>
      <c r="C108" s="86" t="s">
        <v>54</v>
      </c>
      <c r="D108" s="31">
        <v>996.07885588411341</v>
      </c>
      <c r="E108" s="63">
        <v>28000</v>
      </c>
      <c r="F108" s="63">
        <v>54</v>
      </c>
      <c r="G108" s="64">
        <v>1.2</v>
      </c>
      <c r="H108" s="64">
        <f t="shared" si="30"/>
        <v>0.24196671809624576</v>
      </c>
    </row>
    <row r="109" spans="1:8" s="58" customFormat="1" x14ac:dyDescent="0.3">
      <c r="A109" s="86" t="s">
        <v>141</v>
      </c>
      <c r="B109" s="86" t="s">
        <v>172</v>
      </c>
      <c r="C109" s="86" t="s">
        <v>54</v>
      </c>
      <c r="D109" s="31">
        <v>996.07885588411341</v>
      </c>
      <c r="E109" s="63">
        <v>28000</v>
      </c>
      <c r="F109" s="63">
        <v>54</v>
      </c>
      <c r="G109" s="64">
        <v>1.2</v>
      </c>
      <c r="H109" s="64">
        <f t="shared" si="30"/>
        <v>0.24196671809624576</v>
      </c>
    </row>
    <row r="110" spans="1:8" s="58" customFormat="1" x14ac:dyDescent="0.3">
      <c r="A110" s="86" t="s">
        <v>141</v>
      </c>
      <c r="B110" s="86" t="s">
        <v>172</v>
      </c>
      <c r="C110" s="86" t="s">
        <v>54</v>
      </c>
      <c r="D110" s="31">
        <v>996.07885588411341</v>
      </c>
      <c r="E110" s="63">
        <v>28000</v>
      </c>
      <c r="F110" s="63">
        <v>54</v>
      </c>
      <c r="G110" s="64">
        <v>1.2</v>
      </c>
      <c r="H110" s="64">
        <f t="shared" si="30"/>
        <v>0.24196671809624576</v>
      </c>
    </row>
    <row r="111" spans="1:8" s="58" customFormat="1" x14ac:dyDescent="0.3">
      <c r="A111" s="86" t="s">
        <v>141</v>
      </c>
      <c r="B111" s="86" t="s">
        <v>172</v>
      </c>
      <c r="C111" s="86" t="s">
        <v>54</v>
      </c>
      <c r="D111" s="31">
        <v>996.07885588411341</v>
      </c>
      <c r="E111" s="63">
        <v>28000</v>
      </c>
      <c r="F111" s="63">
        <v>54</v>
      </c>
      <c r="G111" s="64">
        <v>1.2</v>
      </c>
      <c r="H111" s="64">
        <f t="shared" si="30"/>
        <v>0.24196671809624576</v>
      </c>
    </row>
    <row r="112" spans="1:8" s="58" customFormat="1" x14ac:dyDescent="0.3">
      <c r="A112" s="86" t="s">
        <v>141</v>
      </c>
      <c r="B112" s="86" t="s">
        <v>172</v>
      </c>
      <c r="C112" s="86" t="s">
        <v>54</v>
      </c>
      <c r="D112" s="31">
        <v>996.07885588411341</v>
      </c>
      <c r="E112" s="63">
        <v>28000</v>
      </c>
      <c r="F112" s="63">
        <v>54</v>
      </c>
      <c r="G112" s="64">
        <v>1.2</v>
      </c>
      <c r="H112" s="64">
        <f t="shared" si="30"/>
        <v>0.24196671809624576</v>
      </c>
    </row>
    <row r="113" spans="1:8" s="58" customFormat="1" x14ac:dyDescent="0.3">
      <c r="A113" s="86" t="s">
        <v>141</v>
      </c>
      <c r="B113" s="86" t="s">
        <v>172</v>
      </c>
      <c r="C113" s="86" t="s">
        <v>54</v>
      </c>
      <c r="D113" s="31">
        <v>996.07885588411341</v>
      </c>
      <c r="E113" s="63">
        <v>28000</v>
      </c>
      <c r="F113" s="63">
        <v>54</v>
      </c>
      <c r="G113" s="64">
        <v>1.2</v>
      </c>
      <c r="H113" s="64">
        <f t="shared" si="30"/>
        <v>0.24196671809624576</v>
      </c>
    </row>
    <row r="114" spans="1:8" s="58" customFormat="1" x14ac:dyDescent="0.3">
      <c r="A114" s="86" t="s">
        <v>141</v>
      </c>
      <c r="B114" s="86" t="s">
        <v>172</v>
      </c>
      <c r="C114" s="86" t="s">
        <v>54</v>
      </c>
      <c r="D114" s="31">
        <v>996.07885588411341</v>
      </c>
      <c r="E114" s="63">
        <v>28000</v>
      </c>
      <c r="F114" s="63">
        <v>54</v>
      </c>
      <c r="G114" s="64">
        <v>1.2</v>
      </c>
      <c r="H114" s="64">
        <f t="shared" si="30"/>
        <v>0.24196671809624576</v>
      </c>
    </row>
    <row r="115" spans="1:8" s="58" customFormat="1" x14ac:dyDescent="0.3">
      <c r="A115" s="86" t="s">
        <v>141</v>
      </c>
      <c r="B115" s="86" t="s">
        <v>172</v>
      </c>
      <c r="C115" s="86" t="s">
        <v>54</v>
      </c>
      <c r="D115" s="31">
        <v>996.07885588411341</v>
      </c>
      <c r="E115" s="63">
        <v>28000</v>
      </c>
      <c r="F115" s="63">
        <v>54</v>
      </c>
      <c r="G115" s="64">
        <v>1.2</v>
      </c>
      <c r="H115" s="64">
        <f t="shared" si="30"/>
        <v>0.24196671809624576</v>
      </c>
    </row>
    <row r="116" spans="1:8" s="58" customFormat="1" x14ac:dyDescent="0.3">
      <c r="A116" s="86" t="s">
        <v>141</v>
      </c>
      <c r="B116" s="86" t="s">
        <v>172</v>
      </c>
      <c r="C116" s="86" t="s">
        <v>54</v>
      </c>
      <c r="D116" s="31">
        <v>996.07885588411341</v>
      </c>
      <c r="E116" s="63">
        <v>28000</v>
      </c>
      <c r="F116" s="63">
        <v>54</v>
      </c>
      <c r="G116" s="64">
        <v>1.2</v>
      </c>
      <c r="H116" s="64">
        <f t="shared" si="30"/>
        <v>0.24196671809624576</v>
      </c>
    </row>
    <row r="117" spans="1:8" s="58" customFormat="1" x14ac:dyDescent="0.3">
      <c r="A117" s="86" t="s">
        <v>141</v>
      </c>
      <c r="B117" s="86" t="s">
        <v>172</v>
      </c>
      <c r="C117" s="86" t="s">
        <v>54</v>
      </c>
      <c r="D117" s="31">
        <v>996.07885588411341</v>
      </c>
      <c r="E117" s="63">
        <v>28000</v>
      </c>
      <c r="F117" s="63">
        <v>54</v>
      </c>
      <c r="G117" s="64">
        <v>1.2</v>
      </c>
      <c r="H117" s="64">
        <f t="shared" si="30"/>
        <v>0.24196671809624576</v>
      </c>
    </row>
    <row r="118" spans="1:8" s="58" customFormat="1" x14ac:dyDescent="0.3">
      <c r="A118" s="86" t="s">
        <v>141</v>
      </c>
      <c r="B118" s="86" t="s">
        <v>172</v>
      </c>
      <c r="C118" s="86" t="s">
        <v>54</v>
      </c>
      <c r="D118" s="31">
        <v>996.07885588411341</v>
      </c>
      <c r="E118" s="63">
        <v>28000</v>
      </c>
      <c r="F118" s="63">
        <v>54</v>
      </c>
      <c r="G118" s="64">
        <v>1.2</v>
      </c>
      <c r="H118" s="64">
        <f t="shared" si="30"/>
        <v>0.24196671809624576</v>
      </c>
    </row>
    <row r="119" spans="1:8" s="58" customFormat="1" x14ac:dyDescent="0.3">
      <c r="A119" s="86" t="s">
        <v>141</v>
      </c>
      <c r="B119" s="86" t="s">
        <v>172</v>
      </c>
      <c r="C119" s="86" t="s">
        <v>54</v>
      </c>
      <c r="D119" s="31">
        <v>996.07885588411341</v>
      </c>
      <c r="E119" s="63">
        <v>28000</v>
      </c>
      <c r="F119" s="63">
        <v>54</v>
      </c>
      <c r="G119" s="64">
        <v>1.2</v>
      </c>
      <c r="H119" s="64">
        <f t="shared" si="30"/>
        <v>0.24196671809624576</v>
      </c>
    </row>
    <row r="120" spans="1:8" s="58" customFormat="1" x14ac:dyDescent="0.3">
      <c r="A120" s="86" t="s">
        <v>141</v>
      </c>
      <c r="B120" s="86" t="s">
        <v>172</v>
      </c>
      <c r="C120" s="86" t="s">
        <v>54</v>
      </c>
      <c r="D120" s="31">
        <v>996.07885588411341</v>
      </c>
      <c r="E120" s="63">
        <v>28000</v>
      </c>
      <c r="F120" s="63">
        <v>54</v>
      </c>
      <c r="G120" s="64">
        <v>1.2</v>
      </c>
      <c r="H120" s="64">
        <f t="shared" si="30"/>
        <v>0.24196671809624576</v>
      </c>
    </row>
    <row r="121" spans="1:8" s="58" customFormat="1" x14ac:dyDescent="0.3">
      <c r="A121" s="86" t="s">
        <v>141</v>
      </c>
      <c r="B121" s="86" t="s">
        <v>172</v>
      </c>
      <c r="C121" s="86" t="s">
        <v>54</v>
      </c>
      <c r="D121" s="31">
        <v>996.07885588411341</v>
      </c>
      <c r="E121" s="63">
        <v>28000</v>
      </c>
      <c r="F121" s="63">
        <v>54</v>
      </c>
      <c r="G121" s="64">
        <v>1.2</v>
      </c>
      <c r="H121" s="64">
        <f t="shared" si="30"/>
        <v>0.24196671809624576</v>
      </c>
    </row>
    <row r="122" spans="1:8" s="58" customFormat="1" x14ac:dyDescent="0.3">
      <c r="A122" s="86" t="s">
        <v>141</v>
      </c>
      <c r="B122" s="86" t="s">
        <v>172</v>
      </c>
      <c r="C122" s="86" t="s">
        <v>54</v>
      </c>
      <c r="D122" s="31">
        <v>996.07885588411341</v>
      </c>
      <c r="E122" s="63">
        <v>28000</v>
      </c>
      <c r="F122" s="63">
        <v>54</v>
      </c>
      <c r="G122" s="64">
        <v>1.2</v>
      </c>
      <c r="H122" s="64">
        <f t="shared" si="30"/>
        <v>0.24196671809624576</v>
      </c>
    </row>
    <row r="123" spans="1:8" s="58" customFormat="1" x14ac:dyDescent="0.3">
      <c r="A123" s="86" t="s">
        <v>141</v>
      </c>
      <c r="B123" s="86" t="s">
        <v>172</v>
      </c>
      <c r="C123" s="86" t="s">
        <v>54</v>
      </c>
      <c r="D123" s="31">
        <v>996.07885588411341</v>
      </c>
      <c r="E123" s="63">
        <v>28000</v>
      </c>
      <c r="F123" s="63">
        <v>54</v>
      </c>
      <c r="G123" s="64">
        <v>1.2</v>
      </c>
      <c r="H123" s="64">
        <f t="shared" si="30"/>
        <v>0.24196671809624576</v>
      </c>
    </row>
    <row r="124" spans="1:8" s="58" customFormat="1" x14ac:dyDescent="0.3">
      <c r="A124" s="86" t="s">
        <v>141</v>
      </c>
      <c r="B124" s="86" t="s">
        <v>172</v>
      </c>
      <c r="C124" s="86" t="s">
        <v>54</v>
      </c>
      <c r="D124" s="31">
        <v>996.07885588411341</v>
      </c>
      <c r="E124" s="63">
        <v>28000</v>
      </c>
      <c r="F124" s="63">
        <v>54</v>
      </c>
      <c r="G124" s="64">
        <v>1.2</v>
      </c>
      <c r="H124" s="64">
        <f t="shared" si="30"/>
        <v>0.24196671809624576</v>
      </c>
    </row>
    <row r="125" spans="1:8" s="58" customFormat="1" x14ac:dyDescent="0.3">
      <c r="A125" s="86" t="s">
        <v>141</v>
      </c>
      <c r="B125" s="86" t="s">
        <v>172</v>
      </c>
      <c r="C125" s="86" t="s">
        <v>54</v>
      </c>
      <c r="D125" s="31">
        <v>996.07885588411341</v>
      </c>
      <c r="E125" s="63">
        <v>28000</v>
      </c>
      <c r="F125" s="63">
        <v>54</v>
      </c>
      <c r="G125" s="64">
        <v>1.2</v>
      </c>
      <c r="H125" s="64">
        <f t="shared" si="30"/>
        <v>0.24196671809624576</v>
      </c>
    </row>
    <row r="126" spans="1:8" s="58" customFormat="1" x14ac:dyDescent="0.3">
      <c r="A126" s="86" t="s">
        <v>141</v>
      </c>
      <c r="B126" s="86" t="s">
        <v>172</v>
      </c>
      <c r="C126" s="86" t="s">
        <v>54</v>
      </c>
      <c r="D126" s="31">
        <v>996.07885588411341</v>
      </c>
      <c r="E126" s="63">
        <v>28000</v>
      </c>
      <c r="F126" s="63">
        <v>54</v>
      </c>
      <c r="G126" s="64">
        <v>1.2</v>
      </c>
      <c r="H126" s="64">
        <f t="shared" si="30"/>
        <v>0.24196671809624576</v>
      </c>
    </row>
    <row r="127" spans="1:8" s="58" customFormat="1" x14ac:dyDescent="0.3">
      <c r="A127" s="86" t="s">
        <v>141</v>
      </c>
      <c r="B127" s="86" t="s">
        <v>172</v>
      </c>
      <c r="C127" s="86" t="s">
        <v>54</v>
      </c>
      <c r="D127" s="31">
        <v>996.07885588411341</v>
      </c>
      <c r="E127" s="63">
        <v>28000</v>
      </c>
      <c r="F127" s="63">
        <v>54</v>
      </c>
      <c r="G127" s="64">
        <v>1.2</v>
      </c>
      <c r="H127" s="64">
        <f t="shared" si="30"/>
        <v>0.24196671809624576</v>
      </c>
    </row>
    <row r="128" spans="1:8" s="58" customFormat="1" x14ac:dyDescent="0.3">
      <c r="A128" s="86" t="s">
        <v>141</v>
      </c>
      <c r="B128" s="86" t="s">
        <v>172</v>
      </c>
      <c r="C128" s="86" t="s">
        <v>54</v>
      </c>
      <c r="D128" s="31">
        <v>996.07885588411341</v>
      </c>
      <c r="E128" s="63">
        <v>28000</v>
      </c>
      <c r="F128" s="63">
        <v>54</v>
      </c>
      <c r="G128" s="64">
        <v>1.2</v>
      </c>
      <c r="H128" s="64">
        <f t="shared" si="30"/>
        <v>0.24196671809624576</v>
      </c>
    </row>
    <row r="129" spans="1:8" s="58" customFormat="1" x14ac:dyDescent="0.3">
      <c r="A129" s="86" t="s">
        <v>141</v>
      </c>
      <c r="B129" s="86" t="s">
        <v>172</v>
      </c>
      <c r="C129" s="86" t="s">
        <v>54</v>
      </c>
      <c r="D129" s="31">
        <v>996.07885588411341</v>
      </c>
      <c r="E129" s="63">
        <v>28000</v>
      </c>
      <c r="F129" s="63">
        <v>54</v>
      </c>
      <c r="G129" s="64">
        <v>1.2</v>
      </c>
      <c r="H129" s="64">
        <f t="shared" si="30"/>
        <v>0.24196671809624576</v>
      </c>
    </row>
    <row r="130" spans="1:8" s="58" customFormat="1" x14ac:dyDescent="0.3">
      <c r="A130" s="86" t="s">
        <v>141</v>
      </c>
      <c r="B130" s="86" t="s">
        <v>172</v>
      </c>
      <c r="C130" s="86" t="s">
        <v>54</v>
      </c>
      <c r="D130" s="31">
        <v>996.07885588411341</v>
      </c>
      <c r="E130" s="63">
        <v>28000</v>
      </c>
      <c r="F130" s="63">
        <v>54</v>
      </c>
      <c r="G130" s="64">
        <v>1.2</v>
      </c>
      <c r="H130" s="64">
        <f t="shared" si="30"/>
        <v>0.24196671809624576</v>
      </c>
    </row>
    <row r="131" spans="1:8" s="58" customFormat="1" x14ac:dyDescent="0.3">
      <c r="A131" s="86" t="s">
        <v>141</v>
      </c>
      <c r="B131" s="86" t="s">
        <v>172</v>
      </c>
      <c r="C131" s="86" t="s">
        <v>54</v>
      </c>
      <c r="D131" s="31">
        <v>996.07885588411341</v>
      </c>
      <c r="E131" s="63">
        <v>28000</v>
      </c>
      <c r="F131" s="63">
        <v>54</v>
      </c>
      <c r="G131" s="64">
        <v>1.2</v>
      </c>
      <c r="H131" s="64">
        <f t="shared" si="30"/>
        <v>0.24196671809624576</v>
      </c>
    </row>
    <row r="132" spans="1:8" s="58" customFormat="1" x14ac:dyDescent="0.3">
      <c r="A132" s="86" t="s">
        <v>141</v>
      </c>
      <c r="B132" s="86" t="s">
        <v>172</v>
      </c>
      <c r="C132" s="86" t="s">
        <v>54</v>
      </c>
      <c r="D132" s="31">
        <v>996.07885588411341</v>
      </c>
      <c r="E132" s="63">
        <v>28000</v>
      </c>
      <c r="F132" s="63">
        <v>54</v>
      </c>
      <c r="G132" s="64">
        <v>1.2</v>
      </c>
      <c r="H132" s="64">
        <f t="shared" si="30"/>
        <v>0.24196671809624576</v>
      </c>
    </row>
    <row r="133" spans="1:8" s="58" customFormat="1" x14ac:dyDescent="0.3">
      <c r="A133" s="86" t="s">
        <v>141</v>
      </c>
      <c r="B133" s="86" t="s">
        <v>172</v>
      </c>
      <c r="C133" s="86" t="s">
        <v>54</v>
      </c>
      <c r="D133" s="31">
        <v>996.07885588411341</v>
      </c>
      <c r="E133" s="63">
        <v>28000</v>
      </c>
      <c r="F133" s="63">
        <v>54</v>
      </c>
      <c r="G133" s="64">
        <v>1.2</v>
      </c>
      <c r="H133" s="64">
        <f t="shared" si="30"/>
        <v>0.24196671809624576</v>
      </c>
    </row>
    <row r="134" spans="1:8" s="58" customFormat="1" x14ac:dyDescent="0.3">
      <c r="A134" s="86" t="s">
        <v>141</v>
      </c>
      <c r="B134" s="86" t="s">
        <v>172</v>
      </c>
      <c r="C134" s="86" t="s">
        <v>54</v>
      </c>
      <c r="D134" s="31">
        <v>996.07885588411341</v>
      </c>
      <c r="E134" s="63">
        <v>28000</v>
      </c>
      <c r="F134" s="63">
        <v>54</v>
      </c>
      <c r="G134" s="64">
        <v>1.2</v>
      </c>
      <c r="H134" s="64">
        <f t="shared" si="30"/>
        <v>0.24196671809624576</v>
      </c>
    </row>
    <row r="135" spans="1:8" s="58" customFormat="1" x14ac:dyDescent="0.3">
      <c r="A135" s="86" t="s">
        <v>131</v>
      </c>
      <c r="B135" s="86" t="s">
        <v>172</v>
      </c>
      <c r="C135" s="86" t="s">
        <v>54</v>
      </c>
      <c r="D135" s="31">
        <v>357.022031546113</v>
      </c>
      <c r="E135" s="63">
        <v>28000</v>
      </c>
      <c r="F135" s="63">
        <v>54</v>
      </c>
      <c r="G135" s="64">
        <v>1.2</v>
      </c>
      <c r="H135" s="64">
        <f t="shared" si="30"/>
        <v>9.0463710683616416E-2</v>
      </c>
    </row>
    <row r="136" spans="1:8" s="58" customFormat="1" x14ac:dyDescent="0.3">
      <c r="A136" s="86" t="s">
        <v>135</v>
      </c>
      <c r="B136" s="86" t="s">
        <v>172</v>
      </c>
      <c r="C136" s="86" t="s">
        <v>54</v>
      </c>
      <c r="D136" s="31">
        <v>62.574798657295901</v>
      </c>
      <c r="E136" s="63">
        <v>28000</v>
      </c>
      <c r="F136" s="63">
        <v>54</v>
      </c>
      <c r="G136" s="64">
        <v>1.2</v>
      </c>
      <c r="H136" s="64">
        <f t="shared" si="30"/>
        <v>3.57281067576522E-2</v>
      </c>
    </row>
    <row r="137" spans="1:8" s="58" customFormat="1" x14ac:dyDescent="0.3">
      <c r="A137" s="86" t="s">
        <v>191</v>
      </c>
      <c r="B137" s="86" t="s">
        <v>172</v>
      </c>
      <c r="C137" s="86" t="s">
        <v>54</v>
      </c>
      <c r="D137" s="31">
        <v>302.91757938374002</v>
      </c>
      <c r="E137" s="63">
        <v>28000</v>
      </c>
      <c r="F137" s="63">
        <v>54</v>
      </c>
      <c r="G137" s="64">
        <v>1.2</v>
      </c>
      <c r="H137" s="64">
        <f t="shared" si="30"/>
        <v>7.9284146611795059E-2</v>
      </c>
    </row>
    <row r="138" spans="1:8" s="58" customFormat="1" x14ac:dyDescent="0.3">
      <c r="A138" s="86" t="s">
        <v>184</v>
      </c>
      <c r="B138" s="86" t="s">
        <v>172</v>
      </c>
      <c r="C138" s="86" t="s">
        <v>54</v>
      </c>
      <c r="D138" s="31">
        <v>0.131768116322282</v>
      </c>
      <c r="E138" s="63">
        <v>28000</v>
      </c>
      <c r="F138" s="63">
        <v>54</v>
      </c>
      <c r="G138" s="64">
        <v>1.2</v>
      </c>
      <c r="H138" s="64">
        <f t="shared" si="30"/>
        <v>2.80047442346915E-2</v>
      </c>
    </row>
    <row r="139" spans="1:8" s="58" customFormat="1" x14ac:dyDescent="0.3">
      <c r="A139" s="86" t="s">
        <v>185</v>
      </c>
      <c r="B139" s="86" t="s">
        <v>172</v>
      </c>
      <c r="C139" s="86" t="s">
        <v>54</v>
      </c>
      <c r="D139" s="31">
        <v>580.537417109025</v>
      </c>
      <c r="E139" s="63">
        <v>28000</v>
      </c>
      <c r="F139" s="63">
        <v>54</v>
      </c>
      <c r="G139" s="64">
        <v>1.2</v>
      </c>
      <c r="H139" s="64">
        <f t="shared" si="30"/>
        <v>0.1399412157892661</v>
      </c>
    </row>
    <row r="140" spans="1:8" s="58" customFormat="1" x14ac:dyDescent="0.3">
      <c r="A140" s="86" t="s">
        <v>185</v>
      </c>
      <c r="B140" s="86" t="s">
        <v>172</v>
      </c>
      <c r="C140" s="86" t="s">
        <v>54</v>
      </c>
      <c r="D140" s="31">
        <v>580.537417109025</v>
      </c>
      <c r="E140" s="63">
        <v>28000</v>
      </c>
      <c r="F140" s="63">
        <v>54</v>
      </c>
      <c r="G140" s="64">
        <v>1.2</v>
      </c>
      <c r="H140" s="64">
        <f t="shared" si="30"/>
        <v>0.1399412157892661</v>
      </c>
    </row>
    <row r="141" spans="1:8" s="58" customFormat="1" x14ac:dyDescent="0.3">
      <c r="A141" s="86" t="s">
        <v>125</v>
      </c>
      <c r="B141" s="86" t="s">
        <v>172</v>
      </c>
      <c r="C141" s="86" t="s">
        <v>54</v>
      </c>
      <c r="D141" s="31">
        <v>13.432544168085901</v>
      </c>
      <c r="E141" s="63">
        <v>28000</v>
      </c>
      <c r="F141" s="63">
        <v>54</v>
      </c>
      <c r="G141" s="64">
        <v>1.2</v>
      </c>
      <c r="H141" s="64">
        <f t="shared" si="30"/>
        <v>2.921950530121193E-2</v>
      </c>
    </row>
    <row r="142" spans="1:8" s="58" customFormat="1" x14ac:dyDescent="0.3">
      <c r="A142" s="86" t="s">
        <v>183</v>
      </c>
      <c r="B142" s="86" t="s">
        <v>172</v>
      </c>
      <c r="C142" s="86" t="s">
        <v>54</v>
      </c>
      <c r="D142" s="31">
        <v>0.45401573942492601</v>
      </c>
      <c r="E142" s="63">
        <v>28000</v>
      </c>
      <c r="F142" s="63">
        <v>54</v>
      </c>
      <c r="G142" s="64">
        <v>1.2</v>
      </c>
      <c r="H142" s="64">
        <f t="shared" si="30"/>
        <v>2.8020935283697285E-2</v>
      </c>
    </row>
    <row r="143" spans="1:8" s="58" customFormat="1" x14ac:dyDescent="0.3">
      <c r="A143" s="86" t="s">
        <v>116</v>
      </c>
      <c r="B143" s="86" t="s">
        <v>172</v>
      </c>
      <c r="C143" s="86" t="s">
        <v>54</v>
      </c>
      <c r="D143" s="31">
        <v>0.28190798807245598</v>
      </c>
      <c r="E143" s="63">
        <v>28000</v>
      </c>
      <c r="F143" s="63">
        <v>54</v>
      </c>
      <c r="G143" s="64">
        <v>1.2</v>
      </c>
      <c r="H143" s="64">
        <f t="shared" si="30"/>
        <v>2.8011817418568469E-2</v>
      </c>
    </row>
    <row r="144" spans="1:8" s="58" customFormat="1" x14ac:dyDescent="0.3">
      <c r="A144" s="86" t="s">
        <v>114</v>
      </c>
      <c r="B144" s="86" t="s">
        <v>172</v>
      </c>
      <c r="C144" s="86" t="s">
        <v>54</v>
      </c>
      <c r="D144" s="31">
        <v>230.70020516650399</v>
      </c>
      <c r="E144" s="63">
        <v>28000</v>
      </c>
      <c r="F144" s="63">
        <v>54</v>
      </c>
      <c r="G144" s="64">
        <v>1.2</v>
      </c>
      <c r="H144" s="64">
        <f t="shared" si="30"/>
        <v>6.498718987061701E-2</v>
      </c>
    </row>
    <row r="145" spans="1:17" s="58" customFormat="1" x14ac:dyDescent="0.3">
      <c r="A145" s="86" t="s">
        <v>132</v>
      </c>
      <c r="B145" s="86" t="s">
        <v>172</v>
      </c>
      <c r="C145" s="86" t="s">
        <v>54</v>
      </c>
      <c r="D145" s="31">
        <v>809.30260467457606</v>
      </c>
      <c r="E145" s="63">
        <v>28000</v>
      </c>
      <c r="F145" s="63">
        <v>54</v>
      </c>
      <c r="G145" s="64">
        <v>1.2</v>
      </c>
      <c r="H145" s="64">
        <f t="shared" si="30"/>
        <v>0.19477343947646669</v>
      </c>
    </row>
    <row r="146" spans="1:17" s="58" customFormat="1" x14ac:dyDescent="0.3">
      <c r="A146" s="86" t="s">
        <v>132</v>
      </c>
      <c r="B146" s="86" t="s">
        <v>172</v>
      </c>
      <c r="C146" s="86" t="s">
        <v>54</v>
      </c>
      <c r="D146" s="31">
        <v>809.30260467457606</v>
      </c>
      <c r="E146" s="63">
        <v>28000</v>
      </c>
      <c r="F146" s="63">
        <v>54</v>
      </c>
      <c r="G146" s="64">
        <v>1.2</v>
      </c>
      <c r="H146" s="64">
        <f t="shared" si="30"/>
        <v>0.19477343947646669</v>
      </c>
    </row>
    <row r="147" spans="1:17" s="58" customFormat="1" x14ac:dyDescent="0.3">
      <c r="A147" s="86" t="s">
        <v>132</v>
      </c>
      <c r="B147" s="86" t="s">
        <v>172</v>
      </c>
      <c r="C147" s="86" t="s">
        <v>54</v>
      </c>
      <c r="D147" s="31">
        <v>809.30260467457606</v>
      </c>
      <c r="E147" s="63">
        <v>28000</v>
      </c>
      <c r="F147" s="63">
        <v>54</v>
      </c>
      <c r="G147" s="64">
        <v>1.2</v>
      </c>
      <c r="H147" s="64">
        <f t="shared" si="30"/>
        <v>0.19477343947646669</v>
      </c>
    </row>
    <row r="148" spans="1:17" s="58" customFormat="1" x14ac:dyDescent="0.3">
      <c r="A148" s="86" t="s">
        <v>132</v>
      </c>
      <c r="B148" s="86" t="s">
        <v>172</v>
      </c>
      <c r="C148" s="86" t="s">
        <v>54</v>
      </c>
      <c r="D148" s="31">
        <v>809.30260467457606</v>
      </c>
      <c r="E148" s="63">
        <v>28000</v>
      </c>
      <c r="F148" s="63">
        <v>54</v>
      </c>
      <c r="G148" s="64">
        <v>1.2</v>
      </c>
      <c r="H148" s="64">
        <f t="shared" si="30"/>
        <v>0.19477343947646669</v>
      </c>
    </row>
    <row r="149" spans="1:17" s="58" customFormat="1" x14ac:dyDescent="0.3">
      <c r="A149" s="86" t="s">
        <v>132</v>
      </c>
      <c r="B149" s="86" t="s">
        <v>172</v>
      </c>
      <c r="C149" s="86" t="s">
        <v>54</v>
      </c>
      <c r="D149" s="31">
        <v>809.30260467457606</v>
      </c>
      <c r="E149" s="63">
        <v>28000</v>
      </c>
      <c r="F149" s="63">
        <v>54</v>
      </c>
      <c r="G149" s="64">
        <v>1.2</v>
      </c>
      <c r="H149" s="64">
        <f t="shared" si="30"/>
        <v>0.19477343947646669</v>
      </c>
    </row>
    <row r="150" spans="1:17" s="58" customFormat="1" x14ac:dyDescent="0.3">
      <c r="A150" s="86" t="s">
        <v>112</v>
      </c>
      <c r="B150" s="86" t="s">
        <v>172</v>
      </c>
      <c r="C150" s="86" t="s">
        <v>54</v>
      </c>
      <c r="D150" s="31">
        <v>93.565928277654706</v>
      </c>
      <c r="E150" s="63">
        <v>28000</v>
      </c>
      <c r="F150" s="63">
        <v>54</v>
      </c>
      <c r="G150" s="64">
        <v>1.2</v>
      </c>
      <c r="H150" s="64">
        <f t="shared" si="30"/>
        <v>4.0523768656579674E-2</v>
      </c>
    </row>
    <row r="151" spans="1:17" s="58" customFormat="1" x14ac:dyDescent="0.3">
      <c r="A151" s="86" t="s">
        <v>113</v>
      </c>
      <c r="B151" s="86" t="s">
        <v>172</v>
      </c>
      <c r="C151" s="86" t="s">
        <v>54</v>
      </c>
      <c r="D151" s="31">
        <v>175.58814111189699</v>
      </c>
      <c r="E151" s="63">
        <v>28000</v>
      </c>
      <c r="F151" s="63">
        <v>54</v>
      </c>
      <c r="G151" s="64">
        <v>1.2</v>
      </c>
      <c r="H151" s="64">
        <f t="shared" si="30"/>
        <v>5.4655570203846406E-2</v>
      </c>
    </row>
    <row r="152" spans="1:17" s="58" customFormat="1" x14ac:dyDescent="0.3">
      <c r="A152" s="86" t="s">
        <v>143</v>
      </c>
      <c r="B152" s="86" t="s">
        <v>172</v>
      </c>
      <c r="C152" s="86" t="s">
        <v>54</v>
      </c>
      <c r="D152" s="31">
        <v>702.39956249741999</v>
      </c>
      <c r="E152" s="63">
        <v>28000</v>
      </c>
      <c r="F152" s="63">
        <v>54</v>
      </c>
      <c r="G152" s="64">
        <v>1.2</v>
      </c>
      <c r="H152" s="64">
        <f t="shared" si="30"/>
        <v>0.16870024014765209</v>
      </c>
    </row>
    <row r="153" spans="1:17" s="58" customFormat="1" x14ac:dyDescent="0.3">
      <c r="A153" s="86" t="s">
        <v>253</v>
      </c>
      <c r="B153" s="86" t="s">
        <v>172</v>
      </c>
      <c r="C153" s="86" t="s">
        <v>54</v>
      </c>
      <c r="D153" s="31">
        <v>124.89507216808801</v>
      </c>
      <c r="E153" s="63">
        <v>28000</v>
      </c>
      <c r="F153" s="63">
        <v>54</v>
      </c>
      <c r="G153" s="64">
        <v>1.2</v>
      </c>
      <c r="H153" s="64">
        <f t="shared" si="30"/>
        <v>4.5711205566908851E-2</v>
      </c>
    </row>
    <row r="154" spans="1:17" s="58" customFormat="1" x14ac:dyDescent="0.3">
      <c r="A154" s="86" t="s">
        <v>106</v>
      </c>
      <c r="B154" s="86" t="s">
        <v>172</v>
      </c>
      <c r="C154" s="86" t="s">
        <v>54</v>
      </c>
      <c r="D154" s="31">
        <v>819.96718164528329</v>
      </c>
      <c r="E154" s="63">
        <v>28000</v>
      </c>
      <c r="F154" s="63">
        <v>54</v>
      </c>
      <c r="G154" s="64">
        <v>1.2</v>
      </c>
      <c r="H154" s="64">
        <f t="shared" si="30"/>
        <v>0.19741408888125878</v>
      </c>
    </row>
    <row r="155" spans="1:17" s="58" customFormat="1" x14ac:dyDescent="0.3">
      <c r="A155" s="86" t="s">
        <v>106</v>
      </c>
      <c r="B155" s="86" t="s">
        <v>172</v>
      </c>
      <c r="C155" s="86" t="s">
        <v>54</v>
      </c>
      <c r="D155" s="31">
        <v>819.96718164528329</v>
      </c>
      <c r="E155" s="63">
        <v>28000</v>
      </c>
      <c r="F155" s="63">
        <v>54</v>
      </c>
      <c r="G155" s="64">
        <v>1.2</v>
      </c>
      <c r="H155" s="64">
        <f t="shared" si="30"/>
        <v>0.19741408888125878</v>
      </c>
    </row>
    <row r="156" spans="1:17" s="58" customFormat="1" x14ac:dyDescent="0.3">
      <c r="A156" s="86" t="s">
        <v>106</v>
      </c>
      <c r="B156" s="86" t="s">
        <v>172</v>
      </c>
      <c r="C156" s="86" t="s">
        <v>54</v>
      </c>
      <c r="D156" s="31">
        <v>819.96718164528329</v>
      </c>
      <c r="E156" s="63">
        <v>28000</v>
      </c>
      <c r="F156" s="63">
        <v>54</v>
      </c>
      <c r="G156" s="64">
        <v>1.2</v>
      </c>
      <c r="H156" s="64">
        <f t="shared" si="30"/>
        <v>0.19741408888125878</v>
      </c>
    </row>
    <row r="157" spans="1:17" s="58" customFormat="1" x14ac:dyDescent="0.3">
      <c r="A157" s="86" t="s">
        <v>107</v>
      </c>
      <c r="B157" s="86" t="s">
        <v>172</v>
      </c>
      <c r="C157" s="86" t="s">
        <v>54</v>
      </c>
      <c r="D157" s="31">
        <v>368.03488359301798</v>
      </c>
      <c r="E157" s="63">
        <v>28000</v>
      </c>
      <c r="F157" s="63">
        <v>54</v>
      </c>
      <c r="G157" s="64">
        <v>1.2</v>
      </c>
      <c r="H157" s="64">
        <f t="shared" si="30"/>
        <v>9.2782923269768919E-2</v>
      </c>
    </row>
    <row r="158" spans="1:17" s="58" customFormat="1" x14ac:dyDescent="0.3">
      <c r="A158" s="86" t="s">
        <v>142</v>
      </c>
      <c r="B158" s="86" t="s">
        <v>172</v>
      </c>
      <c r="C158" s="86" t="s">
        <v>54</v>
      </c>
      <c r="D158" s="31">
        <v>0.49320972554201598</v>
      </c>
      <c r="E158" s="63">
        <v>28000</v>
      </c>
      <c r="F158" s="63">
        <v>54</v>
      </c>
      <c r="G158" s="64">
        <v>1.2</v>
      </c>
      <c r="H158" s="64">
        <f t="shared" si="30"/>
        <v>2.8023122336542389E-2</v>
      </c>
    </row>
    <row r="159" spans="1:17" s="58" customFormat="1" x14ac:dyDescent="0.3">
      <c r="A159" s="86" t="s">
        <v>105</v>
      </c>
      <c r="B159" s="86" t="s">
        <v>172</v>
      </c>
      <c r="C159" s="86" t="s">
        <v>54</v>
      </c>
      <c r="D159" s="31">
        <v>8.3308677822963606</v>
      </c>
      <c r="E159" s="63">
        <v>28000</v>
      </c>
      <c r="F159" s="63">
        <v>54</v>
      </c>
      <c r="G159" s="64">
        <v>1.2</v>
      </c>
      <c r="H159" s="64">
        <f t="shared" si="30"/>
        <v>2.8687419820575877E-2</v>
      </c>
    </row>
    <row r="160" spans="1:17" s="52" customFormat="1" x14ac:dyDescent="0.3">
      <c r="A160" s="6"/>
      <c r="B160" s="42" t="s">
        <v>146</v>
      </c>
      <c r="C160" s="6"/>
      <c r="D160" s="31"/>
      <c r="E160" s="9"/>
      <c r="F160" s="9"/>
      <c r="G160" s="10"/>
      <c r="H160" s="13">
        <f>SUM(H38:H159)</f>
        <v>19.156224634884971</v>
      </c>
      <c r="J160" s="58"/>
      <c r="K160" s="58"/>
      <c r="L160" s="58"/>
      <c r="M160" s="58"/>
      <c r="N160" s="58"/>
      <c r="O160"/>
      <c r="P160"/>
      <c r="Q160"/>
    </row>
    <row r="161" spans="1:17" s="52" customFormat="1" x14ac:dyDescent="0.3">
      <c r="A161" s="107" t="s">
        <v>58</v>
      </c>
      <c r="B161" s="108"/>
      <c r="C161" s="108"/>
      <c r="D161" s="108"/>
      <c r="E161" s="108"/>
      <c r="F161" s="108"/>
      <c r="G161" s="108"/>
      <c r="H161" s="109"/>
    </row>
    <row r="162" spans="1:17" s="52" customFormat="1" x14ac:dyDescent="0.3">
      <c r="A162" s="7" t="s">
        <v>254</v>
      </c>
      <c r="B162" s="86" t="s">
        <v>156</v>
      </c>
      <c r="C162" s="86" t="s">
        <v>157</v>
      </c>
      <c r="D162" s="64">
        <f>36123721.5221597/3600/1000</f>
        <v>10.034367089488805</v>
      </c>
      <c r="E162" s="63">
        <v>80000</v>
      </c>
      <c r="F162" s="63">
        <v>109000</v>
      </c>
      <c r="G162" s="64">
        <v>0.8</v>
      </c>
      <c r="H162" s="64">
        <f t="shared" ref="H162" si="31">(E162+(F162*(D162^G162)))/1000000</f>
        <v>0.76963371594955987</v>
      </c>
    </row>
    <row r="163" spans="1:17" s="58" customFormat="1" x14ac:dyDescent="0.3">
      <c r="A163" s="6" t="s">
        <v>154</v>
      </c>
      <c r="B163" s="48" t="s">
        <v>156</v>
      </c>
      <c r="C163" s="48" t="s">
        <v>157</v>
      </c>
      <c r="D163" s="50">
        <f>148589925.203604/3600/1000</f>
        <v>41.27497922322334</v>
      </c>
      <c r="E163" s="49">
        <v>80000</v>
      </c>
      <c r="F163" s="49">
        <v>109000</v>
      </c>
      <c r="G163" s="50">
        <v>0.8</v>
      </c>
      <c r="H163" s="50">
        <f t="shared" ref="H163:H164" si="32">(E163+(F163*(D163^G163)))/1000000</f>
        <v>2.2178438884897065</v>
      </c>
      <c r="J163" s="52"/>
      <c r="K163" s="52"/>
      <c r="L163" s="52"/>
      <c r="M163" s="52"/>
      <c r="N163" s="52"/>
      <c r="O163" s="52"/>
      <c r="P163" s="52"/>
      <c r="Q163" s="52"/>
    </row>
    <row r="164" spans="1:17" s="58" customFormat="1" x14ac:dyDescent="0.3">
      <c r="A164" s="6" t="s">
        <v>155</v>
      </c>
      <c r="B164" s="44" t="s">
        <v>156</v>
      </c>
      <c r="C164" s="44" t="s">
        <v>157</v>
      </c>
      <c r="D164" s="46">
        <f>65764317.4170095/3600/1000</f>
        <v>18.267865949169305</v>
      </c>
      <c r="E164" s="45">
        <v>80000</v>
      </c>
      <c r="F164" s="45">
        <v>109000</v>
      </c>
      <c r="G164" s="46">
        <v>0.8</v>
      </c>
      <c r="H164" s="50">
        <f t="shared" si="32"/>
        <v>1.1937218773545057</v>
      </c>
    </row>
    <row r="165" spans="1:17" s="58" customFormat="1" x14ac:dyDescent="0.3">
      <c r="A165" s="6"/>
      <c r="B165" s="42" t="s">
        <v>146</v>
      </c>
      <c r="C165" s="6"/>
      <c r="D165" s="31"/>
      <c r="E165" s="9"/>
      <c r="F165" s="9"/>
      <c r="G165" s="10"/>
      <c r="H165" s="13">
        <f>SUM(H162:H164)</f>
        <v>4.1811994817937723</v>
      </c>
    </row>
    <row r="166" spans="1:17" s="58" customFormat="1" x14ac:dyDescent="0.3">
      <c r="A166" s="104" t="s">
        <v>164</v>
      </c>
      <c r="B166" s="105"/>
      <c r="C166" s="105"/>
      <c r="D166" s="105"/>
      <c r="E166" s="105"/>
      <c r="F166" s="105"/>
      <c r="G166" s="105"/>
      <c r="H166" s="106"/>
    </row>
    <row r="167" spans="1:17" s="58" customFormat="1" x14ac:dyDescent="0.3">
      <c r="A167" s="6" t="s">
        <v>49</v>
      </c>
      <c r="B167" s="60" t="s">
        <v>173</v>
      </c>
      <c r="C167" s="6" t="s">
        <v>59</v>
      </c>
      <c r="D167" s="31">
        <f t="shared" ref="D167:D176" si="33">Q13</f>
        <v>41601.154258445582</v>
      </c>
      <c r="E167" s="9">
        <v>17400</v>
      </c>
      <c r="F167" s="9">
        <v>79</v>
      </c>
      <c r="G167" s="10">
        <v>0.85</v>
      </c>
      <c r="H167" s="10">
        <f t="shared" si="25"/>
        <v>0.68400208059761292</v>
      </c>
    </row>
    <row r="168" spans="1:17" s="58" customFormat="1" x14ac:dyDescent="0.3">
      <c r="A168" s="6" t="s">
        <v>50</v>
      </c>
      <c r="B168" s="60" t="s">
        <v>173</v>
      </c>
      <c r="C168" s="6" t="s">
        <v>59</v>
      </c>
      <c r="D168" s="31">
        <f t="shared" si="33"/>
        <v>31860.343451049641</v>
      </c>
      <c r="E168" s="55">
        <v>17400</v>
      </c>
      <c r="F168" s="55">
        <v>79</v>
      </c>
      <c r="G168" s="56">
        <v>0.85</v>
      </c>
      <c r="H168" s="10">
        <f t="shared" si="25"/>
        <v>0.54876136812525367</v>
      </c>
    </row>
    <row r="169" spans="1:17" s="58" customFormat="1" x14ac:dyDescent="0.3">
      <c r="A169" s="6" t="s">
        <v>147</v>
      </c>
      <c r="B169" s="60" t="s">
        <v>173</v>
      </c>
      <c r="C169" s="6" t="s">
        <v>59</v>
      </c>
      <c r="D169" s="31">
        <f t="shared" si="33"/>
        <v>31860.343451049641</v>
      </c>
      <c r="E169" s="55">
        <v>17400</v>
      </c>
      <c r="F169" s="55">
        <v>79</v>
      </c>
      <c r="G169" s="56">
        <v>0.85</v>
      </c>
      <c r="H169" s="10">
        <f t="shared" si="25"/>
        <v>0.54876136812525367</v>
      </c>
    </row>
    <row r="170" spans="1:17" s="58" customFormat="1" x14ac:dyDescent="0.3">
      <c r="A170" s="6" t="s">
        <v>148</v>
      </c>
      <c r="B170" s="60" t="s">
        <v>173</v>
      </c>
      <c r="C170" s="6" t="s">
        <v>59</v>
      </c>
      <c r="D170" s="31">
        <f t="shared" si="33"/>
        <v>48068.360723467267</v>
      </c>
      <c r="E170" s="55">
        <v>17400</v>
      </c>
      <c r="F170" s="55">
        <v>79</v>
      </c>
      <c r="G170" s="56">
        <v>0.85</v>
      </c>
      <c r="H170" s="10">
        <f t="shared" ref="H170:H174" si="34">(E170+(F170*(D170^G170)))/1000000</f>
        <v>0.77111560349470087</v>
      </c>
    </row>
    <row r="171" spans="1:17" s="58" customFormat="1" x14ac:dyDescent="0.3">
      <c r="A171" s="6" t="s">
        <v>149</v>
      </c>
      <c r="B171" s="60" t="s">
        <v>173</v>
      </c>
      <c r="C171" s="6" t="s">
        <v>59</v>
      </c>
      <c r="D171" s="31">
        <f t="shared" si="33"/>
        <v>665.96442367989084</v>
      </c>
      <c r="E171" s="55">
        <v>17400</v>
      </c>
      <c r="F171" s="55">
        <v>79</v>
      </c>
      <c r="G171" s="56">
        <v>0.85</v>
      </c>
      <c r="H171" s="10">
        <f t="shared" si="34"/>
        <v>3.7240858796187951E-2</v>
      </c>
    </row>
    <row r="172" spans="1:17" s="58" customFormat="1" x14ac:dyDescent="0.3">
      <c r="A172" s="6" t="s">
        <v>150</v>
      </c>
      <c r="B172" s="60" t="s">
        <v>173</v>
      </c>
      <c r="C172" s="6" t="s">
        <v>59</v>
      </c>
      <c r="D172" s="31">
        <f t="shared" si="33"/>
        <v>12605.755162512123</v>
      </c>
      <c r="E172" s="55">
        <v>17400</v>
      </c>
      <c r="F172" s="55">
        <v>79</v>
      </c>
      <c r="G172" s="56">
        <v>0.85</v>
      </c>
      <c r="H172" s="10">
        <f t="shared" si="34"/>
        <v>0.25900762087824708</v>
      </c>
    </row>
    <row r="173" spans="1:17" s="58" customFormat="1" x14ac:dyDescent="0.3">
      <c r="A173" s="6" t="s">
        <v>151</v>
      </c>
      <c r="B173" s="60" t="s">
        <v>173</v>
      </c>
      <c r="C173" s="6" t="s">
        <v>59</v>
      </c>
      <c r="D173" s="31">
        <f t="shared" si="33"/>
        <v>2021.67771474253</v>
      </c>
      <c r="E173" s="55">
        <v>17400</v>
      </c>
      <c r="F173" s="55">
        <v>79</v>
      </c>
      <c r="G173" s="56">
        <v>0.85</v>
      </c>
      <c r="H173" s="10">
        <f t="shared" si="34"/>
        <v>6.8389672967448259E-2</v>
      </c>
    </row>
    <row r="174" spans="1:17" x14ac:dyDescent="0.3">
      <c r="A174" s="6" t="s">
        <v>152</v>
      </c>
      <c r="B174" s="60" t="s">
        <v>173</v>
      </c>
      <c r="C174" s="6" t="s">
        <v>59</v>
      </c>
      <c r="D174" s="31">
        <f t="shared" si="33"/>
        <v>169.88888359180893</v>
      </c>
      <c r="E174" s="55">
        <v>17400</v>
      </c>
      <c r="F174" s="55">
        <v>79</v>
      </c>
      <c r="G174" s="56">
        <v>0.85</v>
      </c>
      <c r="H174" s="10">
        <f t="shared" si="34"/>
        <v>2.3612512983289514E-2</v>
      </c>
      <c r="J174" s="58"/>
      <c r="K174" s="58"/>
      <c r="L174" s="58"/>
      <c r="M174" s="58"/>
      <c r="N174" s="58"/>
      <c r="O174" s="58"/>
      <c r="P174" s="58"/>
      <c r="Q174" s="58"/>
    </row>
    <row r="175" spans="1:17" s="58" customFormat="1" x14ac:dyDescent="0.3">
      <c r="A175" s="86" t="s">
        <v>255</v>
      </c>
      <c r="B175" s="86" t="s">
        <v>173</v>
      </c>
      <c r="C175" s="86" t="s">
        <v>59</v>
      </c>
      <c r="D175" s="31">
        <f t="shared" si="33"/>
        <v>3333.6365485583228</v>
      </c>
      <c r="E175" s="63">
        <v>17400</v>
      </c>
      <c r="F175" s="63">
        <v>79</v>
      </c>
      <c r="G175" s="64">
        <v>0.85</v>
      </c>
      <c r="H175" s="64">
        <f t="shared" ref="H175" si="35">(E175+(F175*(D175^G175)))/1000000</f>
        <v>9.5402334884844273E-2</v>
      </c>
      <c r="J175"/>
      <c r="K175"/>
      <c r="L175"/>
      <c r="M175"/>
      <c r="N175"/>
      <c r="O175"/>
      <c r="P175"/>
      <c r="Q175"/>
    </row>
    <row r="176" spans="1:17" s="58" customFormat="1" x14ac:dyDescent="0.3">
      <c r="A176" s="86" t="s">
        <v>256</v>
      </c>
      <c r="B176" s="86" t="s">
        <v>173</v>
      </c>
      <c r="C176" s="86" t="s">
        <v>59</v>
      </c>
      <c r="D176" s="31">
        <f t="shared" si="33"/>
        <v>3334.0532010453317</v>
      </c>
      <c r="E176" s="63">
        <v>17400</v>
      </c>
      <c r="F176" s="63">
        <v>79</v>
      </c>
      <c r="G176" s="64">
        <v>0.85</v>
      </c>
      <c r="H176" s="64">
        <f t="shared" ref="H176" si="36">(E176+(F176*(D176^G176)))/1000000</f>
        <v>9.5410621519412236E-2</v>
      </c>
      <c r="J176"/>
      <c r="K176"/>
      <c r="L176"/>
      <c r="M176"/>
      <c r="N176"/>
      <c r="O176"/>
      <c r="P176"/>
      <c r="Q176"/>
    </row>
    <row r="177" spans="1:17" x14ac:dyDescent="0.3">
      <c r="A177" s="6"/>
      <c r="B177" s="42" t="s">
        <v>146</v>
      </c>
      <c r="C177" s="6"/>
      <c r="D177" s="31"/>
      <c r="E177" s="9"/>
      <c r="F177" s="9"/>
      <c r="G177" s="10"/>
      <c r="H177" s="13">
        <f>SUM(H167:H176)</f>
        <v>3.1317040423722506</v>
      </c>
      <c r="J177" s="58"/>
      <c r="K177" s="58"/>
      <c r="L177" s="58"/>
      <c r="M177" s="58"/>
      <c r="N177" s="58"/>
      <c r="O177" s="58"/>
      <c r="P177" s="58"/>
      <c r="Q177" s="58"/>
    </row>
    <row r="178" spans="1:17" x14ac:dyDescent="0.3">
      <c r="A178" s="104" t="s">
        <v>163</v>
      </c>
      <c r="B178" s="105"/>
      <c r="C178" s="105"/>
      <c r="D178" s="105"/>
      <c r="E178" s="105"/>
      <c r="F178" s="105"/>
      <c r="G178" s="105"/>
      <c r="H178" s="106"/>
      <c r="J178" s="58"/>
      <c r="K178" s="58"/>
      <c r="L178" s="58"/>
      <c r="M178" s="58"/>
      <c r="N178" s="58"/>
      <c r="O178" s="58"/>
      <c r="P178" s="58"/>
      <c r="Q178" s="58"/>
    </row>
    <row r="179" spans="1:17" x14ac:dyDescent="0.3">
      <c r="A179" s="60" t="s">
        <v>166</v>
      </c>
      <c r="B179" s="60" t="s">
        <v>173</v>
      </c>
      <c r="C179" s="60" t="s">
        <v>59</v>
      </c>
      <c r="D179" s="64">
        <f>Q23</f>
        <v>3024.0950938112028</v>
      </c>
      <c r="E179" s="63">
        <v>17400</v>
      </c>
      <c r="F179" s="63">
        <v>79</v>
      </c>
      <c r="G179" s="64">
        <v>0.85</v>
      </c>
      <c r="H179" s="64">
        <f t="shared" ref="H179" si="37">(E179+(F179*(D179^G179)))/1000000</f>
        <v>8.9201450599112303E-2</v>
      </c>
      <c r="I179" s="59" t="s">
        <v>174</v>
      </c>
    </row>
    <row r="180" spans="1:17" x14ac:dyDescent="0.3">
      <c r="A180" s="60" t="s">
        <v>169</v>
      </c>
      <c r="B180" s="60" t="s">
        <v>167</v>
      </c>
      <c r="C180" s="60" t="s">
        <v>168</v>
      </c>
      <c r="D180" s="64">
        <f>K23</f>
        <v>1.5415000000000001</v>
      </c>
      <c r="E180" s="63">
        <v>130</v>
      </c>
      <c r="F180" s="63">
        <v>440</v>
      </c>
      <c r="G180" s="64">
        <v>1.8</v>
      </c>
      <c r="H180" s="64">
        <f>(E180+(F180*(D180^G180)))*I180/1000000</f>
        <v>1.0888507864606991E-2</v>
      </c>
      <c r="I180" s="68">
        <v>10</v>
      </c>
    </row>
    <row r="181" spans="1:17" x14ac:dyDescent="0.3">
      <c r="A181" s="54"/>
      <c r="B181" s="53" t="s">
        <v>146</v>
      </c>
      <c r="C181" s="54"/>
      <c r="D181" s="31"/>
      <c r="E181" s="55"/>
      <c r="F181" s="55"/>
      <c r="G181" s="56"/>
      <c r="H181" s="57">
        <f>SUM(H179:H180)</f>
        <v>0.10008995846371929</v>
      </c>
      <c r="I181" s="52"/>
    </row>
    <row r="182" spans="1:17" x14ac:dyDescent="0.3">
      <c r="A182" s="104" t="s">
        <v>176</v>
      </c>
      <c r="B182" s="105"/>
      <c r="C182" s="105"/>
      <c r="D182" s="105"/>
      <c r="E182" s="105"/>
      <c r="F182" s="105"/>
      <c r="G182" s="105"/>
      <c r="H182" s="106"/>
      <c r="I182" s="58"/>
    </row>
    <row r="183" spans="1:17" x14ac:dyDescent="0.3">
      <c r="A183" s="60" t="s">
        <v>166</v>
      </c>
      <c r="B183" s="60" t="s">
        <v>173</v>
      </c>
      <c r="C183" s="60" t="s">
        <v>59</v>
      </c>
      <c r="D183" s="64">
        <f>Q24</f>
        <v>1253.475936614662</v>
      </c>
      <c r="E183" s="63">
        <v>17400</v>
      </c>
      <c r="F183" s="63">
        <v>79</v>
      </c>
      <c r="G183" s="64">
        <v>0.85</v>
      </c>
      <c r="H183" s="64">
        <f t="shared" ref="H183" si="38">(E183+(F183*(D183^G183)))/1000000</f>
        <v>5.1364536490630483E-2</v>
      </c>
      <c r="I183" s="59" t="s">
        <v>174</v>
      </c>
    </row>
    <row r="184" spans="1:17" x14ac:dyDescent="0.3">
      <c r="A184" s="60" t="s">
        <v>169</v>
      </c>
      <c r="B184" s="60" t="s">
        <v>167</v>
      </c>
      <c r="C184" s="60" t="s">
        <v>168</v>
      </c>
      <c r="D184" s="64">
        <f>K24</f>
        <v>2.1346666669999999</v>
      </c>
      <c r="E184" s="63">
        <v>130</v>
      </c>
      <c r="F184" s="63">
        <v>440</v>
      </c>
      <c r="G184" s="64">
        <v>1.8</v>
      </c>
      <c r="H184" s="64">
        <f>(E184+(F184*(D184^G184)))*I184/1000000</f>
        <v>5.5585420588005786E-3</v>
      </c>
      <c r="I184" s="68">
        <v>3</v>
      </c>
    </row>
    <row r="185" spans="1:17" x14ac:dyDescent="0.3">
      <c r="A185" s="60"/>
      <c r="B185" s="59" t="s">
        <v>146</v>
      </c>
      <c r="C185" s="60"/>
      <c r="D185" s="31"/>
      <c r="E185" s="63"/>
      <c r="F185" s="63"/>
      <c r="G185" s="64"/>
      <c r="H185" s="65">
        <f>SUM(H183:H184)</f>
        <v>5.6923078549431058E-2</v>
      </c>
      <c r="I185" s="58"/>
    </row>
    <row r="186" spans="1:17" x14ac:dyDescent="0.3">
      <c r="A186" s="104" t="s">
        <v>177</v>
      </c>
      <c r="B186" s="105"/>
      <c r="C186" s="105"/>
      <c r="D186" s="105"/>
      <c r="E186" s="105"/>
      <c r="F186" s="105"/>
      <c r="G186" s="105"/>
      <c r="H186" s="106"/>
      <c r="I186" s="58"/>
    </row>
    <row r="187" spans="1:17" x14ac:dyDescent="0.3">
      <c r="A187" s="60" t="s">
        <v>166</v>
      </c>
      <c r="B187" s="60" t="s">
        <v>173</v>
      </c>
      <c r="C187" s="60" t="s">
        <v>59</v>
      </c>
      <c r="D187" s="64">
        <f>Q25</f>
        <v>240.63173352955314</v>
      </c>
      <c r="E187" s="63">
        <v>17400</v>
      </c>
      <c r="F187" s="63">
        <v>79</v>
      </c>
      <c r="G187" s="64">
        <v>0.85</v>
      </c>
      <c r="H187" s="64">
        <f t="shared" ref="H187" si="39">(E187+(F187*(D187^G187)))/1000000</f>
        <v>2.5751741737369414E-2</v>
      </c>
      <c r="I187" s="59" t="s">
        <v>174</v>
      </c>
    </row>
    <row r="188" spans="1:17" x14ac:dyDescent="0.3">
      <c r="A188" s="60" t="s">
        <v>169</v>
      </c>
      <c r="B188" s="60" t="s">
        <v>167</v>
      </c>
      <c r="C188" s="60" t="s">
        <v>168</v>
      </c>
      <c r="D188" s="64">
        <f>K25</f>
        <v>1.224</v>
      </c>
      <c r="E188" s="63">
        <v>130</v>
      </c>
      <c r="F188" s="63">
        <v>440</v>
      </c>
      <c r="G188" s="64">
        <v>1.8</v>
      </c>
      <c r="H188" s="64">
        <f>(E188+(F188*(D188^G188)))*I188/1000000</f>
        <v>7.6308092544301342E-4</v>
      </c>
      <c r="I188" s="68">
        <v>1</v>
      </c>
    </row>
    <row r="189" spans="1:17" x14ac:dyDescent="0.3">
      <c r="A189" s="60"/>
      <c r="B189" s="59" t="s">
        <v>146</v>
      </c>
      <c r="C189" s="60"/>
      <c r="D189" s="31"/>
      <c r="E189" s="63"/>
      <c r="F189" s="63"/>
      <c r="G189" s="64"/>
      <c r="H189" s="65">
        <f>SUM(H187:H188)</f>
        <v>2.6514822662812427E-2</v>
      </c>
      <c r="I189" s="58"/>
    </row>
    <row r="190" spans="1:17" x14ac:dyDescent="0.3">
      <c r="A190" s="104" t="s">
        <v>178</v>
      </c>
      <c r="B190" s="105"/>
      <c r="C190" s="105"/>
      <c r="D190" s="105"/>
      <c r="E190" s="105"/>
      <c r="F190" s="105"/>
      <c r="G190" s="105"/>
      <c r="H190" s="106"/>
      <c r="I190" s="58"/>
    </row>
    <row r="191" spans="1:17" x14ac:dyDescent="0.3">
      <c r="A191" s="60" t="s">
        <v>166</v>
      </c>
      <c r="B191" s="60" t="s">
        <v>173</v>
      </c>
      <c r="C191" s="60" t="s">
        <v>59</v>
      </c>
      <c r="D191" s="64">
        <f>Q26</f>
        <v>658.52190422690944</v>
      </c>
      <c r="E191" s="63">
        <v>17400</v>
      </c>
      <c r="F191" s="63">
        <v>79</v>
      </c>
      <c r="G191" s="64">
        <v>0.85</v>
      </c>
      <c r="H191" s="64">
        <f t="shared" ref="H191" si="40">(E191+(F191*(D191^G191)))/1000000</f>
        <v>3.7052227492140259E-2</v>
      </c>
      <c r="I191" s="59" t="s">
        <v>174</v>
      </c>
    </row>
    <row r="192" spans="1:17" x14ac:dyDescent="0.3">
      <c r="A192" s="60" t="s">
        <v>169</v>
      </c>
      <c r="B192" s="60" t="s">
        <v>167</v>
      </c>
      <c r="C192" s="60" t="s">
        <v>168</v>
      </c>
      <c r="D192" s="64">
        <f>K26</f>
        <v>1.6795</v>
      </c>
      <c r="E192" s="63">
        <v>130</v>
      </c>
      <c r="F192" s="63">
        <v>440</v>
      </c>
      <c r="G192" s="64">
        <v>1.8</v>
      </c>
      <c r="H192" s="64">
        <f>(E192+(F192*(D192^G192)))*I192/1000000</f>
        <v>2.4977248609166364E-3</v>
      </c>
      <c r="I192" s="68">
        <v>2</v>
      </c>
    </row>
    <row r="193" spans="1:8" x14ac:dyDescent="0.3">
      <c r="A193" s="60"/>
      <c r="B193" s="59" t="s">
        <v>146</v>
      </c>
      <c r="C193" s="60"/>
      <c r="D193" s="31"/>
      <c r="E193" s="63"/>
      <c r="F193" s="63"/>
      <c r="G193" s="64"/>
      <c r="H193" s="65">
        <f>SUM(H191:H192)</f>
        <v>3.9549952353056896E-2</v>
      </c>
    </row>
    <row r="194" spans="1:8" x14ac:dyDescent="0.3">
      <c r="A194" s="4"/>
      <c r="B194" s="4" t="s">
        <v>153</v>
      </c>
      <c r="C194" s="4"/>
      <c r="D194" s="11"/>
      <c r="E194" s="12"/>
      <c r="F194" s="12"/>
      <c r="G194" s="12"/>
      <c r="H194" s="13">
        <f>H31+H36+H160+H165+H177+H181+H185+H189+H193</f>
        <v>61.252304394371009</v>
      </c>
    </row>
    <row r="196" spans="1:8" x14ac:dyDescent="0.3">
      <c r="A196" s="28" t="s">
        <v>34</v>
      </c>
      <c r="B196" s="24">
        <v>532.9</v>
      </c>
    </row>
    <row r="197" spans="1:8" x14ac:dyDescent="0.3">
      <c r="A197" s="103" t="s">
        <v>35</v>
      </c>
      <c r="B197" s="94">
        <v>607.5</v>
      </c>
    </row>
    <row r="198" spans="1:8" x14ac:dyDescent="0.3">
      <c r="A198" s="28" t="s">
        <v>264</v>
      </c>
      <c r="B198" s="24">
        <f>H194*B197/B196</f>
        <v>69.826937360818903</v>
      </c>
    </row>
    <row r="199" spans="1:8" x14ac:dyDescent="0.3">
      <c r="A199" s="30" t="s">
        <v>60</v>
      </c>
      <c r="B199" s="27">
        <f>(B198)*((1+C3)+(C2+C5+C4+C6+C7+C8)/C9)*C9</f>
        <v>261.15274572946277</v>
      </c>
    </row>
    <row r="200" spans="1:8" x14ac:dyDescent="0.3">
      <c r="A200" s="30" t="s">
        <v>61</v>
      </c>
      <c r="B200" s="26">
        <f>0.3*B199</f>
        <v>78.34582371883883</v>
      </c>
    </row>
    <row r="201" spans="1:8" x14ac:dyDescent="0.3">
      <c r="A201" s="30" t="s">
        <v>62</v>
      </c>
      <c r="B201" s="26">
        <f>0.3*SUM(B199:B200)</f>
        <v>101.84957083449048</v>
      </c>
    </row>
    <row r="202" spans="1:8" x14ac:dyDescent="0.3">
      <c r="A202" s="30" t="s">
        <v>63</v>
      </c>
      <c r="B202" s="26">
        <f>0.1*SUM(B199:B200)</f>
        <v>33.949856944830167</v>
      </c>
      <c r="C202" s="35"/>
    </row>
    <row r="203" spans="1:8" x14ac:dyDescent="0.3">
      <c r="A203" s="30" t="s">
        <v>64</v>
      </c>
      <c r="B203" s="27">
        <f>B199*(1+0.3)*(1+0.3+0.1)</f>
        <v>475.29799722762232</v>
      </c>
      <c r="C203" s="36">
        <f>B203/B198</f>
        <v>6.8068000000000026</v>
      </c>
    </row>
    <row r="204" spans="1:8" x14ac:dyDescent="0.3">
      <c r="A204" s="30" t="s">
        <v>67</v>
      </c>
      <c r="B204" s="26">
        <f>B203*0.15</f>
        <v>71.294699584143345</v>
      </c>
    </row>
    <row r="205" spans="1:8" x14ac:dyDescent="0.3">
      <c r="A205" s="30" t="s">
        <v>65</v>
      </c>
      <c r="B205" s="34">
        <f>B203+B204</f>
        <v>546.59269681176568</v>
      </c>
    </row>
    <row r="206" spans="1:8" x14ac:dyDescent="0.3">
      <c r="A206" s="30" t="s">
        <v>27</v>
      </c>
      <c r="B206" s="16">
        <v>25</v>
      </c>
    </row>
    <row r="207" spans="1:8" x14ac:dyDescent="0.3">
      <c r="A207" s="30" t="s">
        <v>28</v>
      </c>
      <c r="B207" s="16">
        <v>0.12</v>
      </c>
    </row>
    <row r="208" spans="1:8" x14ac:dyDescent="0.3">
      <c r="A208" s="30" t="s">
        <v>29</v>
      </c>
      <c r="B208" s="19">
        <f>(B207*((1+B207)^B206))/(((1+B207)^B206)-1)</f>
        <v>0.12749996980950773</v>
      </c>
    </row>
    <row r="209" spans="1:2" x14ac:dyDescent="0.3">
      <c r="A209" s="30" t="s">
        <v>66</v>
      </c>
      <c r="B209" s="26">
        <f>B208*B205</f>
        <v>69.690552341597538</v>
      </c>
    </row>
    <row r="210" spans="1:2" x14ac:dyDescent="0.3">
      <c r="A210" s="29" t="s">
        <v>36</v>
      </c>
      <c r="B210" s="20">
        <f>B209</f>
        <v>69.690552341597538</v>
      </c>
    </row>
  </sheetData>
  <mergeCells count="9">
    <mergeCell ref="A178:H178"/>
    <mergeCell ref="A182:H182"/>
    <mergeCell ref="A186:H186"/>
    <mergeCell ref="A190:H190"/>
    <mergeCell ref="A13:H13"/>
    <mergeCell ref="A37:H37"/>
    <mergeCell ref="A161:H161"/>
    <mergeCell ref="A166:H166"/>
    <mergeCell ref="A32:H32"/>
  </mergeCells>
  <phoneticPr fontId="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C20"/>
  <sheetViews>
    <sheetView zoomScale="120" zoomScaleNormal="120" workbookViewId="0">
      <selection activeCell="B8" sqref="B8"/>
    </sheetView>
  </sheetViews>
  <sheetFormatPr defaultRowHeight="14.4" x14ac:dyDescent="0.3"/>
  <cols>
    <col min="1" max="1" width="16" bestFit="1" customWidth="1"/>
    <col min="2" max="2" width="34.44140625" customWidth="1"/>
    <col min="3" max="3" width="8.6640625" bestFit="1" customWidth="1"/>
  </cols>
  <sheetData>
    <row r="4" spans="1:3" x14ac:dyDescent="0.3">
      <c r="A4" s="4" t="s">
        <v>71</v>
      </c>
      <c r="B4" s="4" t="s">
        <v>72</v>
      </c>
      <c r="C4" s="17" t="s">
        <v>37</v>
      </c>
    </row>
    <row r="5" spans="1:3" x14ac:dyDescent="0.3">
      <c r="A5" s="110" t="s">
        <v>68</v>
      </c>
      <c r="B5" s="110"/>
      <c r="C5" s="110"/>
    </row>
    <row r="6" spans="1:3" x14ac:dyDescent="0.3">
      <c r="A6" s="14" t="s">
        <v>81</v>
      </c>
      <c r="B6" s="14" t="s">
        <v>93</v>
      </c>
      <c r="C6" s="14">
        <f>50000*9*9/1000000</f>
        <v>4.05</v>
      </c>
    </row>
    <row r="7" spans="1:3" x14ac:dyDescent="0.3">
      <c r="A7" s="14" t="s">
        <v>69</v>
      </c>
      <c r="B7" s="14" t="s">
        <v>70</v>
      </c>
      <c r="C7" s="24">
        <f>0.25*C6</f>
        <v>1.0125</v>
      </c>
    </row>
    <row r="8" spans="1:3" x14ac:dyDescent="0.3">
      <c r="A8" s="14" t="s">
        <v>73</v>
      </c>
      <c r="B8" s="14" t="s">
        <v>74</v>
      </c>
      <c r="C8" s="24">
        <f>0.45*(C6+C7)</f>
        <v>2.2781250000000002</v>
      </c>
    </row>
    <row r="9" spans="1:3" x14ac:dyDescent="0.3">
      <c r="A9" s="104"/>
      <c r="B9" s="106"/>
      <c r="C9" s="20">
        <f>SUM(C6:C8)</f>
        <v>7.3406250000000002</v>
      </c>
    </row>
    <row r="10" spans="1:3" x14ac:dyDescent="0.3">
      <c r="A10" s="110" t="s">
        <v>75</v>
      </c>
      <c r="B10" s="110"/>
      <c r="C10" s="110"/>
    </row>
    <row r="11" spans="1:3" x14ac:dyDescent="0.3">
      <c r="A11" s="14" t="s">
        <v>76</v>
      </c>
      <c r="B11" s="14" t="s">
        <v>77</v>
      </c>
      <c r="C11" s="26">
        <f>0.03*CAPEX!B199</f>
        <v>7.834582371883883</v>
      </c>
    </row>
    <row r="12" spans="1:3" x14ac:dyDescent="0.3">
      <c r="A12" s="110"/>
      <c r="B12" s="110"/>
      <c r="C12" s="33">
        <f>C11</f>
        <v>7.834582371883883</v>
      </c>
    </row>
    <row r="13" spans="1:3" x14ac:dyDescent="0.3">
      <c r="A13" s="104" t="s">
        <v>79</v>
      </c>
      <c r="B13" s="105"/>
      <c r="C13" s="106"/>
    </row>
    <row r="14" spans="1:3" x14ac:dyDescent="0.3">
      <c r="A14" s="14" t="s">
        <v>80</v>
      </c>
      <c r="B14" s="14" t="s">
        <v>82</v>
      </c>
      <c r="C14" s="24">
        <f>0.65*(C6+C7+C8+C11)</f>
        <v>9.8638847917245229</v>
      </c>
    </row>
    <row r="15" spans="1:3" x14ac:dyDescent="0.3">
      <c r="A15" s="14" t="s">
        <v>83</v>
      </c>
      <c r="B15" s="14" t="s">
        <v>85</v>
      </c>
      <c r="C15" s="24">
        <f>0.02*(CAPEX!B199+CAPEX!B200)</f>
        <v>6.7899713889660323</v>
      </c>
    </row>
    <row r="16" spans="1:3" x14ac:dyDescent="0.3">
      <c r="A16" s="110"/>
      <c r="B16" s="110"/>
      <c r="C16" s="33">
        <f>SUM(C14:C15)</f>
        <v>16.653856180690553</v>
      </c>
    </row>
    <row r="17" spans="1:3" x14ac:dyDescent="0.3">
      <c r="A17" s="104" t="s">
        <v>86</v>
      </c>
      <c r="B17" s="105"/>
      <c r="C17" s="106"/>
    </row>
    <row r="18" spans="1:3" x14ac:dyDescent="0.3">
      <c r="A18" s="14" t="s">
        <v>87</v>
      </c>
      <c r="B18" s="14" t="s">
        <v>88</v>
      </c>
      <c r="C18" s="26">
        <f>0.06*CAPEX!B204</f>
        <v>4.2776819750486004</v>
      </c>
    </row>
    <row r="19" spans="1:3" x14ac:dyDescent="0.3">
      <c r="A19" s="110"/>
      <c r="B19" s="110"/>
      <c r="C19" s="20">
        <f>C18</f>
        <v>4.2776819750486004</v>
      </c>
    </row>
    <row r="20" spans="1:3" x14ac:dyDescent="0.3">
      <c r="A20" s="104" t="s">
        <v>91</v>
      </c>
      <c r="B20" s="106"/>
      <c r="C20" s="20">
        <f>C9+C12+C16+C19</f>
        <v>36.106745527623033</v>
      </c>
    </row>
  </sheetData>
  <mergeCells count="9">
    <mergeCell ref="A19:B19"/>
    <mergeCell ref="A20:B20"/>
    <mergeCell ref="A5:C5"/>
    <mergeCell ref="A10:C10"/>
    <mergeCell ref="A13:C13"/>
    <mergeCell ref="A17:C17"/>
    <mergeCell ref="A9:B9"/>
    <mergeCell ref="A16:B16"/>
    <mergeCell ref="A12:B1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zoomScale="120" zoomScaleNormal="120" workbookViewId="0">
      <selection activeCell="E5" sqref="E5"/>
    </sheetView>
  </sheetViews>
  <sheetFormatPr defaultRowHeight="14.4" x14ac:dyDescent="0.3"/>
  <cols>
    <col min="1" max="1" width="17.88671875" bestFit="1" customWidth="1"/>
    <col min="2" max="2" width="13" bestFit="1" customWidth="1"/>
    <col min="3" max="3" width="8.33203125" bestFit="1" customWidth="1"/>
    <col min="4" max="4" width="10.33203125" bestFit="1" customWidth="1"/>
    <col min="5" max="5" width="8.109375" bestFit="1" customWidth="1"/>
  </cols>
  <sheetData>
    <row r="1" spans="1:7" s="58" customFormat="1" x14ac:dyDescent="0.3">
      <c r="A1" s="111" t="s">
        <v>209</v>
      </c>
      <c r="B1" s="111"/>
      <c r="C1" s="111"/>
      <c r="D1" s="65">
        <v>58559.194459623097</v>
      </c>
      <c r="E1" s="17" t="s">
        <v>208</v>
      </c>
    </row>
    <row r="2" spans="1:7" s="58" customFormat="1" x14ac:dyDescent="0.3"/>
    <row r="4" spans="1:7" x14ac:dyDescent="0.3">
      <c r="A4" s="39" t="s">
        <v>101</v>
      </c>
      <c r="B4" s="39" t="s">
        <v>102</v>
      </c>
      <c r="C4" s="39" t="s">
        <v>208</v>
      </c>
      <c r="D4" s="2" t="s">
        <v>103</v>
      </c>
      <c r="E4" s="2" t="s">
        <v>210</v>
      </c>
      <c r="F4" s="2" t="s">
        <v>37</v>
      </c>
    </row>
    <row r="5" spans="1:7" ht="15.6" x14ac:dyDescent="0.35">
      <c r="A5" s="3" t="s">
        <v>154</v>
      </c>
      <c r="B5" s="6" t="s">
        <v>207</v>
      </c>
      <c r="C5" s="40">
        <v>8.1000000000000013E-3</v>
      </c>
      <c r="D5" s="66">
        <v>286000</v>
      </c>
      <c r="E5" s="94">
        <f>C5*D5</f>
        <v>2316.6000000000004</v>
      </c>
      <c r="F5" s="22">
        <f>E5/10^6*8000</f>
        <v>18.532800000000002</v>
      </c>
      <c r="G5" t="s">
        <v>212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M32"/>
  <sheetViews>
    <sheetView workbookViewId="0">
      <selection activeCell="B4" sqref="B4:H4"/>
    </sheetView>
  </sheetViews>
  <sheetFormatPr defaultColWidth="8.88671875" defaultRowHeight="14.4" x14ac:dyDescent="0.3"/>
  <cols>
    <col min="1" max="1" width="8.88671875" style="15"/>
    <col min="2" max="2" width="23.33203125" style="15" bestFit="1" customWidth="1"/>
    <col min="3" max="3" width="9.33203125" style="15" bestFit="1" customWidth="1"/>
    <col min="4" max="4" width="8.6640625" style="41" bestFit="1" customWidth="1"/>
    <col min="5" max="5" width="12.6640625" style="15" bestFit="1" customWidth="1"/>
    <col min="6" max="6" width="9.44140625" style="15" bestFit="1" customWidth="1"/>
    <col min="7" max="7" width="9.88671875" style="15" bestFit="1" customWidth="1"/>
    <col min="8" max="8" width="69.44140625" style="15" bestFit="1" customWidth="1"/>
    <col min="9" max="9" width="8.88671875" style="15"/>
    <col min="10" max="10" width="11.33203125" style="15" bestFit="1" customWidth="1"/>
    <col min="11" max="16384" width="8.88671875" style="15"/>
  </cols>
  <sheetData>
    <row r="3" spans="2:13" x14ac:dyDescent="0.3">
      <c r="B3" s="59" t="s">
        <v>23</v>
      </c>
      <c r="C3" s="59" t="s">
        <v>30</v>
      </c>
      <c r="D3" s="59" t="s">
        <v>31</v>
      </c>
      <c r="E3" s="59" t="s">
        <v>32</v>
      </c>
      <c r="F3" s="59" t="s">
        <v>24</v>
      </c>
      <c r="G3" s="59" t="s">
        <v>267</v>
      </c>
      <c r="H3" s="2" t="s">
        <v>92</v>
      </c>
    </row>
    <row r="4" spans="2:13" x14ac:dyDescent="0.3">
      <c r="B4" s="104" t="s">
        <v>213</v>
      </c>
      <c r="C4" s="105"/>
      <c r="D4" s="105"/>
      <c r="E4" s="105"/>
      <c r="F4" s="105"/>
      <c r="G4" s="105"/>
      <c r="H4" s="106"/>
      <c r="I4" s="1"/>
      <c r="J4" s="90"/>
      <c r="K4" s="91" t="s">
        <v>233</v>
      </c>
      <c r="L4" s="91" t="s">
        <v>232</v>
      </c>
      <c r="M4" s="91" t="s">
        <v>103</v>
      </c>
    </row>
    <row r="5" spans="2:13" x14ac:dyDescent="0.3">
      <c r="B5" s="18" t="s">
        <v>259</v>
      </c>
      <c r="C5" s="18" t="s">
        <v>33</v>
      </c>
      <c r="D5" s="66">
        <f>42148.0904323578/1000</f>
        <v>42.148090432357797</v>
      </c>
      <c r="E5" s="70">
        <v>80.3</v>
      </c>
      <c r="F5" s="70">
        <f t="shared" ref="F5" si="0">E5*D5</f>
        <v>3384.4916617183312</v>
      </c>
      <c r="G5" s="70">
        <f>F5</f>
        <v>3384.4916617183312</v>
      </c>
      <c r="H5" s="91" t="s">
        <v>261</v>
      </c>
      <c r="I5" s="1"/>
      <c r="J5" s="88" t="s">
        <v>231</v>
      </c>
      <c r="K5" s="91">
        <v>1.2999999999999999E-2</v>
      </c>
      <c r="L5" s="76">
        <f>K5/1.06</f>
        <v>1.2264150943396225E-2</v>
      </c>
      <c r="M5" s="76">
        <f>L5*55</f>
        <v>0.67452830188679236</v>
      </c>
    </row>
    <row r="6" spans="2:13" x14ac:dyDescent="0.3">
      <c r="B6" s="18" t="s">
        <v>260</v>
      </c>
      <c r="C6" s="18" t="s">
        <v>33</v>
      </c>
      <c r="D6" s="66">
        <f>5829.71870176398/1000</f>
        <v>5.82971870176398</v>
      </c>
      <c r="E6" s="70">
        <v>3560</v>
      </c>
      <c r="F6" s="70">
        <f t="shared" ref="F6" si="1">E6*D6</f>
        <v>20753.79857827977</v>
      </c>
      <c r="G6" s="70">
        <f>F6</f>
        <v>20753.79857827977</v>
      </c>
      <c r="H6" s="91" t="s">
        <v>262</v>
      </c>
    </row>
    <row r="7" spans="2:13" x14ac:dyDescent="0.3">
      <c r="B7" s="74" t="s">
        <v>222</v>
      </c>
      <c r="C7" s="18" t="s">
        <v>33</v>
      </c>
      <c r="D7" s="66">
        <f>27826.8289304375/1000</f>
        <v>27.8268289304375</v>
      </c>
      <c r="E7" s="70">
        <v>1293</v>
      </c>
      <c r="F7" s="70">
        <f t="shared" ref="F7" si="2">E7*D7</f>
        <v>35980.089807055687</v>
      </c>
      <c r="G7" s="70">
        <f>F7</f>
        <v>35980.089807055687</v>
      </c>
      <c r="H7" s="18" t="s">
        <v>261</v>
      </c>
    </row>
    <row r="8" spans="2:13" x14ac:dyDescent="0.3">
      <c r="B8" s="59" t="s">
        <v>223</v>
      </c>
      <c r="C8" s="59"/>
      <c r="D8" s="22"/>
      <c r="E8" s="22"/>
      <c r="F8" s="22"/>
      <c r="G8" s="22">
        <f>SUM(G5:G7)</f>
        <v>60118.380047053783</v>
      </c>
      <c r="H8" s="59"/>
    </row>
    <row r="9" spans="2:13" x14ac:dyDescent="0.3">
      <c r="B9" s="104" t="s">
        <v>214</v>
      </c>
      <c r="C9" s="105"/>
      <c r="D9" s="105"/>
      <c r="E9" s="105"/>
      <c r="F9" s="105"/>
      <c r="G9" s="105"/>
      <c r="H9" s="106"/>
    </row>
    <row r="10" spans="2:13" ht="16.2" x14ac:dyDescent="0.3">
      <c r="B10" s="43" t="s">
        <v>25</v>
      </c>
      <c r="C10" s="43" t="s">
        <v>228</v>
      </c>
      <c r="D10" s="95">
        <f>16421602.7279223/1000</f>
        <v>16421.602727922298</v>
      </c>
      <c r="E10" s="95">
        <f>3.6/100</f>
        <v>3.6000000000000004E-2</v>
      </c>
      <c r="F10" s="70">
        <f>E10*D10</f>
        <v>591.17769820520277</v>
      </c>
      <c r="G10" s="95">
        <f>F10</f>
        <v>591.17769820520277</v>
      </c>
      <c r="H10" s="86" t="s">
        <v>227</v>
      </c>
    </row>
    <row r="11" spans="2:13" x14ac:dyDescent="0.3">
      <c r="B11" s="43" t="s">
        <v>26</v>
      </c>
      <c r="C11" s="43" t="s">
        <v>229</v>
      </c>
      <c r="D11" s="70">
        <f>27835.0537109595/1000</f>
        <v>27.8350537109595</v>
      </c>
      <c r="E11" s="95">
        <v>69.599999999999994</v>
      </c>
      <c r="F11" s="71">
        <f>E11*D11</f>
        <v>1937.3197382827809</v>
      </c>
      <c r="G11" s="95">
        <f>F11</f>
        <v>1937.3197382827809</v>
      </c>
      <c r="H11" s="86" t="s">
        <v>227</v>
      </c>
    </row>
    <row r="12" spans="2:13" s="87" customFormat="1" x14ac:dyDescent="0.3">
      <c r="B12" s="43" t="s">
        <v>258</v>
      </c>
      <c r="C12" s="43" t="s">
        <v>33</v>
      </c>
      <c r="D12" s="70">
        <f>2018.00390320268/1000</f>
        <v>2.01800390320268</v>
      </c>
      <c r="E12" s="71">
        <f>M5*1000</f>
        <v>674.52830188679241</v>
      </c>
      <c r="F12" s="71">
        <f>E12*D12</f>
        <v>1361.2007460282227</v>
      </c>
      <c r="G12" s="95">
        <f>F12</f>
        <v>1361.2007460282227</v>
      </c>
      <c r="H12" s="97" t="s">
        <v>234</v>
      </c>
    </row>
    <row r="13" spans="2:13" x14ac:dyDescent="0.3">
      <c r="B13" s="59" t="s">
        <v>223</v>
      </c>
      <c r="C13" s="59"/>
      <c r="D13" s="22"/>
      <c r="E13" s="22"/>
      <c r="F13" s="22"/>
      <c r="G13" s="22">
        <f>SUM(G10:G12)</f>
        <v>3889.6981825162065</v>
      </c>
      <c r="H13" s="59"/>
    </row>
    <row r="14" spans="2:13" x14ac:dyDescent="0.3">
      <c r="B14" s="104" t="s">
        <v>215</v>
      </c>
      <c r="C14" s="105"/>
      <c r="D14" s="105"/>
      <c r="E14" s="105"/>
      <c r="F14" s="105"/>
      <c r="G14" s="105"/>
      <c r="H14" s="106"/>
    </row>
    <row r="15" spans="2:13" s="87" customFormat="1" ht="16.2" x14ac:dyDescent="0.3">
      <c r="B15" s="91" t="s">
        <v>230</v>
      </c>
      <c r="C15" s="43" t="s">
        <v>228</v>
      </c>
      <c r="D15" s="70">
        <f>17008.5900537084/1000</f>
        <v>17.008590053708403</v>
      </c>
      <c r="E15" s="95">
        <v>1.6</v>
      </c>
      <c r="F15" s="71">
        <f t="shared" ref="F15:F16" si="3">E15*D15</f>
        <v>27.213744085933445</v>
      </c>
      <c r="G15" s="70">
        <f>F15</f>
        <v>27.213744085933445</v>
      </c>
      <c r="H15" s="86" t="s">
        <v>261</v>
      </c>
    </row>
    <row r="16" spans="2:13" s="87" customFormat="1" x14ac:dyDescent="0.3">
      <c r="B16" s="91" t="s">
        <v>55</v>
      </c>
      <c r="C16" s="91" t="s">
        <v>33</v>
      </c>
      <c r="D16" s="70">
        <f>359.543844527518/1000</f>
        <v>0.35954384452751798</v>
      </c>
      <c r="E16" s="95">
        <v>200</v>
      </c>
      <c r="F16" s="71">
        <f t="shared" si="3"/>
        <v>71.908768905503592</v>
      </c>
      <c r="G16" s="70">
        <f>F16*C27/C26</f>
        <v>72.433389338573079</v>
      </c>
      <c r="H16" s="86" t="s">
        <v>263</v>
      </c>
    </row>
    <row r="17" spans="2:8" s="78" customFormat="1" x14ac:dyDescent="0.3">
      <c r="B17" s="77" t="s">
        <v>223</v>
      </c>
      <c r="C17" s="77"/>
      <c r="D17" s="79"/>
      <c r="E17" s="79"/>
      <c r="F17" s="79"/>
      <c r="G17" s="79">
        <f>SUM(G15:G16)</f>
        <v>99.647133424506521</v>
      </c>
      <c r="H17" s="77"/>
    </row>
    <row r="18" spans="2:8" s="87" customFormat="1" x14ac:dyDescent="0.3">
      <c r="B18" s="104" t="s">
        <v>225</v>
      </c>
      <c r="C18" s="105"/>
      <c r="D18" s="105"/>
      <c r="E18" s="105"/>
      <c r="F18" s="105"/>
      <c r="G18" s="105"/>
      <c r="H18" s="106"/>
    </row>
    <row r="19" spans="2:8" s="87" customFormat="1" x14ac:dyDescent="0.3">
      <c r="B19" s="85" t="s">
        <v>226</v>
      </c>
      <c r="C19" s="85" t="s">
        <v>33</v>
      </c>
      <c r="D19" s="93">
        <f>-22639.240068494/1000</f>
        <v>-22.639240068494001</v>
      </c>
      <c r="E19" s="75">
        <v>15.6</v>
      </c>
      <c r="F19" s="71">
        <f>E19*D19</f>
        <v>-353.17214506850638</v>
      </c>
      <c r="G19" s="70">
        <f>F19</f>
        <v>-353.17214506850638</v>
      </c>
      <c r="H19" s="91" t="s">
        <v>261</v>
      </c>
    </row>
    <row r="20" spans="2:8" s="87" customFormat="1" x14ac:dyDescent="0.3">
      <c r="B20" s="85" t="s">
        <v>223</v>
      </c>
      <c r="C20" s="85"/>
      <c r="D20" s="93"/>
      <c r="E20" s="93"/>
      <c r="F20" s="93"/>
      <c r="G20" s="93">
        <f>SUM(G19)</f>
        <v>-353.17214506850638</v>
      </c>
      <c r="H20" s="85"/>
    </row>
    <row r="21" spans="2:8" x14ac:dyDescent="0.3">
      <c r="B21" s="2" t="s">
        <v>104</v>
      </c>
      <c r="C21" s="92" t="s">
        <v>37</v>
      </c>
      <c r="D21" s="70"/>
      <c r="E21" s="71"/>
      <c r="F21" s="70"/>
      <c r="G21" s="22">
        <f>SUM('Catalyst costs'!F5)</f>
        <v>18.532800000000002</v>
      </c>
      <c r="H21" s="18" t="s">
        <v>216</v>
      </c>
    </row>
    <row r="22" spans="2:8" x14ac:dyDescent="0.3">
      <c r="B22" s="59" t="s">
        <v>211</v>
      </c>
      <c r="C22" s="21" t="s">
        <v>37</v>
      </c>
      <c r="D22" s="18"/>
      <c r="E22" s="18"/>
      <c r="F22" s="22"/>
      <c r="G22" s="22">
        <f>(G8+G13+G17+G20)*8000/1000000+G$21</f>
        <v>528.56922574340786</v>
      </c>
      <c r="H22" s="18"/>
    </row>
    <row r="23" spans="2:8" x14ac:dyDescent="0.3">
      <c r="B23" s="72"/>
      <c r="C23" s="72"/>
      <c r="D23" s="72"/>
      <c r="E23" s="72"/>
      <c r="F23" s="72"/>
      <c r="G23" s="72"/>
      <c r="H23" s="73"/>
    </row>
    <row r="24" spans="2:8" x14ac:dyDescent="0.3">
      <c r="B24" s="84" t="s">
        <v>95</v>
      </c>
      <c r="C24" s="81"/>
      <c r="D24" s="72"/>
      <c r="E24" s="72"/>
      <c r="F24" s="72"/>
      <c r="G24" s="72"/>
      <c r="H24" s="73"/>
    </row>
    <row r="25" spans="2:8" x14ac:dyDescent="0.3">
      <c r="B25" s="80" t="s">
        <v>224</v>
      </c>
      <c r="C25" s="83">
        <v>575.4</v>
      </c>
      <c r="D25" s="73"/>
      <c r="E25" s="73"/>
      <c r="F25" s="73"/>
      <c r="G25" s="73"/>
      <c r="H25" s="73"/>
    </row>
    <row r="26" spans="2:8" x14ac:dyDescent="0.3">
      <c r="B26" s="80" t="s">
        <v>94</v>
      </c>
      <c r="C26" s="83">
        <v>603.1</v>
      </c>
      <c r="D26" s="73"/>
      <c r="E26" s="73"/>
      <c r="F26" s="73"/>
      <c r="G26" s="73"/>
      <c r="H26" s="73"/>
    </row>
    <row r="27" spans="2:8" x14ac:dyDescent="0.3">
      <c r="B27" s="80" t="s">
        <v>35</v>
      </c>
      <c r="C27" s="82">
        <v>607.5</v>
      </c>
      <c r="D27" s="73"/>
      <c r="E27" s="73"/>
      <c r="F27" s="73"/>
      <c r="G27" s="73"/>
      <c r="H27" s="73"/>
    </row>
    <row r="28" spans="2:8" x14ac:dyDescent="0.3">
      <c r="B28" s="89" t="s">
        <v>236</v>
      </c>
      <c r="C28" s="94">
        <v>776.3</v>
      </c>
      <c r="D28" s="73"/>
      <c r="E28" s="73"/>
      <c r="F28" s="73"/>
      <c r="G28" s="73"/>
      <c r="H28" s="73"/>
    </row>
    <row r="29" spans="2:8" x14ac:dyDescent="0.3">
      <c r="B29" s="89" t="s">
        <v>235</v>
      </c>
      <c r="C29" s="94">
        <v>803.6</v>
      </c>
      <c r="D29" s="73"/>
      <c r="E29" s="73"/>
      <c r="F29" s="73"/>
      <c r="G29" s="73"/>
      <c r="H29" s="73"/>
    </row>
    <row r="30" spans="2:8" x14ac:dyDescent="0.3">
      <c r="B30" s="73"/>
      <c r="C30" s="73"/>
      <c r="D30" s="73"/>
      <c r="E30" s="73"/>
      <c r="F30" s="73"/>
      <c r="G30" s="73"/>
      <c r="H30" s="73"/>
    </row>
    <row r="31" spans="2:8" x14ac:dyDescent="0.3">
      <c r="B31" s="73"/>
      <c r="C31" s="73"/>
      <c r="D31" s="73"/>
      <c r="E31" s="73"/>
      <c r="F31" s="73"/>
      <c r="G31" s="73"/>
      <c r="H31" s="73"/>
    </row>
    <row r="32" spans="2:8" x14ac:dyDescent="0.3">
      <c r="B32" s="73"/>
      <c r="C32" s="73"/>
      <c r="D32" s="73"/>
      <c r="E32" s="73"/>
      <c r="F32" s="73"/>
      <c r="G32" s="73"/>
      <c r="H32" s="73"/>
    </row>
  </sheetData>
  <mergeCells count="4">
    <mergeCell ref="B18:H18"/>
    <mergeCell ref="B4:H4"/>
    <mergeCell ref="B9:H9"/>
    <mergeCell ref="B14:H14"/>
  </mergeCells>
  <hyperlinks>
    <hyperlink ref="H12" r:id="rId1" display="eia natural gas (@55 MJ/kg)" xr:uid="{06B8ED4B-09B0-4F7B-9046-6678B40376D3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K36"/>
  <sheetViews>
    <sheetView workbookViewId="0">
      <selection activeCell="D15" sqref="D15"/>
    </sheetView>
  </sheetViews>
  <sheetFormatPr defaultRowHeight="14.4" x14ac:dyDescent="0.3"/>
  <cols>
    <col min="2" max="2" width="39.109375" bestFit="1" customWidth="1"/>
    <col min="3" max="3" width="9.5546875" bestFit="1" customWidth="1"/>
    <col min="5" max="5" width="22.5546875" bestFit="1" customWidth="1"/>
    <col min="6" max="7" width="16.88671875" bestFit="1" customWidth="1"/>
    <col min="8" max="8" width="16.33203125" bestFit="1" customWidth="1"/>
    <col min="10" max="10" width="15.6640625" bestFit="1" customWidth="1"/>
    <col min="11" max="11" width="16.33203125" bestFit="1" customWidth="1"/>
  </cols>
  <sheetData>
    <row r="3" spans="2:11" x14ac:dyDescent="0.3">
      <c r="B3" s="14" t="s">
        <v>266</v>
      </c>
      <c r="C3" s="24">
        <f>SUM(CAPEX!B198)</f>
        <v>69.826937360818903</v>
      </c>
      <c r="E3" s="110" t="s">
        <v>238</v>
      </c>
      <c r="F3" s="110"/>
      <c r="G3" s="110"/>
      <c r="H3" s="110"/>
      <c r="I3" s="58"/>
      <c r="J3" s="104" t="s">
        <v>239</v>
      </c>
      <c r="K3" s="106"/>
    </row>
    <row r="4" spans="2:11" x14ac:dyDescent="0.3">
      <c r="B4" s="30" t="s">
        <v>60</v>
      </c>
      <c r="C4" s="24">
        <f>SUM(CAPEX!B199)</f>
        <v>261.15274572946277</v>
      </c>
      <c r="E4" s="100" t="s">
        <v>101</v>
      </c>
      <c r="F4" s="100" t="s">
        <v>249</v>
      </c>
      <c r="G4" s="100" t="s">
        <v>265</v>
      </c>
      <c r="H4" s="100" t="s">
        <v>240</v>
      </c>
      <c r="I4" s="58"/>
      <c r="J4" s="100" t="s">
        <v>101</v>
      </c>
      <c r="K4" s="101" t="s">
        <v>240</v>
      </c>
    </row>
    <row r="5" spans="2:11" x14ac:dyDescent="0.3">
      <c r="B5" s="30" t="s">
        <v>61</v>
      </c>
      <c r="C5" s="24">
        <f>SUM(CAPEX!B200)</f>
        <v>78.34582371883883</v>
      </c>
      <c r="E5" s="86" t="s">
        <v>57</v>
      </c>
      <c r="F5" s="95">
        <f>CAPEX!H31</f>
        <v>34.531641848083744</v>
      </c>
      <c r="G5" s="95">
        <f>F5*CAPEX!$B$197/CAPEX!$B$196</f>
        <v>39.365682909947225</v>
      </c>
      <c r="H5" s="95">
        <f>(G5*CAPEX!$C$203+Summary!G5*CAPEX!$C$203*0.15)*CAPEX!$B$208</f>
        <v>39.288794396384155</v>
      </c>
      <c r="I5" s="58"/>
      <c r="J5" s="102" t="s">
        <v>57</v>
      </c>
      <c r="K5" s="95">
        <f>H5</f>
        <v>39.288794396384155</v>
      </c>
    </row>
    <row r="6" spans="2:11" x14ac:dyDescent="0.3">
      <c r="B6" s="30" t="s">
        <v>84</v>
      </c>
      <c r="C6" s="24">
        <f>SUM(CAPEX!B201)</f>
        <v>101.84957083449048</v>
      </c>
      <c r="E6" s="86" t="s">
        <v>162</v>
      </c>
      <c r="F6" s="95">
        <f>CAPEX!H36</f>
        <v>2.8456575207252401E-2</v>
      </c>
      <c r="G6" s="95">
        <f>F6*CAPEX!$B$197/CAPEX!$B$196</f>
        <v>3.2440175339474263E-2</v>
      </c>
      <c r="H6" s="95">
        <f>(G6*CAPEX!$C$203+Summary!G6*CAPEX!$C$203*0.15)*CAPEX!$B$208</f>
        <v>3.2376813632596632E-2</v>
      </c>
      <c r="I6" s="58"/>
      <c r="J6" s="102" t="s">
        <v>162</v>
      </c>
      <c r="K6" s="95">
        <f t="shared" ref="K6:K10" si="0">H6</f>
        <v>3.2376813632596632E-2</v>
      </c>
    </row>
    <row r="7" spans="2:11" x14ac:dyDescent="0.3">
      <c r="B7" s="30" t="s">
        <v>63</v>
      </c>
      <c r="C7" s="24">
        <f>SUM(CAPEX!B202)</f>
        <v>33.949856944830167</v>
      </c>
      <c r="E7" s="86" t="s">
        <v>165</v>
      </c>
      <c r="F7" s="95">
        <f>CAPEX!H160</f>
        <v>19.156224634884971</v>
      </c>
      <c r="G7" s="95">
        <f>F7*CAPEX!$B$197/CAPEX!$B$196</f>
        <v>21.837880400999477</v>
      </c>
      <c r="H7" s="95">
        <f>(G7*CAPEX!$C$203+Summary!G7*CAPEX!$C$203*0.15)*CAPEX!$B$208</f>
        <v>21.795226951617124</v>
      </c>
      <c r="I7" s="58"/>
      <c r="J7" s="102" t="s">
        <v>165</v>
      </c>
      <c r="K7" s="95">
        <f t="shared" si="0"/>
        <v>21.795226951617124</v>
      </c>
    </row>
    <row r="8" spans="2:11" x14ac:dyDescent="0.3">
      <c r="B8" s="30" t="s">
        <v>64</v>
      </c>
      <c r="C8" s="24">
        <f>SUM(CAPEX!B203)</f>
        <v>475.29799722762232</v>
      </c>
      <c r="E8" s="86" t="s">
        <v>58</v>
      </c>
      <c r="F8" s="95">
        <f>CAPEX!H165</f>
        <v>4.1811994817937723</v>
      </c>
      <c r="G8" s="95">
        <f>F8*CAPEX!$B$197/CAPEX!$B$196</f>
        <v>4.7665203325008765</v>
      </c>
      <c r="H8" s="95">
        <f>(G8*CAPEX!$C$203+Summary!G8*CAPEX!$C$203*0.15)*CAPEX!$B$208</f>
        <v>4.7572104301660803</v>
      </c>
      <c r="I8" s="58"/>
      <c r="J8" s="102" t="s">
        <v>58</v>
      </c>
      <c r="K8" s="95">
        <f t="shared" si="0"/>
        <v>4.7572104301660803</v>
      </c>
    </row>
    <row r="9" spans="2:11" x14ac:dyDescent="0.3">
      <c r="B9" s="30" t="s">
        <v>67</v>
      </c>
      <c r="C9" s="24">
        <f>SUM(CAPEX!B204)</f>
        <v>71.294699584143345</v>
      </c>
      <c r="E9" s="86" t="s">
        <v>164</v>
      </c>
      <c r="F9" s="95">
        <f>CAPEX!H177</f>
        <v>3.1317040423722506</v>
      </c>
      <c r="G9" s="95">
        <f>F9*CAPEX!$B$197/CAPEX!$B$196</f>
        <v>3.5701073479848797</v>
      </c>
      <c r="H9" s="95">
        <f>(G9*CAPEX!$C$203+Summary!G9*CAPEX!$C$203*0.15)*CAPEX!$B$208</f>
        <v>3.563134263131376</v>
      </c>
      <c r="I9" s="58"/>
      <c r="J9" s="102" t="s">
        <v>164</v>
      </c>
      <c r="K9" s="95">
        <f t="shared" si="0"/>
        <v>3.563134263131376</v>
      </c>
    </row>
    <row r="10" spans="2:11" x14ac:dyDescent="0.3">
      <c r="B10" s="14" t="s">
        <v>65</v>
      </c>
      <c r="C10" s="24">
        <f>SUM(CAPEX!B205)</f>
        <v>546.59269681176568</v>
      </c>
      <c r="E10" s="86" t="s">
        <v>241</v>
      </c>
      <c r="F10" s="95">
        <f>CAPEX!H181+CAPEX!H185+CAPEX!H189+CAPEX!H193</f>
        <v>0.22307781202901966</v>
      </c>
      <c r="G10" s="95">
        <f>F10*CAPEX!$B$197/CAPEX!$B$196</f>
        <v>0.25430619404696836</v>
      </c>
      <c r="H10" s="95">
        <f>(G10*CAPEX!$C$203+Summary!G10*CAPEX!$C$203*0.15)*CAPEX!$B$208</f>
        <v>0.25380948666620512</v>
      </c>
      <c r="I10" s="58"/>
      <c r="J10" s="102" t="s">
        <v>241</v>
      </c>
      <c r="K10" s="95">
        <f t="shared" si="0"/>
        <v>0.25380948666620512</v>
      </c>
    </row>
    <row r="11" spans="2:11" x14ac:dyDescent="0.3">
      <c r="B11" s="14" t="s">
        <v>89</v>
      </c>
      <c r="C11" s="24">
        <f>SUM('Production costs'!C9)</f>
        <v>7.3406250000000002</v>
      </c>
      <c r="E11" s="100" t="s">
        <v>146</v>
      </c>
      <c r="F11" s="93">
        <f>SUM(F5:F10)</f>
        <v>61.252304394371009</v>
      </c>
      <c r="G11" s="93">
        <f>SUM(G5:G10)</f>
        <v>69.826937360818889</v>
      </c>
      <c r="H11" s="93">
        <f>SUM(H5:H10)</f>
        <v>69.690552341597524</v>
      </c>
      <c r="I11" s="58"/>
      <c r="J11" s="99" t="s">
        <v>146</v>
      </c>
      <c r="K11" s="93">
        <f>SUM(K5:K10)</f>
        <v>69.690552341597524</v>
      </c>
    </row>
    <row r="12" spans="2:11" x14ac:dyDescent="0.3">
      <c r="B12" s="14" t="s">
        <v>90</v>
      </c>
      <c r="C12" s="24">
        <f>SUM('Production costs'!C12)</f>
        <v>7.834582371883883</v>
      </c>
      <c r="E12" s="58"/>
      <c r="F12" s="58"/>
      <c r="G12" s="58"/>
      <c r="H12" s="58"/>
      <c r="I12" s="58"/>
      <c r="J12" s="58"/>
      <c r="K12" s="58"/>
    </row>
    <row r="13" spans="2:11" x14ac:dyDescent="0.3">
      <c r="B13" s="14" t="s">
        <v>78</v>
      </c>
      <c r="C13" s="24">
        <f>SUM('Production costs'!C16)</f>
        <v>16.653856180690553</v>
      </c>
      <c r="E13" s="104" t="s">
        <v>242</v>
      </c>
      <c r="F13" s="106"/>
      <c r="G13" s="58"/>
      <c r="H13" s="58"/>
      <c r="I13" s="58"/>
      <c r="J13" s="104" t="s">
        <v>243</v>
      </c>
      <c r="K13" s="106"/>
    </row>
    <row r="14" spans="2:11" x14ac:dyDescent="0.3">
      <c r="B14" s="14" t="s">
        <v>86</v>
      </c>
      <c r="C14" s="24">
        <f>SUM('Production costs'!C19)</f>
        <v>4.2776819750486004</v>
      </c>
      <c r="E14" s="100" t="s">
        <v>244</v>
      </c>
      <c r="F14" s="100" t="s">
        <v>37</v>
      </c>
      <c r="G14" s="58"/>
      <c r="H14" s="58"/>
      <c r="I14" s="58"/>
      <c r="J14" s="100" t="s">
        <v>244</v>
      </c>
      <c r="K14" s="100" t="s">
        <v>37</v>
      </c>
    </row>
    <row r="15" spans="2:11" x14ac:dyDescent="0.3">
      <c r="B15" s="14" t="s">
        <v>27</v>
      </c>
      <c r="C15" s="24">
        <f>SUM(CAPEX!B206)</f>
        <v>25</v>
      </c>
      <c r="E15" s="86" t="s">
        <v>81</v>
      </c>
      <c r="F15" s="95">
        <f>'Production costs'!C6</f>
        <v>4.05</v>
      </c>
      <c r="G15" s="58"/>
      <c r="H15" s="58"/>
      <c r="I15" s="58"/>
      <c r="J15" s="86" t="s">
        <v>245</v>
      </c>
      <c r="K15" s="95">
        <f>F15+F16+F17</f>
        <v>7.3406250000000002</v>
      </c>
    </row>
    <row r="16" spans="2:11" x14ac:dyDescent="0.3">
      <c r="B16" s="14" t="s">
        <v>28</v>
      </c>
      <c r="C16" s="24">
        <f>SUM(CAPEX!B207)</f>
        <v>0.12</v>
      </c>
      <c r="E16" s="86" t="s">
        <v>69</v>
      </c>
      <c r="F16" s="95">
        <f>'Production costs'!C7</f>
        <v>1.0125</v>
      </c>
      <c r="G16" s="58"/>
      <c r="H16" s="58"/>
      <c r="I16" s="58"/>
      <c r="J16" s="86" t="s">
        <v>76</v>
      </c>
      <c r="K16" s="95">
        <f>F18</f>
        <v>7.834582371883883</v>
      </c>
    </row>
    <row r="17" spans="2:11" x14ac:dyDescent="0.3">
      <c r="B17" s="14" t="s">
        <v>29</v>
      </c>
      <c r="C17" s="23">
        <f>SUM(CAPEX!B208)</f>
        <v>0.12749996980950773</v>
      </c>
      <c r="E17" s="86" t="s">
        <v>73</v>
      </c>
      <c r="F17" s="95">
        <f>'Production costs'!C8</f>
        <v>2.2781250000000002</v>
      </c>
      <c r="G17" s="58"/>
      <c r="H17" s="58"/>
      <c r="I17" s="58"/>
      <c r="J17" s="86" t="s">
        <v>246</v>
      </c>
      <c r="K17" s="95">
        <f>F19+F20</f>
        <v>16.653856180690553</v>
      </c>
    </row>
    <row r="18" spans="2:11" x14ac:dyDescent="0.3">
      <c r="B18" s="17" t="s">
        <v>36</v>
      </c>
      <c r="C18" s="20">
        <f>SUM(CAPEX!B210)</f>
        <v>69.690552341597538</v>
      </c>
      <c r="E18" s="86" t="s">
        <v>76</v>
      </c>
      <c r="F18" s="95">
        <f>'Production costs'!C11</f>
        <v>7.834582371883883</v>
      </c>
      <c r="G18" s="58"/>
      <c r="H18" s="58"/>
      <c r="I18" s="58"/>
      <c r="J18" s="86" t="s">
        <v>86</v>
      </c>
      <c r="K18" s="95">
        <f>F21</f>
        <v>4.2776819750486004</v>
      </c>
    </row>
    <row r="19" spans="2:11" x14ac:dyDescent="0.3">
      <c r="B19" s="17" t="s">
        <v>218</v>
      </c>
      <c r="C19" s="20">
        <f>'Production costs'!C20</f>
        <v>36.106745527623033</v>
      </c>
      <c r="E19" s="86" t="s">
        <v>80</v>
      </c>
      <c r="F19" s="95">
        <f>'Production costs'!C14</f>
        <v>9.8638847917245229</v>
      </c>
      <c r="G19" s="58"/>
      <c r="H19" s="58"/>
      <c r="I19" s="58"/>
      <c r="J19" s="100" t="s">
        <v>146</v>
      </c>
      <c r="K19" s="93">
        <f>SUM(K15:K18)</f>
        <v>36.106745527623033</v>
      </c>
    </row>
    <row r="20" spans="2:11" x14ac:dyDescent="0.3">
      <c r="B20" s="17" t="s">
        <v>56</v>
      </c>
      <c r="C20" s="20">
        <f>OPEX!G22</f>
        <v>528.56922574340786</v>
      </c>
      <c r="E20" s="86" t="s">
        <v>83</v>
      </c>
      <c r="F20" s="95">
        <f>'Production costs'!C15</f>
        <v>6.7899713889660323</v>
      </c>
      <c r="G20" s="58"/>
      <c r="H20" s="58"/>
      <c r="I20" s="58"/>
      <c r="J20" s="58"/>
      <c r="K20" s="58"/>
    </row>
    <row r="21" spans="2:11" x14ac:dyDescent="0.3">
      <c r="B21" s="17" t="s">
        <v>219</v>
      </c>
      <c r="C21" s="20">
        <f>($C$18+$C$19+C20)</f>
        <v>634.36652361262838</v>
      </c>
      <c r="E21" s="86" t="s">
        <v>87</v>
      </c>
      <c r="F21" s="95">
        <f>'Production costs'!C18</f>
        <v>4.2776819750486004</v>
      </c>
      <c r="G21" s="58"/>
      <c r="H21" s="58"/>
      <c r="I21" s="58"/>
      <c r="J21" s="58"/>
      <c r="K21" s="58"/>
    </row>
    <row r="22" spans="2:11" x14ac:dyDescent="0.3">
      <c r="B22" s="17" t="s">
        <v>220</v>
      </c>
      <c r="C22" s="20">
        <f>(C21)*1000000/8000</f>
        <v>79295.815451578543</v>
      </c>
      <c r="E22" s="100" t="s">
        <v>146</v>
      </c>
      <c r="F22" s="93">
        <f>SUM(F15:F21)</f>
        <v>36.10674552762304</v>
      </c>
      <c r="G22" s="58"/>
      <c r="H22" s="58"/>
      <c r="I22" s="58"/>
      <c r="J22" s="58"/>
      <c r="K22" s="58"/>
    </row>
    <row r="23" spans="2:11" x14ac:dyDescent="0.3">
      <c r="B23" s="32" t="s">
        <v>221</v>
      </c>
      <c r="C23" s="20">
        <v>58559.194459623097</v>
      </c>
      <c r="E23" s="58"/>
      <c r="F23" s="58"/>
      <c r="G23" s="58"/>
      <c r="H23" s="58"/>
      <c r="I23" s="58"/>
      <c r="J23" s="58"/>
      <c r="K23" s="58"/>
    </row>
    <row r="24" spans="2:11" x14ac:dyDescent="0.3">
      <c r="B24" s="38" t="s">
        <v>217</v>
      </c>
      <c r="C24" s="37">
        <f>C22/C23</f>
        <v>1.3541138361500766</v>
      </c>
      <c r="E24" s="104" t="s">
        <v>247</v>
      </c>
      <c r="F24" s="106"/>
      <c r="G24" s="58"/>
      <c r="H24" s="58"/>
      <c r="I24" s="58"/>
      <c r="J24" s="58"/>
      <c r="K24" s="58"/>
    </row>
    <row r="25" spans="2:11" x14ac:dyDescent="0.3">
      <c r="B25" s="96" t="s">
        <v>237</v>
      </c>
      <c r="C25" s="98">
        <f>C24*1000</f>
        <v>1354.1138361500766</v>
      </c>
      <c r="E25" s="100" t="s">
        <v>244</v>
      </c>
      <c r="F25" s="100" t="s">
        <v>37</v>
      </c>
      <c r="G25" s="58"/>
      <c r="H25" s="58"/>
      <c r="I25" s="58"/>
      <c r="J25" s="58"/>
      <c r="K25" s="58"/>
    </row>
    <row r="26" spans="2:11" x14ac:dyDescent="0.3">
      <c r="E26" s="86" t="s">
        <v>257</v>
      </c>
      <c r="F26" s="95">
        <f>OPEX!G5*8000/10^6</f>
        <v>27.075933293746651</v>
      </c>
      <c r="G26" s="58"/>
      <c r="H26" s="58"/>
      <c r="I26" s="58"/>
      <c r="J26" s="58"/>
      <c r="K26" s="58"/>
    </row>
    <row r="27" spans="2:11" x14ac:dyDescent="0.3">
      <c r="E27" s="86" t="s">
        <v>96</v>
      </c>
      <c r="F27" s="95">
        <f>OPEX!G6*8000/10^6</f>
        <v>166.03038862623816</v>
      </c>
      <c r="G27" s="58"/>
      <c r="H27" s="58"/>
      <c r="I27" s="58"/>
      <c r="J27" s="58"/>
      <c r="K27" s="58"/>
    </row>
    <row r="28" spans="2:11" x14ac:dyDescent="0.3">
      <c r="E28" s="86" t="s">
        <v>222</v>
      </c>
      <c r="F28" s="95">
        <f>OPEX!G7*8000/10^6</f>
        <v>287.84071845644553</v>
      </c>
      <c r="G28" s="58"/>
      <c r="H28" s="58"/>
      <c r="I28" s="58"/>
      <c r="J28" s="58"/>
      <c r="K28" s="58"/>
    </row>
    <row r="29" spans="2:11" x14ac:dyDescent="0.3">
      <c r="E29" s="86" t="s">
        <v>25</v>
      </c>
      <c r="F29" s="95">
        <f>OPEX!G10*8000/10^6</f>
        <v>4.7294215856416226</v>
      </c>
      <c r="G29" s="58"/>
      <c r="H29" s="58"/>
      <c r="I29" s="58"/>
      <c r="J29" s="58"/>
      <c r="K29" s="58"/>
    </row>
    <row r="30" spans="2:11" x14ac:dyDescent="0.3">
      <c r="E30" s="43" t="s">
        <v>26</v>
      </c>
      <c r="F30" s="95">
        <f>OPEX!G11*8000/10^6</f>
        <v>15.498557906262247</v>
      </c>
      <c r="G30" s="58"/>
      <c r="H30" s="58"/>
      <c r="I30" s="58"/>
      <c r="J30" s="58"/>
      <c r="K30" s="58"/>
    </row>
    <row r="31" spans="2:11" x14ac:dyDescent="0.3">
      <c r="E31" s="43" t="s">
        <v>258</v>
      </c>
      <c r="F31" s="95">
        <f>OPEX!G12*8000/10^6</f>
        <v>10.889605968225784</v>
      </c>
      <c r="G31" s="58"/>
      <c r="H31" s="58"/>
      <c r="I31" s="58"/>
      <c r="J31" s="58"/>
      <c r="K31" s="58"/>
    </row>
    <row r="32" spans="2:11" x14ac:dyDescent="0.3">
      <c r="E32" s="91" t="s">
        <v>230</v>
      </c>
      <c r="F32" s="95">
        <f>OPEX!G15*8000/10^6</f>
        <v>0.21770995268746757</v>
      </c>
      <c r="G32" s="58"/>
      <c r="H32" s="58"/>
      <c r="I32" s="58"/>
      <c r="J32" s="58"/>
      <c r="K32" s="58"/>
    </row>
    <row r="33" spans="5:11" x14ac:dyDescent="0.3">
      <c r="E33" s="91" t="s">
        <v>55</v>
      </c>
      <c r="F33" s="95">
        <f>OPEX!G16*8000/10^6</f>
        <v>0.57946711470858459</v>
      </c>
      <c r="G33" s="58"/>
      <c r="H33" s="58"/>
      <c r="I33" s="58"/>
      <c r="J33" s="58"/>
      <c r="K33" s="58"/>
    </row>
    <row r="34" spans="5:11" x14ac:dyDescent="0.3">
      <c r="E34" s="91" t="s">
        <v>226</v>
      </c>
      <c r="F34" s="95">
        <f>OPEX!G19*8000/10^6</f>
        <v>-2.8253771605480509</v>
      </c>
      <c r="G34" s="58"/>
      <c r="H34" s="58"/>
      <c r="I34" s="58"/>
      <c r="J34" s="58"/>
      <c r="K34" s="58"/>
    </row>
    <row r="35" spans="5:11" x14ac:dyDescent="0.3">
      <c r="E35" s="43" t="s">
        <v>248</v>
      </c>
      <c r="F35" s="95">
        <f>OPEX!G21</f>
        <v>18.532800000000002</v>
      </c>
      <c r="G35" s="58"/>
      <c r="H35" s="58"/>
      <c r="I35" s="58"/>
      <c r="J35" s="58"/>
      <c r="K35" s="58"/>
    </row>
    <row r="36" spans="5:11" x14ac:dyDescent="0.3">
      <c r="E36" s="100" t="s">
        <v>146</v>
      </c>
      <c r="F36" s="93">
        <f>SUM(F26:F35)</f>
        <v>528.56922574340786</v>
      </c>
      <c r="G36" s="58"/>
      <c r="H36" s="58"/>
      <c r="I36" s="58"/>
      <c r="J36" s="58"/>
      <c r="K36" s="58"/>
    </row>
  </sheetData>
  <mergeCells count="5">
    <mergeCell ref="E3:H3"/>
    <mergeCell ref="J3:K3"/>
    <mergeCell ref="E13:F13"/>
    <mergeCell ref="J13:K13"/>
    <mergeCell ref="E24:F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CAPEX</vt:lpstr>
      <vt:lpstr>Production costs</vt:lpstr>
      <vt:lpstr>Catalyst costs</vt:lpstr>
      <vt:lpstr>OPEX</vt:lpstr>
      <vt:lpstr>Summary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  Bhargav</dc:creator>
  <cp:lastModifiedBy>Nabera  Abhinandan</cp:lastModifiedBy>
  <dcterms:created xsi:type="dcterms:W3CDTF">2019-11-19T09:30:23Z</dcterms:created>
  <dcterms:modified xsi:type="dcterms:W3CDTF">2022-08-02T16:22:09Z</dcterms:modified>
</cp:coreProperties>
</file>