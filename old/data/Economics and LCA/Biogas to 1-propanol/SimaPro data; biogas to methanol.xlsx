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/>
  <mc:AlternateContent xmlns:mc="http://schemas.openxmlformats.org/markup-compatibility/2006">
    <mc:Choice Requires="x15">
      <x15ac:absPath xmlns:x15ac="http://schemas.microsoft.com/office/spreadsheetml/2010/11/ac" url="C:\Users\anabera\Desktop\Propanol production\Data\Economics and LCA\Biogas to 1-propanol\"/>
    </mc:Choice>
  </mc:AlternateContent>
  <xr:revisionPtr revIDLastSave="0" documentId="13_ncr:1_{3E5D4076-2EA7-49B7-A84C-F850458F8AA8}" xr6:coauthVersionLast="36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Material 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3" i="1"/>
  <c r="C14" i="2" l="1"/>
  <c r="C9" i="1"/>
  <c r="D5" i="1"/>
  <c r="D6" i="1"/>
  <c r="D7" i="1"/>
  <c r="D8" i="1"/>
  <c r="I5" i="3" l="1"/>
  <c r="I4" i="3"/>
  <c r="I3" i="3"/>
  <c r="D9" i="1"/>
  <c r="E9" i="1" s="1"/>
  <c r="D12" i="2"/>
  <c r="D11" i="2"/>
  <c r="D10" i="2"/>
  <c r="D9" i="2"/>
  <c r="I6" i="3" l="1"/>
  <c r="G16" i="3"/>
  <c r="G15" i="3"/>
  <c r="C6" i="3" s="1"/>
  <c r="J5" i="3" s="1"/>
  <c r="C7" i="3" l="1"/>
  <c r="D7" i="3" s="1"/>
  <c r="E7" i="3" s="1"/>
  <c r="D6" i="3"/>
  <c r="D6" i="2"/>
  <c r="D5" i="2"/>
  <c r="D4" i="2"/>
  <c r="D3" i="2"/>
  <c r="G11" i="3"/>
  <c r="G12" i="3"/>
  <c r="G13" i="3"/>
  <c r="C4" i="3" s="1"/>
  <c r="D4" i="3" s="1"/>
  <c r="C3" i="3" l="1"/>
  <c r="D3" i="3" s="1"/>
  <c r="C2" i="3"/>
  <c r="D2" i="3" l="1"/>
  <c r="I16" i="3"/>
  <c r="J4" i="3"/>
  <c r="G14" i="3"/>
  <c r="C5" i="3" s="1"/>
  <c r="D5" i="3" s="1"/>
  <c r="J3" i="3" l="1"/>
  <c r="J6" i="3" s="1"/>
  <c r="D13" i="2"/>
  <c r="D8" i="2"/>
  <c r="D7" i="2"/>
  <c r="D12" i="1"/>
  <c r="D11" i="1"/>
  <c r="D10" i="1"/>
  <c r="E4" i="1"/>
  <c r="D14" i="2" l="1"/>
</calcChain>
</file>

<file path=xl/sharedStrings.xml><?xml version="1.0" encoding="utf-8"?>
<sst xmlns="http://schemas.openxmlformats.org/spreadsheetml/2006/main" count="96" uniqueCount="70">
  <si>
    <t>Component</t>
  </si>
  <si>
    <t>Type</t>
  </si>
  <si>
    <t>Mass flow (kg/hr)</t>
  </si>
  <si>
    <t>Hydrogen</t>
  </si>
  <si>
    <t>kWh</t>
  </si>
  <si>
    <t>Block</t>
  </si>
  <si>
    <t>Compressor</t>
  </si>
  <si>
    <t>K-101</t>
  </si>
  <si>
    <t>K-100</t>
  </si>
  <si>
    <t>K-109</t>
  </si>
  <si>
    <t>Total</t>
  </si>
  <si>
    <t>Utility</t>
  </si>
  <si>
    <t>Load (kJ/h)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</si>
  <si>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</si>
  <si>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</si>
  <si>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</si>
  <si>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</si>
  <si>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>Feed</t>
  </si>
  <si>
    <t>LP Steam Generation</t>
  </si>
  <si>
    <t>MP Steam Generation</t>
  </si>
  <si>
    <t>K-102</t>
  </si>
  <si>
    <t>K-103</t>
  </si>
  <si>
    <t>K-104</t>
  </si>
  <si>
    <t>K-105</t>
  </si>
  <si>
    <t>Ethylene</t>
  </si>
  <si>
    <t>Product</t>
  </si>
  <si>
    <t>Waste water</t>
  </si>
  <si>
    <t>Emissions</t>
  </si>
  <si>
    <t>Caputred carbon dioxide</t>
  </si>
  <si>
    <t>kWh/kg propanol</t>
  </si>
  <si>
    <t>P-100</t>
  </si>
  <si>
    <t>Pump</t>
  </si>
  <si>
    <t>Data used for calculating the mass flow rate taken from Aspen Energy Analyzer</t>
  </si>
  <si>
    <t>Target load (kJ/h)</t>
  </si>
  <si>
    <t>Target flow rate (kg/h)</t>
  </si>
  <si>
    <t>Flow /kg propanol</t>
  </si>
  <si>
    <t>Flow rate (kg/h)</t>
  </si>
  <si>
    <t>K-106</t>
  </si>
  <si>
    <t>K-107</t>
  </si>
  <si>
    <t>K-108</t>
  </si>
  <si>
    <t>LP Steam</t>
  </si>
  <si>
    <t>HP Steam</t>
  </si>
  <si>
    <t>LP steam</t>
  </si>
  <si>
    <t>MP steam</t>
  </si>
  <si>
    <t>Net (kJ/h)</t>
  </si>
  <si>
    <t>HP steam</t>
  </si>
  <si>
    <t>Net (kg/h)</t>
  </si>
  <si>
    <t>Purge gas</t>
  </si>
  <si>
    <t>kg/kg propanol</t>
  </si>
  <si>
    <t>Biogas</t>
  </si>
  <si>
    <t>Water</t>
  </si>
  <si>
    <t>Cooling Water</t>
  </si>
  <si>
    <t>Fired Heat - Natural Gas</t>
  </si>
  <si>
    <t>Carbon dioxide</t>
  </si>
  <si>
    <t>Methane</t>
  </si>
  <si>
    <t>Oxygen</t>
  </si>
  <si>
    <t>CO</t>
  </si>
  <si>
    <t>CO2</t>
  </si>
  <si>
    <t>Ethane</t>
  </si>
  <si>
    <t>Propanal</t>
  </si>
  <si>
    <t>1-Propanol</t>
  </si>
  <si>
    <t>H2O</t>
  </si>
  <si>
    <t>MEAmine</t>
  </si>
  <si>
    <t>H2S</t>
  </si>
  <si>
    <t>TEGlycol</t>
  </si>
  <si>
    <t>Nitrogen</t>
  </si>
  <si>
    <t>Propene</t>
  </si>
  <si>
    <t>Methanol</t>
  </si>
  <si>
    <t>Methanol (99.8 wt %)</t>
  </si>
  <si>
    <t>Final product: Methanol (99.5 wt%)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</si>
</sst>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1" fontId="0" fillId="0" borderId="0" xfId="0" applyNumberForma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1" xfId="0" applyBorder="1"/>
    <xf numFmtId="2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64" fontId="0" fillId="2" borderId="1" xfId="0" applyNumberFormat="1" applyFont="1" applyFill="1" applyBorder="1" applyAlignment="1">
      <alignment horizontal="center"/>
    </xf>
    <xf numFmtId="2" fontId="0" fillId="0" borderId="0" xfId="0" applyNumberFormat="1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zoomScale="130" zoomScaleNormal="130" workbookViewId="0">
      <selection activeCell="C8" sqref="C8"/>
    </sheetView>
  </sheetViews>
  <sheetFormatPr defaultColWidth="9" defaultRowHeight="14.4" x14ac:dyDescent="0.3"/>
  <cols>
    <col min="1" max="1" width="33.88671875" style="1" bestFit="1" customWidth="1"/>
    <col min="2" max="2" width="21.109375" style="1" bestFit="1" customWidth="1"/>
    <col min="3" max="4" width="16.6640625" style="1" bestFit="1" customWidth="1"/>
    <col min="5" max="5" width="17" style="1" bestFit="1" customWidth="1"/>
    <col min="6" max="6" width="10.109375" style="1" bestFit="1" customWidth="1"/>
    <col min="7" max="16384" width="9" style="1"/>
  </cols>
  <sheetData>
    <row r="1" spans="1:8" x14ac:dyDescent="0.3">
      <c r="A1" s="2" t="s">
        <v>69</v>
      </c>
    </row>
    <row r="2" spans="1:8" x14ac:dyDescent="0.3">
      <c r="A2" s="2"/>
    </row>
    <row r="3" spans="1:8" x14ac:dyDescent="0.3">
      <c r="A3" s="6" t="s">
        <v>0</v>
      </c>
      <c r="B3" s="6" t="s">
        <v>1</v>
      </c>
      <c r="C3" s="6" t="s">
        <v>2</v>
      </c>
      <c r="D3" s="6" t="s">
        <v>48</v>
      </c>
      <c r="F3" s="1" t="s">
        <v>54</v>
      </c>
      <c r="G3" s="1">
        <v>266.454875502059</v>
      </c>
      <c r="H3" s="31">
        <f>G3/$C$12</f>
        <v>3.4609113287919682E-3</v>
      </c>
    </row>
    <row r="4" spans="1:8" x14ac:dyDescent="0.3">
      <c r="A4" s="3" t="s">
        <v>49</v>
      </c>
      <c r="B4" s="3" t="s">
        <v>17</v>
      </c>
      <c r="C4" s="4">
        <v>105460.319659424</v>
      </c>
      <c r="D4" s="5">
        <f t="shared" ref="D4:D12" si="0">C4/C$12</f>
        <v>1.3697959714927508</v>
      </c>
      <c r="E4" s="32">
        <f>D4/1.2</f>
        <v>1.1414966429106257</v>
      </c>
      <c r="F4" s="1" t="s">
        <v>55</v>
      </c>
      <c r="G4" s="1">
        <v>0</v>
      </c>
      <c r="H4" s="31">
        <f t="shared" ref="H4:H18" si="1">G4/$C$12</f>
        <v>0</v>
      </c>
    </row>
    <row r="5" spans="1:8" x14ac:dyDescent="0.3">
      <c r="A5" s="3" t="s">
        <v>53</v>
      </c>
      <c r="B5" s="3" t="s">
        <v>17</v>
      </c>
      <c r="C5" s="4">
        <v>13643.007240295399</v>
      </c>
      <c r="D5" s="5">
        <f t="shared" si="0"/>
        <v>0.17720538319203819</v>
      </c>
      <c r="F5" s="1" t="s">
        <v>56</v>
      </c>
      <c r="G5" s="1">
        <v>2462.12692227658</v>
      </c>
      <c r="H5" s="31">
        <f t="shared" si="1"/>
        <v>3.1979910077362693E-2</v>
      </c>
    </row>
    <row r="6" spans="1:8" x14ac:dyDescent="0.3">
      <c r="A6" s="3" t="s">
        <v>50</v>
      </c>
      <c r="B6" s="3" t="s">
        <v>17</v>
      </c>
      <c r="C6" s="4">
        <v>66980.143581390395</v>
      </c>
      <c r="D6" s="5">
        <f t="shared" si="0"/>
        <v>0.86998722499695957</v>
      </c>
      <c r="F6" s="1" t="s">
        <v>3</v>
      </c>
      <c r="G6" s="1">
        <v>79.869958283556102</v>
      </c>
      <c r="H6" s="31">
        <f t="shared" si="1"/>
        <v>1.0374095911469452E-3</v>
      </c>
    </row>
    <row r="7" spans="1:8" x14ac:dyDescent="0.3">
      <c r="A7" s="3" t="s">
        <v>24</v>
      </c>
      <c r="B7" s="3" t="s">
        <v>17</v>
      </c>
      <c r="C7" s="4">
        <v>0</v>
      </c>
      <c r="D7" s="5">
        <f t="shared" si="0"/>
        <v>0</v>
      </c>
      <c r="F7" s="1" t="s">
        <v>57</v>
      </c>
      <c r="G7" s="1">
        <v>4005.4388883996598</v>
      </c>
      <c r="H7" s="31">
        <f t="shared" si="1"/>
        <v>5.2025577687502926E-2</v>
      </c>
    </row>
    <row r="8" spans="1:8" x14ac:dyDescent="0.3">
      <c r="A8" s="3" t="s">
        <v>3</v>
      </c>
      <c r="B8" s="3" t="s">
        <v>17</v>
      </c>
      <c r="C8" s="4">
        <v>0</v>
      </c>
      <c r="D8" s="5">
        <f t="shared" si="0"/>
        <v>0</v>
      </c>
      <c r="F8" s="1" t="s">
        <v>24</v>
      </c>
      <c r="G8" s="33">
        <v>4.3935223472175503E-3</v>
      </c>
      <c r="H8" s="31">
        <f t="shared" si="1"/>
        <v>5.7066290253219258E-8</v>
      </c>
    </row>
    <row r="9" spans="1:8" x14ac:dyDescent="0.3">
      <c r="A9" s="3" t="s">
        <v>26</v>
      </c>
      <c r="B9" s="3" t="s">
        <v>27</v>
      </c>
      <c r="C9" s="4">
        <f>41255.3287473724+474.128379975897+7887.90600753486</f>
        <v>49617.363134883155</v>
      </c>
      <c r="D9" s="5">
        <f t="shared" si="0"/>
        <v>0.6444666994917686</v>
      </c>
      <c r="E9" s="1">
        <f>D9/1000</f>
        <v>6.4446669949176855E-4</v>
      </c>
      <c r="F9" s="1" t="s">
        <v>58</v>
      </c>
      <c r="G9" s="33">
        <v>6.0936283097891304E-3</v>
      </c>
      <c r="H9" s="31">
        <f t="shared" si="1"/>
        <v>7.91485132747503E-8</v>
      </c>
    </row>
    <row r="10" spans="1:8" x14ac:dyDescent="0.3">
      <c r="A10" s="3" t="s">
        <v>28</v>
      </c>
      <c r="B10" s="3" t="s">
        <v>27</v>
      </c>
      <c r="C10" s="4">
        <v>0</v>
      </c>
      <c r="D10" s="5">
        <f t="shared" si="0"/>
        <v>0</v>
      </c>
      <c r="F10" s="1" t="s">
        <v>59</v>
      </c>
      <c r="G10" s="33">
        <v>3.6715364298449102E-9</v>
      </c>
      <c r="H10" s="31">
        <f t="shared" si="1"/>
        <v>4.7688607687062105E-14</v>
      </c>
    </row>
    <row r="11" spans="1:8" x14ac:dyDescent="0.3">
      <c r="A11" s="3" t="s">
        <v>47</v>
      </c>
      <c r="B11" s="3" t="s">
        <v>27</v>
      </c>
      <c r="C11" s="4">
        <v>7748.1338363007098</v>
      </c>
      <c r="D11" s="5">
        <f t="shared" si="0"/>
        <v>0.10063844439146803</v>
      </c>
      <c r="F11" s="1" t="s">
        <v>60</v>
      </c>
      <c r="G11" s="1">
        <v>0</v>
      </c>
      <c r="H11" s="31">
        <f t="shared" si="1"/>
        <v>0</v>
      </c>
    </row>
    <row r="12" spans="1:8" x14ac:dyDescent="0.3">
      <c r="A12" s="10" t="s">
        <v>68</v>
      </c>
      <c r="B12" s="10" t="s">
        <v>25</v>
      </c>
      <c r="C12" s="22">
        <v>76989.801294639095</v>
      </c>
      <c r="D12" s="11">
        <f t="shared" si="0"/>
        <v>1</v>
      </c>
      <c r="F12" s="1" t="s">
        <v>61</v>
      </c>
      <c r="G12" s="1">
        <v>1.8578527330768799</v>
      </c>
      <c r="H12" s="31">
        <f t="shared" si="1"/>
        <v>2.4131153761092312E-5</v>
      </c>
    </row>
    <row r="13" spans="1:8" x14ac:dyDescent="0.3">
      <c r="F13" s="1" t="s">
        <v>62</v>
      </c>
      <c r="G13" s="1">
        <v>0</v>
      </c>
      <c r="H13" s="31">
        <f t="shared" si="1"/>
        <v>0</v>
      </c>
    </row>
    <row r="14" spans="1:8" x14ac:dyDescent="0.3">
      <c r="F14" s="1" t="s">
        <v>63</v>
      </c>
      <c r="G14" s="1">
        <v>0</v>
      </c>
      <c r="H14" s="31">
        <f t="shared" si="1"/>
        <v>0</v>
      </c>
    </row>
    <row r="15" spans="1:8" x14ac:dyDescent="0.3">
      <c r="F15" s="1" t="s">
        <v>64</v>
      </c>
      <c r="G15" s="1">
        <v>0</v>
      </c>
      <c r="H15" s="31">
        <f t="shared" si="1"/>
        <v>0</v>
      </c>
    </row>
    <row r="16" spans="1:8" x14ac:dyDescent="0.3">
      <c r="F16" s="1" t="s">
        <v>65</v>
      </c>
      <c r="G16" s="1">
        <v>0</v>
      </c>
      <c r="H16" s="31">
        <f t="shared" si="1"/>
        <v>0</v>
      </c>
    </row>
    <row r="17" spans="6:8" x14ac:dyDescent="0.3">
      <c r="F17" s="1" t="s">
        <v>66</v>
      </c>
      <c r="G17" s="33">
        <v>1.88438263108385E-6</v>
      </c>
      <c r="H17" s="31">
        <f t="shared" si="1"/>
        <v>2.4475743532215897E-11</v>
      </c>
    </row>
    <row r="18" spans="6:8" x14ac:dyDescent="0.3">
      <c r="F18" s="1" t="s">
        <v>67</v>
      </c>
      <c r="G18" s="1">
        <v>932.358893219278</v>
      </c>
      <c r="H18" s="31">
        <f t="shared" si="1"/>
        <v>1.211016105433434E-2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4"/>
  <sheetViews>
    <sheetView zoomScale="130" zoomScaleNormal="130" workbookViewId="0">
      <selection activeCell="H11" sqref="H11"/>
    </sheetView>
  </sheetViews>
  <sheetFormatPr defaultRowHeight="14.4" x14ac:dyDescent="0.3"/>
  <cols>
    <col min="1" max="1" width="9.5546875" style="1" bestFit="1" customWidth="1"/>
    <col min="2" max="2" width="15.6640625" style="1" bestFit="1" customWidth="1"/>
    <col min="3" max="3" width="11.6640625" style="1" bestFit="1" customWidth="1"/>
    <col min="4" max="4" width="16.5546875" style="1" bestFit="1" customWidth="1"/>
  </cols>
  <sheetData>
    <row r="2" spans="1:4" x14ac:dyDescent="0.3">
      <c r="A2" s="6" t="s">
        <v>5</v>
      </c>
      <c r="B2" s="6" t="s">
        <v>1</v>
      </c>
      <c r="C2" s="6" t="s">
        <v>4</v>
      </c>
      <c r="D2" s="6" t="s">
        <v>29</v>
      </c>
    </row>
    <row r="3" spans="1:4" x14ac:dyDescent="0.3">
      <c r="A3" s="15" t="s">
        <v>8</v>
      </c>
      <c r="B3" s="3" t="s">
        <v>6</v>
      </c>
      <c r="C3" s="19">
        <v>3888.73497775442</v>
      </c>
      <c r="D3" s="19">
        <f>C3/'Material streams'!C$12</f>
        <v>5.050974171075303E-2</v>
      </c>
    </row>
    <row r="4" spans="1:4" x14ac:dyDescent="0.3">
      <c r="A4" s="15" t="s">
        <v>7</v>
      </c>
      <c r="B4" s="15" t="s">
        <v>6</v>
      </c>
      <c r="C4" s="19">
        <v>4195.0303404911501</v>
      </c>
      <c r="D4" s="19">
        <f>C4/'Material streams'!C$12</f>
        <v>5.4488130504932938E-2</v>
      </c>
    </row>
    <row r="5" spans="1:4" x14ac:dyDescent="0.3">
      <c r="A5" s="15" t="s">
        <v>20</v>
      </c>
      <c r="B5" s="15" t="s">
        <v>6</v>
      </c>
      <c r="C5" s="19">
        <v>471.47947894190997</v>
      </c>
      <c r="D5" s="19">
        <f>C5/'Material streams'!C$12</f>
        <v>6.1239212338990634E-3</v>
      </c>
    </row>
    <row r="6" spans="1:4" x14ac:dyDescent="0.3">
      <c r="A6" s="15" t="s">
        <v>21</v>
      </c>
      <c r="B6" s="15" t="s">
        <v>6</v>
      </c>
      <c r="C6" s="19">
        <v>9549.5532402276895</v>
      </c>
      <c r="D6" s="19">
        <f>C6/'Material streams'!C$12</f>
        <v>0.12403660068794901</v>
      </c>
    </row>
    <row r="7" spans="1:4" x14ac:dyDescent="0.3">
      <c r="A7" s="15" t="s">
        <v>22</v>
      </c>
      <c r="B7" s="15" t="s">
        <v>6</v>
      </c>
      <c r="C7" s="19">
        <v>11235.7544792808</v>
      </c>
      <c r="D7" s="19">
        <f>C7/'Material streams'!C$12</f>
        <v>0.14593821896333639</v>
      </c>
    </row>
    <row r="8" spans="1:4" x14ac:dyDescent="0.3">
      <c r="A8" s="15" t="s">
        <v>23</v>
      </c>
      <c r="B8" s="15" t="s">
        <v>6</v>
      </c>
      <c r="C8" s="19">
        <v>3270.2764542885102</v>
      </c>
      <c r="D8" s="19">
        <f>C8/'Material streams'!C$12</f>
        <v>4.2476748858893652E-2</v>
      </c>
    </row>
    <row r="9" spans="1:4" x14ac:dyDescent="0.3">
      <c r="A9" s="15" t="s">
        <v>37</v>
      </c>
      <c r="B9" s="15" t="s">
        <v>6</v>
      </c>
      <c r="C9" s="19">
        <v>282.66402753039398</v>
      </c>
      <c r="D9" s="19">
        <f>C9/'Material streams'!C$12</f>
        <v>3.6714476823838257E-3</v>
      </c>
    </row>
    <row r="10" spans="1:4" x14ac:dyDescent="0.3">
      <c r="A10" s="15" t="s">
        <v>38</v>
      </c>
      <c r="B10" s="15" t="s">
        <v>6</v>
      </c>
      <c r="C10" s="19">
        <v>293.20057355966901</v>
      </c>
      <c r="D10" s="19">
        <f>C10/'Material streams'!C$12</f>
        <v>3.8083040692311145E-3</v>
      </c>
    </row>
    <row r="11" spans="1:4" x14ac:dyDescent="0.3">
      <c r="A11" s="15" t="s">
        <v>39</v>
      </c>
      <c r="B11" s="15" t="s">
        <v>6</v>
      </c>
      <c r="C11" s="19">
        <v>303.70040368295298</v>
      </c>
      <c r="D11" s="19">
        <f>C11/'Material streams'!C$12</f>
        <v>3.9446835629656325E-3</v>
      </c>
    </row>
    <row r="12" spans="1:4" x14ac:dyDescent="0.3">
      <c r="A12" s="15" t="s">
        <v>9</v>
      </c>
      <c r="B12" s="15" t="s">
        <v>6</v>
      </c>
      <c r="C12" s="19">
        <v>227.45810740975901</v>
      </c>
      <c r="D12" s="19">
        <f>C12/'Material streams'!C$12</f>
        <v>2.9543927063700216E-3</v>
      </c>
    </row>
    <row r="13" spans="1:4" x14ac:dyDescent="0.3">
      <c r="A13" s="3" t="s">
        <v>30</v>
      </c>
      <c r="B13" s="3" t="s">
        <v>31</v>
      </c>
      <c r="C13" s="5">
        <v>14.7760801377168</v>
      </c>
      <c r="D13" s="5">
        <f>C13/'Material streams'!C$12</f>
        <v>1.9192256492738446E-4</v>
      </c>
    </row>
    <row r="14" spans="1:4" x14ac:dyDescent="0.3">
      <c r="A14" s="3"/>
      <c r="B14" s="13" t="s">
        <v>10</v>
      </c>
      <c r="C14" s="21">
        <f>SUM(C3:C13)</f>
        <v>33732.628163304966</v>
      </c>
      <c r="D14" s="16">
        <f>SUM(D3:D13)</f>
        <v>0.43814411254564201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zoomScale="140" zoomScaleNormal="140" workbookViewId="0">
      <selection activeCell="D6" sqref="D6"/>
    </sheetView>
  </sheetViews>
  <sheetFormatPr defaultRowHeight="14.4" x14ac:dyDescent="0.3"/>
  <cols>
    <col min="1" max="1" width="32.5546875" customWidth="1"/>
    <col min="2" max="2" width="17.109375" bestFit="1" customWidth="1"/>
    <col min="3" max="3" width="20.33203125" customWidth="1"/>
    <col min="4" max="4" width="20" bestFit="1" customWidth="1"/>
    <col min="5" max="5" width="7.6640625" bestFit="1" customWidth="1"/>
    <col min="6" max="6" width="5" bestFit="1" customWidth="1"/>
    <col min="7" max="7" width="5.33203125" bestFit="1" customWidth="1"/>
    <col min="8" max="8" width="12.109375" bestFit="1" customWidth="1"/>
    <col min="9" max="9" width="14.5546875" bestFit="1" customWidth="1"/>
    <col min="10" max="10" width="10.33203125" bestFit="1" customWidth="1"/>
  </cols>
  <sheetData>
    <row r="1" spans="1:10" x14ac:dyDescent="0.3">
      <c r="A1" s="14" t="s">
        <v>11</v>
      </c>
      <c r="B1" s="14" t="s">
        <v>12</v>
      </c>
      <c r="C1" s="14" t="s">
        <v>36</v>
      </c>
      <c r="D1" s="8" t="s">
        <v>35</v>
      </c>
    </row>
    <row r="2" spans="1:10" x14ac:dyDescent="0.3">
      <c r="A2" s="17" t="s">
        <v>51</v>
      </c>
      <c r="B2" s="20">
        <v>694670792.66480899</v>
      </c>
      <c r="C2" s="23">
        <f>B2/D11/G11</f>
        <v>33213999.171159886</v>
      </c>
      <c r="D2" s="24">
        <f>C2/'Material streams'!C$12</f>
        <v>431.40777885697207</v>
      </c>
      <c r="H2" s="26"/>
      <c r="I2" s="3" t="s">
        <v>44</v>
      </c>
      <c r="J2" s="26" t="s">
        <v>46</v>
      </c>
    </row>
    <row r="3" spans="1:10" x14ac:dyDescent="0.3">
      <c r="A3" s="10" t="s">
        <v>19</v>
      </c>
      <c r="B3" s="27">
        <v>0</v>
      </c>
      <c r="C3" s="27">
        <f t="shared" ref="C3:C5" si="0">B3/D12/G12</f>
        <v>0</v>
      </c>
      <c r="D3" s="29">
        <f>C3/'Material streams'!C$12</f>
        <v>0</v>
      </c>
      <c r="E3" s="25"/>
      <c r="H3" s="3" t="s">
        <v>42</v>
      </c>
      <c r="I3" s="4">
        <f>B5-B4</f>
        <v>0</v>
      </c>
      <c r="J3" s="4">
        <f>C5-C4</f>
        <v>0</v>
      </c>
    </row>
    <row r="4" spans="1:10" x14ac:dyDescent="0.3">
      <c r="A4" s="10" t="s">
        <v>18</v>
      </c>
      <c r="B4" s="27">
        <v>0</v>
      </c>
      <c r="C4" s="27">
        <f t="shared" si="0"/>
        <v>0</v>
      </c>
      <c r="D4" s="29">
        <f>C4/'Material streams'!C$12</f>
        <v>0</v>
      </c>
      <c r="E4" s="25"/>
      <c r="H4" s="3" t="s">
        <v>43</v>
      </c>
      <c r="I4" s="4">
        <f>-B3</f>
        <v>0</v>
      </c>
      <c r="J4" s="4">
        <f>-C3</f>
        <v>0</v>
      </c>
    </row>
    <row r="5" spans="1:10" x14ac:dyDescent="0.3">
      <c r="A5" s="28" t="s">
        <v>40</v>
      </c>
      <c r="B5" s="27">
        <v>0</v>
      </c>
      <c r="C5" s="27">
        <f t="shared" si="0"/>
        <v>0</v>
      </c>
      <c r="D5" s="29">
        <f>C5/'Material streams'!C$12</f>
        <v>0</v>
      </c>
      <c r="H5" s="3" t="s">
        <v>45</v>
      </c>
      <c r="I5" s="4">
        <f>B6</f>
        <v>156941409.83877701</v>
      </c>
      <c r="J5" s="4">
        <f>C6</f>
        <v>92155.8484079724</v>
      </c>
    </row>
    <row r="6" spans="1:10" x14ac:dyDescent="0.3">
      <c r="A6" s="15" t="s">
        <v>41</v>
      </c>
      <c r="B6" s="18">
        <v>156941409.83877701</v>
      </c>
      <c r="C6" s="18">
        <f>B6/D15/G15</f>
        <v>92155.8484079724</v>
      </c>
      <c r="D6" s="19">
        <f>C6/'Material streams'!C$12</f>
        <v>1.1969877419905659</v>
      </c>
      <c r="E6" s="25"/>
      <c r="H6" s="9" t="s">
        <v>10</v>
      </c>
      <c r="I6" s="21">
        <f>SUM(I3:I5)</f>
        <v>156941409.83877701</v>
      </c>
      <c r="J6" s="21">
        <f>SUM(J3:J5)</f>
        <v>92155.8484079724</v>
      </c>
    </row>
    <row r="7" spans="1:10" x14ac:dyDescent="0.3">
      <c r="A7" s="15" t="s">
        <v>52</v>
      </c>
      <c r="B7" s="18">
        <v>639577745.90786695</v>
      </c>
      <c r="C7" s="18">
        <f>B7/D16/G16</f>
        <v>13579.145348362355</v>
      </c>
      <c r="D7" s="19">
        <f>C7/'Material streams'!C$12</f>
        <v>0.17637589810623255</v>
      </c>
      <c r="E7">
        <f>D7/0.68</f>
        <v>0.2593763207444596</v>
      </c>
    </row>
    <row r="9" spans="1:10" x14ac:dyDescent="0.3">
      <c r="A9" s="7" t="s">
        <v>32</v>
      </c>
    </row>
    <row r="10" spans="1:10" ht="15.6" x14ac:dyDescent="0.35">
      <c r="A10" s="6" t="s">
        <v>11</v>
      </c>
      <c r="B10" s="6" t="s">
        <v>33</v>
      </c>
      <c r="C10" s="6" t="s">
        <v>34</v>
      </c>
      <c r="D10" s="6" t="s">
        <v>13</v>
      </c>
      <c r="E10" s="9" t="s">
        <v>15</v>
      </c>
      <c r="F10" s="9" t="s">
        <v>16</v>
      </c>
      <c r="G10" s="9" t="s">
        <v>14</v>
      </c>
    </row>
    <row r="11" spans="1:10" x14ac:dyDescent="0.3">
      <c r="A11" s="17" t="s">
        <v>51</v>
      </c>
      <c r="B11" s="18">
        <v>712817199.31250501</v>
      </c>
      <c r="C11" s="18">
        <v>34081625.594669104</v>
      </c>
      <c r="D11" s="15">
        <v>4.1829999999999998</v>
      </c>
      <c r="E11" s="17">
        <v>15</v>
      </c>
      <c r="F11" s="17">
        <v>20</v>
      </c>
      <c r="G11" s="15">
        <f t="shared" ref="G11:G16" si="1">F11-E11</f>
        <v>5</v>
      </c>
    </row>
    <row r="12" spans="1:10" x14ac:dyDescent="0.3">
      <c r="A12" s="10" t="s">
        <v>19</v>
      </c>
      <c r="B12" s="27">
        <v>0</v>
      </c>
      <c r="C12" s="27">
        <v>0</v>
      </c>
      <c r="D12" s="28">
        <v>1</v>
      </c>
      <c r="E12" s="28">
        <v>0</v>
      </c>
      <c r="F12" s="28">
        <v>1</v>
      </c>
      <c r="G12" s="28">
        <f t="shared" si="1"/>
        <v>1</v>
      </c>
    </row>
    <row r="13" spans="1:10" x14ac:dyDescent="0.3">
      <c r="A13" s="10" t="s">
        <v>18</v>
      </c>
      <c r="B13" s="27">
        <v>0</v>
      </c>
      <c r="C13" s="27">
        <v>0</v>
      </c>
      <c r="D13" s="28">
        <v>1</v>
      </c>
      <c r="E13" s="28">
        <v>0</v>
      </c>
      <c r="F13" s="28">
        <v>1</v>
      </c>
      <c r="G13" s="28">
        <f t="shared" si="1"/>
        <v>1</v>
      </c>
    </row>
    <row r="14" spans="1:10" x14ac:dyDescent="0.3">
      <c r="A14" s="28" t="s">
        <v>40</v>
      </c>
      <c r="B14" s="27">
        <v>0</v>
      </c>
      <c r="C14" s="27">
        <v>0</v>
      </c>
      <c r="D14" s="28">
        <v>1</v>
      </c>
      <c r="E14" s="28">
        <v>0</v>
      </c>
      <c r="F14" s="28">
        <v>1</v>
      </c>
      <c r="G14" s="28">
        <f t="shared" si="1"/>
        <v>1</v>
      </c>
    </row>
    <row r="15" spans="1:10" x14ac:dyDescent="0.3">
      <c r="A15" s="15" t="s">
        <v>41</v>
      </c>
      <c r="B15" s="18">
        <v>175087816.48636401</v>
      </c>
      <c r="C15" s="18">
        <v>102805.364621199</v>
      </c>
      <c r="D15" s="15">
        <v>1703</v>
      </c>
      <c r="E15" s="15">
        <v>249</v>
      </c>
      <c r="F15" s="15">
        <v>250</v>
      </c>
      <c r="G15" s="15">
        <f t="shared" si="1"/>
        <v>1</v>
      </c>
    </row>
    <row r="16" spans="1:10" x14ac:dyDescent="0.3">
      <c r="A16" s="15" t="s">
        <v>52</v>
      </c>
      <c r="B16" s="18">
        <v>639577745.90797603</v>
      </c>
      <c r="C16" s="18">
        <v>13579.1453483647</v>
      </c>
      <c r="D16" s="15">
        <v>47100</v>
      </c>
      <c r="E16" s="15">
        <v>1246</v>
      </c>
      <c r="F16" s="15">
        <v>1247</v>
      </c>
      <c r="G16" s="15">
        <f t="shared" si="1"/>
        <v>1</v>
      </c>
      <c r="I16" s="30">
        <f>C2+'Material streams'!C6</f>
        <v>33280979.314741276</v>
      </c>
    </row>
    <row r="17" spans="5:5" x14ac:dyDescent="0.3">
      <c r="E17" s="12"/>
    </row>
    <row r="18" spans="5:5" x14ac:dyDescent="0.3">
      <c r="E18" s="12"/>
    </row>
    <row r="19" spans="5:5" x14ac:dyDescent="0.3">
      <c r="E19" s="12"/>
    </row>
    <row r="20" spans="5:5" x14ac:dyDescent="0.3">
      <c r="E20" s="12"/>
    </row>
    <row r="21" spans="5:5" x14ac:dyDescent="0.3">
      <c r="E21" s="12"/>
    </row>
    <row r="22" spans="5:5" x14ac:dyDescent="0.3">
      <c r="E22" s="12"/>
    </row>
    <row r="23" spans="5:5" x14ac:dyDescent="0.3">
      <c r="E23" s="12"/>
    </row>
    <row r="24" spans="5:5" x14ac:dyDescent="0.3">
      <c r="E24" s="12"/>
    </row>
    <row r="25" spans="5:5" x14ac:dyDescent="0.3">
      <c r="E25" s="12"/>
    </row>
    <row r="26" spans="5:5" x14ac:dyDescent="0.3">
      <c r="E26" s="12"/>
    </row>
  </sheetData>
  <conditionalFormatting sqref="I6 J6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2023-04-18T08:18:57Z</dcterms:modified>
</cp:coreProperties>
</file>