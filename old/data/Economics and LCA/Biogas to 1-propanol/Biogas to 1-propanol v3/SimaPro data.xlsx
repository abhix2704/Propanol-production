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Biogas to 1-propanol\Biogas to 1-propanol v3\"/>
    </mc:Choice>
  </mc:AlternateContent>
  <xr:revisionPtr revIDLastSave="0" documentId="13_ncr:1_{FCAFF0EA-F55B-45D2-B117-2C9212B7F18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aterial streams" sheetId="1" r:id="rId1"/>
    <sheet name="Electricity" sheetId="2" r:id="rId2"/>
    <sheet name="Utilities" sheetId="3" r:id="rId3"/>
    <sheet name="Hydroformylation catalys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I5" i="3" l="1"/>
  <c r="I4" i="3"/>
  <c r="I3" i="3"/>
  <c r="C23" i="2"/>
  <c r="D22" i="2"/>
  <c r="D18" i="2"/>
  <c r="C8" i="1"/>
  <c r="D17" i="2"/>
  <c r="D16" i="2"/>
  <c r="D15" i="2"/>
  <c r="D14" i="2"/>
  <c r="D13" i="2"/>
  <c r="D12" i="2"/>
  <c r="D11" i="2"/>
  <c r="D10" i="2"/>
  <c r="D9" i="2"/>
  <c r="I6" i="3" l="1"/>
  <c r="D1" i="6"/>
  <c r="F4" i="6"/>
  <c r="G16" i="3"/>
  <c r="G15" i="3"/>
  <c r="C6" i="3" s="1"/>
  <c r="J5" i="3" s="1"/>
  <c r="D21" i="2"/>
  <c r="D7" i="1"/>
  <c r="C7" i="3" l="1"/>
  <c r="D7" i="3" s="1"/>
  <c r="D6" i="3"/>
  <c r="G4" i="6"/>
  <c r="D6" i="2"/>
  <c r="D5" i="2"/>
  <c r="D4" i="2"/>
  <c r="D3" i="2"/>
  <c r="G11" i="3"/>
  <c r="G12" i="3"/>
  <c r="C3" i="3" s="1"/>
  <c r="J4" i="3" s="1"/>
  <c r="G13" i="3"/>
  <c r="C4" i="3" s="1"/>
  <c r="C2" i="3" l="1"/>
  <c r="D2" i="3" s="1"/>
  <c r="D4" i="3"/>
  <c r="D3" i="3"/>
  <c r="D6" i="1"/>
  <c r="G14" i="3" l="1"/>
  <c r="C5" i="3" s="1"/>
  <c r="J3" i="3" l="1"/>
  <c r="J6" i="3" s="1"/>
  <c r="J7" i="3" s="1"/>
  <c r="D5" i="3"/>
  <c r="D20" i="2"/>
  <c r="D19" i="2"/>
  <c r="D8" i="2"/>
  <c r="D7" i="2"/>
  <c r="D11" i="1"/>
  <c r="D10" i="1"/>
  <c r="D9" i="1"/>
  <c r="D8" i="1"/>
  <c r="E8" i="1" s="1"/>
  <c r="D5" i="1"/>
  <c r="D4" i="1"/>
  <c r="E4" i="1" s="1"/>
  <c r="D23" i="2" l="1"/>
</calcChain>
</file>

<file path=xl/sharedStrings.xml><?xml version="1.0" encoding="utf-8"?>
<sst xmlns="http://schemas.openxmlformats.org/spreadsheetml/2006/main" count="123" uniqueCount="89">
  <si>
    <t>Component</t>
  </si>
  <si>
    <t>Type</t>
  </si>
  <si>
    <t>Mass flow (kg/hr)</t>
  </si>
  <si>
    <t>Hydrogen</t>
  </si>
  <si>
    <t>kWh</t>
  </si>
  <si>
    <t>Block</t>
  </si>
  <si>
    <t>Compressor</t>
  </si>
  <si>
    <t>K-101</t>
  </si>
  <si>
    <t>K-100</t>
  </si>
  <si>
    <t>K-109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</si>
  <si>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</si>
  <si>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</si>
  <si>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</si>
  <si>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</si>
  <si>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</si>
  <si>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</si>
  <si>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</si>
  <si>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>Feed</t>
  </si>
  <si>
    <t>LP Steam Generation</t>
  </si>
  <si>
    <t>MP Steam Generation</t>
  </si>
  <si>
    <t>K-102</t>
  </si>
  <si>
    <t>K-103</t>
  </si>
  <si>
    <t>K-104</t>
  </si>
  <si>
    <t>K-105</t>
  </si>
  <si>
    <t>Unit operation</t>
  </si>
  <si>
    <t>Catalyst used</t>
  </si>
  <si>
    <t>Ethylene</t>
  </si>
  <si>
    <t>1-propanol (99.8 wt %)</t>
  </si>
  <si>
    <t>Product</t>
  </si>
  <si>
    <t>Waste water</t>
  </si>
  <si>
    <t>Emissions</t>
  </si>
  <si>
    <t>Caputred carbon dioxide</t>
  </si>
  <si>
    <t>kWh/kg propanol</t>
  </si>
  <si>
    <t>P-100</t>
  </si>
  <si>
    <t>P-101</t>
  </si>
  <si>
    <t>Pump</t>
  </si>
  <si>
    <t>P-102</t>
  </si>
  <si>
    <t>Data used for calculating the mass flow rate taken from Aspen Energy Analyzer</t>
  </si>
  <si>
    <t>Target load (kJ/h)</t>
  </si>
  <si>
    <t>Target flow rate (kg/h)</t>
  </si>
  <si>
    <t>Flow /kg propanol</t>
  </si>
  <si>
    <t>Flow rate (kg/h)</t>
  </si>
  <si>
    <t>Propanol produced</t>
  </si>
  <si>
    <t>Hydroformylation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</si>
  <si>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</si>
  <si>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Price ($/kg)</t>
  </si>
  <si>
    <t>kg/hr</t>
  </si>
  <si>
    <r>
      <t>Loading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</si>
  <si>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Reactor volume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</si>
  <si>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Catalyst required (kg/hr)</t>
  </si>
  <si>
    <t>Catalyst required (kg/kg propanol)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</si>
  <si>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</si>
  <si>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</si>
  <si>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</si>
  <si>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</si>
  <si>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</si>
  <si>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</si>
  <si>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</si>
  <si>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</si>
  <si>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LP Steam</t>
  </si>
  <si>
    <t>HP Steam</t>
  </si>
  <si>
    <t>LP steam</t>
  </si>
  <si>
    <t>MP steam</t>
  </si>
  <si>
    <t>Net (kJ/h)</t>
  </si>
  <si>
    <t>HP steam</t>
  </si>
  <si>
    <t>Net (kg/h)</t>
  </si>
  <si>
    <t>Purge gas</t>
  </si>
  <si>
    <t>kg/kg propanol</t>
  </si>
  <si>
    <t>Final product: 1-propanol (99.8 wt%)</t>
  </si>
  <si>
    <t>Biogas</t>
  </si>
  <si>
    <t>Water</t>
  </si>
  <si>
    <t>K-115</t>
  </si>
  <si>
    <t>P-103</t>
  </si>
  <si>
    <t>Cooling Water</t>
  </si>
  <si>
    <t>Fired Heat - Natural Gas</t>
  </si>
  <si>
    <t>Methane</t>
  </si>
  <si>
    <t>Oxygen</t>
  </si>
  <si>
    <t>CO</t>
  </si>
  <si>
    <t>CO2</t>
  </si>
  <si>
    <t>Ethane</t>
  </si>
  <si>
    <t>Propanal</t>
  </si>
  <si>
    <t>1-Propanol</t>
  </si>
  <si>
    <t>H2O</t>
  </si>
  <si>
    <t>MEAmine</t>
  </si>
  <si>
    <t>H2S</t>
  </si>
  <si>
    <t>TEGlycol</t>
  </si>
  <si>
    <t>Nitrogen</t>
  </si>
  <si>
    <t>Propene</t>
  </si>
  <si>
    <t>Purge gas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</si>
</sst>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1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64" fontId="0" fillId="0" borderId="0" xfId="0" applyNumberFormat="1"/>
    <xf numFmtId="0" fontId="0" fillId="0" borderId="1" xfId="0" applyBorder="1"/>
    <xf numFmtId="1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30" zoomScaleNormal="130" workbookViewId="0">
      <selection activeCell="E12" sqref="E12"/>
    </sheetView>
  </sheetViews>
  <sheetFormatPr defaultColWidth="9" defaultRowHeight="14.4" x14ac:dyDescent="0.3"/>
  <cols>
    <col min="1" max="1" width="33.88671875" style="1" bestFit="1" customWidth="1"/>
    <col min="2" max="2" width="21.109375" style="1" bestFit="1" customWidth="1"/>
    <col min="3" max="4" width="16.6640625" style="1" bestFit="1" customWidth="1"/>
    <col min="5" max="5" width="17" style="1" bestFit="1" customWidth="1"/>
    <col min="6" max="6" width="10.109375" style="1" bestFit="1" customWidth="1"/>
    <col min="7" max="16384" width="9" style="1"/>
  </cols>
  <sheetData>
    <row r="1" spans="1:8" x14ac:dyDescent="0.3">
      <c r="A1" s="2" t="s">
        <v>68</v>
      </c>
    </row>
    <row r="2" spans="1:8" x14ac:dyDescent="0.3">
      <c r="A2" s="2"/>
      <c r="F2" s="36" t="s">
        <v>88</v>
      </c>
      <c r="G2" s="36"/>
      <c r="H2" s="36"/>
    </row>
    <row r="3" spans="1:8" x14ac:dyDescent="0.3">
      <c r="A3" s="6" t="s">
        <v>0</v>
      </c>
      <c r="B3" s="6" t="s">
        <v>1</v>
      </c>
      <c r="C3" s="6" t="s">
        <v>2</v>
      </c>
      <c r="D3" s="6" t="s">
        <v>67</v>
      </c>
      <c r="F3" s="1" t="s">
        <v>75</v>
      </c>
      <c r="G3" s="1">
        <v>13.911761081255699</v>
      </c>
      <c r="H3" s="33">
        <f>G3/$C$11</f>
        <v>2.4749922837044802E-4</v>
      </c>
    </row>
    <row r="4" spans="1:8" x14ac:dyDescent="0.3">
      <c r="A4" s="3" t="s">
        <v>69</v>
      </c>
      <c r="B4" s="3" t="s">
        <v>17</v>
      </c>
      <c r="C4" s="4">
        <v>31276.758835632299</v>
      </c>
      <c r="D4" s="5">
        <f t="shared" ref="D4:D11" si="0">C4/C$11</f>
        <v>0.55643377086007817</v>
      </c>
      <c r="E4" s="34">
        <f>D4/1.229</f>
        <v>0.45275327165181295</v>
      </c>
      <c r="F4" s="1" t="s">
        <v>76</v>
      </c>
      <c r="G4" s="1">
        <v>0</v>
      </c>
      <c r="H4" s="33">
        <f t="shared" ref="H4:H17" si="1">G4/$C$11</f>
        <v>0</v>
      </c>
    </row>
    <row r="5" spans="1:8" x14ac:dyDescent="0.3">
      <c r="A5" s="3" t="s">
        <v>70</v>
      </c>
      <c r="B5" s="3" t="s">
        <v>17</v>
      </c>
      <c r="C5" s="4">
        <v>19865.071147327399</v>
      </c>
      <c r="D5" s="5">
        <f t="shared" si="0"/>
        <v>0.35341246530693021</v>
      </c>
      <c r="F5" s="1" t="s">
        <v>77</v>
      </c>
      <c r="G5" s="32">
        <v>7.6212392389346698E-2</v>
      </c>
      <c r="H5" s="33">
        <f t="shared" si="1"/>
        <v>1.3558677581117971E-6</v>
      </c>
    </row>
    <row r="6" spans="1:8" x14ac:dyDescent="0.3">
      <c r="A6" s="3" t="s">
        <v>26</v>
      </c>
      <c r="B6" s="3" t="s">
        <v>17</v>
      </c>
      <c r="C6" s="4">
        <v>26577.148090737399</v>
      </c>
      <c r="D6" s="5">
        <f t="shared" si="0"/>
        <v>0.47282465579482957</v>
      </c>
      <c r="F6" s="1" t="s">
        <v>3</v>
      </c>
      <c r="G6" s="1">
        <v>0.31231803060398</v>
      </c>
      <c r="H6" s="33">
        <f t="shared" si="1"/>
        <v>5.5563397853930032E-6</v>
      </c>
    </row>
    <row r="7" spans="1:8" x14ac:dyDescent="0.3">
      <c r="A7" s="3" t="s">
        <v>3</v>
      </c>
      <c r="B7" s="3" t="s">
        <v>17</v>
      </c>
      <c r="C7" s="4">
        <v>0</v>
      </c>
      <c r="D7" s="5">
        <f t="shared" ref="D7" si="2">C7/C$11</f>
        <v>0</v>
      </c>
      <c r="F7" s="1" t="s">
        <v>78</v>
      </c>
      <c r="G7" s="32">
        <v>9.8417665476738705E-2</v>
      </c>
      <c r="H7" s="33">
        <f t="shared" si="1"/>
        <v>1.750913929677341E-6</v>
      </c>
    </row>
    <row r="8" spans="1:8" x14ac:dyDescent="0.3">
      <c r="A8" s="3" t="s">
        <v>29</v>
      </c>
      <c r="B8" s="3" t="s">
        <v>30</v>
      </c>
      <c r="C8" s="4">
        <f>10723.4515455956+158.838027476178+183.426811716612+64.8672936498342+158.806849041151</f>
        <v>11289.390527479376</v>
      </c>
      <c r="D8" s="5">
        <f t="shared" si="0"/>
        <v>0.20084555995491471</v>
      </c>
      <c r="E8" s="35">
        <f>D8/1000</f>
        <v>2.0084555995491472E-4</v>
      </c>
      <c r="F8" s="1" t="s">
        <v>26</v>
      </c>
      <c r="G8" s="32">
        <v>2.4563603644045198E-4</v>
      </c>
      <c r="H8" s="33">
        <f t="shared" si="1"/>
        <v>4.3700239763965011E-9</v>
      </c>
    </row>
    <row r="9" spans="1:8" x14ac:dyDescent="0.3">
      <c r="A9" s="3" t="s">
        <v>31</v>
      </c>
      <c r="B9" s="3" t="s">
        <v>30</v>
      </c>
      <c r="C9" s="4">
        <v>10324.7820425958</v>
      </c>
      <c r="D9" s="5">
        <f t="shared" si="0"/>
        <v>0.18368455105792159</v>
      </c>
      <c r="F9" s="1" t="s">
        <v>79</v>
      </c>
      <c r="G9" s="1">
        <v>2.55759668380525</v>
      </c>
      <c r="H9" s="33">
        <f t="shared" si="1"/>
        <v>4.5501299370178675E-5</v>
      </c>
    </row>
    <row r="10" spans="1:8" x14ac:dyDescent="0.3">
      <c r="A10" s="3" t="s">
        <v>66</v>
      </c>
      <c r="B10" s="3" t="s">
        <v>30</v>
      </c>
      <c r="C10" s="4">
        <v>19.2402204614209</v>
      </c>
      <c r="D10" s="5">
        <f t="shared" si="0"/>
        <v>3.4229596742392857E-4</v>
      </c>
      <c r="F10" s="1" t="s">
        <v>80</v>
      </c>
      <c r="G10" s="1">
        <v>0</v>
      </c>
      <c r="H10" s="33">
        <f t="shared" si="1"/>
        <v>0</v>
      </c>
    </row>
    <row r="11" spans="1:8" x14ac:dyDescent="0.3">
      <c r="A11" s="10" t="s">
        <v>27</v>
      </c>
      <c r="B11" s="10" t="s">
        <v>28</v>
      </c>
      <c r="C11" s="25">
        <v>56209.310925337799</v>
      </c>
      <c r="D11" s="11">
        <f t="shared" si="0"/>
        <v>1</v>
      </c>
      <c r="F11" s="1" t="s">
        <v>81</v>
      </c>
      <c r="G11" s="1">
        <v>2.2750201833827801</v>
      </c>
      <c r="H11" s="33">
        <f t="shared" si="1"/>
        <v>4.0474080644835942E-5</v>
      </c>
    </row>
    <row r="12" spans="1:8" x14ac:dyDescent="0.3">
      <c r="F12" s="1" t="s">
        <v>82</v>
      </c>
      <c r="G12" s="32">
        <v>8.6505138302360104E-3</v>
      </c>
      <c r="H12" s="33">
        <f t="shared" si="1"/>
        <v>1.5389823657020794E-7</v>
      </c>
    </row>
    <row r="13" spans="1:8" x14ac:dyDescent="0.3">
      <c r="F13" s="1" t="s">
        <v>83</v>
      </c>
      <c r="G13" s="32">
        <v>1.0984129372402801E-10</v>
      </c>
      <c r="H13" s="33">
        <f t="shared" si="1"/>
        <v>1.9541476654984966E-15</v>
      </c>
    </row>
    <row r="14" spans="1:8" x14ac:dyDescent="0.3">
      <c r="F14" s="1" t="s">
        <v>84</v>
      </c>
      <c r="G14" s="1">
        <v>0</v>
      </c>
      <c r="H14" s="33">
        <f t="shared" si="1"/>
        <v>0</v>
      </c>
    </row>
    <row r="15" spans="1:8" x14ac:dyDescent="0.3">
      <c r="F15" s="1" t="s">
        <v>85</v>
      </c>
      <c r="G15" s="32">
        <v>9.5892276385245994E-8</v>
      </c>
      <c r="H15" s="33">
        <f t="shared" si="1"/>
        <v>1.7059856242076803E-12</v>
      </c>
    </row>
    <row r="16" spans="1:8" x14ac:dyDescent="0.3">
      <c r="F16" s="1" t="s">
        <v>86</v>
      </c>
      <c r="G16" s="32">
        <v>1.25216393968525E-9</v>
      </c>
      <c r="H16" s="33">
        <f t="shared" si="1"/>
        <v>2.2276806441347155E-14</v>
      </c>
    </row>
    <row r="17" spans="6:8" x14ac:dyDescent="0.3">
      <c r="F17" s="1" t="s">
        <v>87</v>
      </c>
      <c r="G17" s="32">
        <v>1.02393112757062E-7</v>
      </c>
      <c r="H17" s="33">
        <f t="shared" si="1"/>
        <v>1.8216397082872913E-12</v>
      </c>
    </row>
  </sheetData>
  <mergeCells count="1">
    <mergeCell ref="F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3"/>
  <sheetViews>
    <sheetView zoomScale="130" zoomScaleNormal="130" workbookViewId="0">
      <selection activeCell="D23" sqref="D23"/>
    </sheetView>
  </sheetViews>
  <sheetFormatPr defaultRowHeight="14.4" x14ac:dyDescent="0.3"/>
  <cols>
    <col min="1" max="1" width="9.5546875" style="1" bestFit="1" customWidth="1"/>
    <col min="2" max="2" width="15.6640625" style="1" bestFit="1" customWidth="1"/>
    <col min="3" max="3" width="11.6640625" style="1" bestFit="1" customWidth="1"/>
    <col min="4" max="4" width="16.5546875" style="1" bestFit="1" customWidth="1"/>
  </cols>
  <sheetData>
    <row r="2" spans="1:4" x14ac:dyDescent="0.3">
      <c r="A2" s="6" t="s">
        <v>5</v>
      </c>
      <c r="B2" s="6" t="s">
        <v>1</v>
      </c>
      <c r="C2" s="6" t="s">
        <v>4</v>
      </c>
      <c r="D2" s="6" t="s">
        <v>32</v>
      </c>
    </row>
    <row r="3" spans="1:4" x14ac:dyDescent="0.3">
      <c r="A3" s="15" t="s">
        <v>8</v>
      </c>
      <c r="B3" s="3" t="s">
        <v>6</v>
      </c>
      <c r="C3" s="19">
        <v>1172.9430399068699</v>
      </c>
      <c r="D3" s="19">
        <f>C3/'Material streams'!C$11</f>
        <v>2.0867415390750422E-2</v>
      </c>
    </row>
    <row r="4" spans="1:4" x14ac:dyDescent="0.3">
      <c r="A4" s="15" t="s">
        <v>7</v>
      </c>
      <c r="B4" s="15" t="s">
        <v>6</v>
      </c>
      <c r="C4" s="19">
        <v>1264.38305194192</v>
      </c>
      <c r="D4" s="19">
        <f>C4/'Material streams'!C$11</f>
        <v>2.2494192352249007E-2</v>
      </c>
    </row>
    <row r="5" spans="1:4" x14ac:dyDescent="0.3">
      <c r="A5" s="15" t="s">
        <v>20</v>
      </c>
      <c r="B5" s="15" t="s">
        <v>6</v>
      </c>
      <c r="C5" s="19">
        <v>142.01897401350999</v>
      </c>
      <c r="D5" s="19">
        <f>C5/'Material streams'!C$11</f>
        <v>2.5266094117779208E-3</v>
      </c>
    </row>
    <row r="6" spans="1:4" x14ac:dyDescent="0.3">
      <c r="A6" s="15" t="s">
        <v>21</v>
      </c>
      <c r="B6" s="15" t="s">
        <v>6</v>
      </c>
      <c r="C6" s="19">
        <v>3173.0777313158501</v>
      </c>
      <c r="D6" s="19">
        <f>C6/'Material streams'!C$11</f>
        <v>5.6451105325425778E-2</v>
      </c>
    </row>
    <row r="7" spans="1:4" x14ac:dyDescent="0.3">
      <c r="A7" s="15" t="s">
        <v>22</v>
      </c>
      <c r="B7" s="15" t="s">
        <v>6</v>
      </c>
      <c r="C7" s="19">
        <v>1764.5252528710801</v>
      </c>
      <c r="D7" s="19">
        <f>C7/'Material streams'!C$11</f>
        <v>3.1392045620606865E-2</v>
      </c>
    </row>
    <row r="8" spans="1:4" x14ac:dyDescent="0.3">
      <c r="A8" s="15" t="s">
        <v>23</v>
      </c>
      <c r="B8" s="15" t="s">
        <v>6</v>
      </c>
      <c r="C8" s="19">
        <v>195.36919999483101</v>
      </c>
      <c r="D8" s="19">
        <f>C8/'Material streams'!C$11</f>
        <v>3.4757444412427995E-3</v>
      </c>
    </row>
    <row r="9" spans="1:4" x14ac:dyDescent="0.3">
      <c r="A9" s="15" t="s">
        <v>51</v>
      </c>
      <c r="B9" s="15" t="s">
        <v>6</v>
      </c>
      <c r="C9" s="19">
        <v>59.109904397035301</v>
      </c>
      <c r="D9" s="19">
        <f>C9/'Material streams'!C$11</f>
        <v>1.0516034340920907E-3</v>
      </c>
    </row>
    <row r="10" spans="1:4" x14ac:dyDescent="0.3">
      <c r="A10" s="15" t="s">
        <v>52</v>
      </c>
      <c r="B10" s="15" t="s">
        <v>6</v>
      </c>
      <c r="C10" s="19">
        <v>2.3645927643483899</v>
      </c>
      <c r="D10" s="19">
        <f>C10/'Material streams'!C$11</f>
        <v>4.2067634799673177E-5</v>
      </c>
    </row>
    <row r="11" spans="1:4" x14ac:dyDescent="0.3">
      <c r="A11" s="15" t="s">
        <v>53</v>
      </c>
      <c r="B11" s="15" t="s">
        <v>6</v>
      </c>
      <c r="C11" s="19">
        <v>2.52013025051335</v>
      </c>
      <c r="D11" s="19">
        <f>C11/'Material streams'!C$11</f>
        <v>4.4834747286989712E-5</v>
      </c>
    </row>
    <row r="12" spans="1:4" x14ac:dyDescent="0.3">
      <c r="A12" s="15" t="s">
        <v>9</v>
      </c>
      <c r="B12" s="15" t="s">
        <v>6</v>
      </c>
      <c r="C12" s="19">
        <v>2.63559935221349</v>
      </c>
      <c r="D12" s="19">
        <f>C12/'Material streams'!C$11</f>
        <v>4.6889017296695331E-5</v>
      </c>
    </row>
    <row r="13" spans="1:4" x14ac:dyDescent="0.3">
      <c r="A13" s="15" t="s">
        <v>54</v>
      </c>
      <c r="B13" s="15" t="s">
        <v>6</v>
      </c>
      <c r="C13" s="19">
        <v>1.80932853753342</v>
      </c>
      <c r="D13" s="19">
        <f>C13/'Material streams'!C$11</f>
        <v>3.2189125035471986E-5</v>
      </c>
    </row>
    <row r="14" spans="1:4" x14ac:dyDescent="0.3">
      <c r="A14" s="15" t="s">
        <v>55</v>
      </c>
      <c r="B14" s="15" t="s">
        <v>6</v>
      </c>
      <c r="C14" s="19">
        <v>861.50235030195097</v>
      </c>
      <c r="D14" s="19">
        <f>C14/'Material streams'!C$11</f>
        <v>1.5326684069233208E-2</v>
      </c>
    </row>
    <row r="15" spans="1:4" x14ac:dyDescent="0.3">
      <c r="A15" s="15" t="s">
        <v>56</v>
      </c>
      <c r="B15" s="15" t="s">
        <v>6</v>
      </c>
      <c r="C15" s="19">
        <v>923.54506424121598</v>
      </c>
      <c r="D15" s="19">
        <f>C15/'Material streams'!C$11</f>
        <v>1.643046408215092E-2</v>
      </c>
    </row>
    <row r="16" spans="1:4" x14ac:dyDescent="0.3">
      <c r="A16" s="15" t="s">
        <v>57</v>
      </c>
      <c r="B16" s="15" t="s">
        <v>6</v>
      </c>
      <c r="C16" s="19">
        <v>903.32838942577996</v>
      </c>
      <c r="D16" s="19">
        <f>C16/'Material streams'!C$11</f>
        <v>1.6070796360155723E-2</v>
      </c>
    </row>
    <row r="17" spans="1:4" x14ac:dyDescent="0.3">
      <c r="A17" s="15" t="s">
        <v>58</v>
      </c>
      <c r="B17" s="15" t="s">
        <v>6</v>
      </c>
      <c r="C17" s="19">
        <v>529.40104637700301</v>
      </c>
      <c r="D17" s="19">
        <f>C17/'Material streams'!C$11</f>
        <v>9.4183870547746174E-3</v>
      </c>
    </row>
    <row r="18" spans="1:4" x14ac:dyDescent="0.3">
      <c r="A18" s="15" t="s">
        <v>71</v>
      </c>
      <c r="B18" s="15" t="s">
        <v>6</v>
      </c>
      <c r="C18" s="19">
        <v>342.019178437471</v>
      </c>
      <c r="D18" s="19">
        <f>C18/'Material streams'!C$11</f>
        <v>6.0847424173509487E-3</v>
      </c>
    </row>
    <row r="19" spans="1:4" x14ac:dyDescent="0.3">
      <c r="A19" s="3" t="s">
        <v>33</v>
      </c>
      <c r="B19" s="3" t="s">
        <v>35</v>
      </c>
      <c r="C19" s="5">
        <v>4.3823114170578998</v>
      </c>
      <c r="D19" s="5">
        <f>C19/'Material streams'!C$11</f>
        <v>7.7964154779959412E-5</v>
      </c>
    </row>
    <row r="20" spans="1:4" x14ac:dyDescent="0.3">
      <c r="A20" s="3" t="s">
        <v>34</v>
      </c>
      <c r="B20" s="3" t="s">
        <v>35</v>
      </c>
      <c r="C20" s="5">
        <v>1.78987514452835E-3</v>
      </c>
      <c r="D20" s="5">
        <f>C20/'Material streams'!C$11</f>
        <v>3.1843036590607223E-8</v>
      </c>
    </row>
    <row r="21" spans="1:4" x14ac:dyDescent="0.3">
      <c r="A21" s="3" t="s">
        <v>36</v>
      </c>
      <c r="B21" s="3" t="s">
        <v>35</v>
      </c>
      <c r="C21" s="5">
        <v>50.378807053382502</v>
      </c>
      <c r="D21" s="5">
        <f>C21/'Material streams'!C$11</f>
        <v>8.9627156469326071E-4</v>
      </c>
    </row>
    <row r="22" spans="1:4" x14ac:dyDescent="0.3">
      <c r="A22" s="3" t="s">
        <v>72</v>
      </c>
      <c r="B22" s="3" t="s">
        <v>35</v>
      </c>
      <c r="C22" s="5">
        <v>14.7554353921635</v>
      </c>
      <c r="D22" s="5">
        <f>C22/'Material streams'!C$11</f>
        <v>2.6250874008690447E-4</v>
      </c>
    </row>
    <row r="23" spans="1:4" x14ac:dyDescent="0.3">
      <c r="A23" s="3"/>
      <c r="B23" s="13" t="s">
        <v>10</v>
      </c>
      <c r="C23" s="23">
        <f>SUM(C3:C22)</f>
        <v>11410.071177866876</v>
      </c>
      <c r="D23" s="16">
        <f>SUM(D3:D22)</f>
        <v>0.20299254678682582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zoomScale="140" zoomScaleNormal="140" workbookViewId="0">
      <selection activeCell="D16" sqref="D16"/>
    </sheetView>
  </sheetViews>
  <sheetFormatPr defaultRowHeight="14.4" x14ac:dyDescent="0.3"/>
  <cols>
    <col min="1" max="1" width="32.5546875" customWidth="1"/>
    <col min="2" max="2" width="17.109375" bestFit="1" customWidth="1"/>
    <col min="3" max="3" width="20.33203125" customWidth="1"/>
    <col min="4" max="4" width="20" bestFit="1" customWidth="1"/>
    <col min="5" max="5" width="7.6640625" bestFit="1" customWidth="1"/>
    <col min="6" max="6" width="5" bestFit="1" customWidth="1"/>
    <col min="7" max="7" width="5.33203125" bestFit="1" customWidth="1"/>
    <col min="8" max="8" width="12.109375" bestFit="1" customWidth="1"/>
    <col min="9" max="9" width="14.5546875" bestFit="1" customWidth="1"/>
    <col min="10" max="10" width="10.33203125" bestFit="1" customWidth="1"/>
  </cols>
  <sheetData>
    <row r="1" spans="1:10" x14ac:dyDescent="0.3">
      <c r="A1" s="14" t="s">
        <v>11</v>
      </c>
      <c r="B1" s="14" t="s">
        <v>12</v>
      </c>
      <c r="C1" s="14" t="s">
        <v>41</v>
      </c>
      <c r="D1" s="8" t="s">
        <v>40</v>
      </c>
    </row>
    <row r="2" spans="1:10" x14ac:dyDescent="0.3">
      <c r="A2" s="17" t="s">
        <v>73</v>
      </c>
      <c r="B2" s="20">
        <v>588547256.909899</v>
      </c>
      <c r="C2" s="26">
        <f>B2/D11/G11</f>
        <v>28139959.689691562</v>
      </c>
      <c r="D2" s="27">
        <f>C2/'Material streams'!C$11</f>
        <v>500.62808503504976</v>
      </c>
      <c r="H2" s="31"/>
      <c r="I2" s="3" t="s">
        <v>63</v>
      </c>
      <c r="J2" s="31" t="s">
        <v>65</v>
      </c>
    </row>
    <row r="3" spans="1:10" x14ac:dyDescent="0.3">
      <c r="A3" s="21" t="s">
        <v>19</v>
      </c>
      <c r="B3" s="26">
        <v>242858447.80974001</v>
      </c>
      <c r="C3" s="26">
        <f t="shared" ref="C3:C7" si="0">B3/D12/G12</f>
        <v>122569.11669008782</v>
      </c>
      <c r="D3" s="27">
        <f>C3/'Material streams'!C$11</f>
        <v>2.1805838689767074</v>
      </c>
      <c r="E3" s="30"/>
      <c r="H3" s="3" t="s">
        <v>61</v>
      </c>
      <c r="I3" s="4">
        <f>B5-B4</f>
        <v>-300554604.09100884</v>
      </c>
      <c r="J3" s="4">
        <f>C5-C4</f>
        <v>-136839.64855718848</v>
      </c>
    </row>
    <row r="4" spans="1:10" x14ac:dyDescent="0.3">
      <c r="A4" s="21" t="s">
        <v>18</v>
      </c>
      <c r="B4" s="26">
        <v>307508906.90194201</v>
      </c>
      <c r="C4" s="26">
        <f t="shared" si="0"/>
        <v>140005.87638952013</v>
      </c>
      <c r="D4" s="27">
        <f>C4/'Material streams'!C$11</f>
        <v>2.4907951028876405</v>
      </c>
      <c r="E4" s="30"/>
      <c r="H4" s="3" t="s">
        <v>62</v>
      </c>
      <c r="I4" s="4">
        <f>-B3</f>
        <v>-242858447.80974001</v>
      </c>
      <c r="J4" s="4">
        <f>-C3</f>
        <v>-122569.11669008782</v>
      </c>
    </row>
    <row r="5" spans="1:10" x14ac:dyDescent="0.3">
      <c r="A5" s="17" t="s">
        <v>59</v>
      </c>
      <c r="B5" s="26">
        <v>6954302.8109331904</v>
      </c>
      <c r="C5" s="26">
        <f t="shared" si="0"/>
        <v>3166.2278323316291</v>
      </c>
      <c r="D5" s="27">
        <f>C5/'Material streams'!C$11</f>
        <v>5.6329241191682533E-2</v>
      </c>
      <c r="H5" s="3" t="s">
        <v>64</v>
      </c>
      <c r="I5" s="4">
        <f>B6</f>
        <v>774273514.69334602</v>
      </c>
      <c r="J5" s="4">
        <f>C6</f>
        <v>454625.98478853039</v>
      </c>
    </row>
    <row r="6" spans="1:10" x14ac:dyDescent="0.3">
      <c r="A6" s="15" t="s">
        <v>60</v>
      </c>
      <c r="B6" s="18">
        <v>774273514.69334602</v>
      </c>
      <c r="C6" s="18">
        <f t="shared" si="0"/>
        <v>454625.98478853039</v>
      </c>
      <c r="D6" s="19">
        <f>C6/'Material streams'!C$11</f>
        <v>8.0880903413387326</v>
      </c>
      <c r="E6" s="30"/>
      <c r="H6" s="9" t="s">
        <v>10</v>
      </c>
      <c r="I6" s="23">
        <f>SUM(I3:I5)</f>
        <v>230860462.79259717</v>
      </c>
      <c r="J6" s="23">
        <f>SUM(J3:J5)</f>
        <v>195217.2195412541</v>
      </c>
    </row>
    <row r="7" spans="1:10" x14ac:dyDescent="0.3">
      <c r="A7" s="15" t="s">
        <v>74</v>
      </c>
      <c r="B7" s="18">
        <v>192795294.26159999</v>
      </c>
      <c r="C7" s="18">
        <f t="shared" si="0"/>
        <v>4093.3183495031844</v>
      </c>
      <c r="D7" s="19">
        <f>C7/'Material streams'!C$11</f>
        <v>7.2822781174818052E-2</v>
      </c>
      <c r="J7">
        <f>J6/'Material streams'!C11</f>
        <v>3.4730406106660685</v>
      </c>
    </row>
    <row r="9" spans="1:10" x14ac:dyDescent="0.3">
      <c r="A9" s="7" t="s">
        <v>37</v>
      </c>
    </row>
    <row r="10" spans="1:10" ht="15.6" x14ac:dyDescent="0.35">
      <c r="A10" s="6" t="s">
        <v>11</v>
      </c>
      <c r="B10" s="6" t="s">
        <v>38</v>
      </c>
      <c r="C10" s="6" t="s">
        <v>39</v>
      </c>
      <c r="D10" s="6" t="s">
        <v>13</v>
      </c>
      <c r="E10" s="9" t="s">
        <v>15</v>
      </c>
      <c r="F10" s="9" t="s">
        <v>16</v>
      </c>
      <c r="G10" s="9" t="s">
        <v>14</v>
      </c>
    </row>
    <row r="11" spans="1:10" x14ac:dyDescent="0.3">
      <c r="A11" s="17" t="s">
        <v>73</v>
      </c>
      <c r="B11" s="18">
        <v>596001339.74026203</v>
      </c>
      <c r="C11" s="18">
        <v>28496358.581891499</v>
      </c>
      <c r="D11" s="15">
        <v>4.1829999999999998</v>
      </c>
      <c r="E11" s="17">
        <v>15</v>
      </c>
      <c r="F11" s="17">
        <v>20</v>
      </c>
      <c r="G11" s="15">
        <f t="shared" ref="G11:G16" si="1">F11-E11</f>
        <v>5</v>
      </c>
    </row>
    <row r="12" spans="1:10" x14ac:dyDescent="0.3">
      <c r="A12" s="21" t="s">
        <v>19</v>
      </c>
      <c r="B12" s="18">
        <v>250274396.316645</v>
      </c>
      <c r="C12" s="18">
        <v>126311.89881732401</v>
      </c>
      <c r="D12" s="15">
        <v>1981.4</v>
      </c>
      <c r="E12" s="17">
        <v>174</v>
      </c>
      <c r="F12" s="17">
        <v>175</v>
      </c>
      <c r="G12" s="15">
        <f t="shared" si="1"/>
        <v>1</v>
      </c>
    </row>
    <row r="13" spans="1:10" x14ac:dyDescent="0.3">
      <c r="A13" s="21" t="s">
        <v>18</v>
      </c>
      <c r="B13" s="18">
        <v>297054077.08811301</v>
      </c>
      <c r="C13" s="18">
        <v>135245.891954158</v>
      </c>
      <c r="D13" s="15">
        <v>2196.4</v>
      </c>
      <c r="E13" s="17">
        <v>249</v>
      </c>
      <c r="F13" s="17">
        <v>250</v>
      </c>
      <c r="G13" s="15">
        <f t="shared" si="1"/>
        <v>1</v>
      </c>
    </row>
    <row r="14" spans="1:10" x14ac:dyDescent="0.3">
      <c r="A14" s="17" t="s">
        <v>59</v>
      </c>
      <c r="B14" s="18">
        <v>0</v>
      </c>
      <c r="C14" s="18">
        <v>0</v>
      </c>
      <c r="D14" s="15">
        <v>2196.4</v>
      </c>
      <c r="E14" s="15">
        <v>124</v>
      </c>
      <c r="F14" s="15">
        <v>125</v>
      </c>
      <c r="G14" s="15">
        <f t="shared" si="1"/>
        <v>1</v>
      </c>
    </row>
    <row r="15" spans="1:10" x14ac:dyDescent="0.3">
      <c r="A15" s="15" t="s">
        <v>60</v>
      </c>
      <c r="B15" s="18">
        <v>792666091.84249198</v>
      </c>
      <c r="C15" s="18">
        <v>465425.45466648601</v>
      </c>
      <c r="D15" s="15">
        <v>1703.1</v>
      </c>
      <c r="E15" s="15">
        <v>249</v>
      </c>
      <c r="F15" s="15">
        <v>250</v>
      </c>
      <c r="G15" s="15">
        <f t="shared" si="1"/>
        <v>1</v>
      </c>
    </row>
    <row r="16" spans="1:10" x14ac:dyDescent="0.3">
      <c r="A16" s="15" t="s">
        <v>74</v>
      </c>
      <c r="B16" s="18">
        <v>185772221.446825</v>
      </c>
      <c r="C16" s="18">
        <v>3944.20852328715</v>
      </c>
      <c r="D16" s="15">
        <v>47100</v>
      </c>
      <c r="E16" s="15">
        <v>1246</v>
      </c>
      <c r="F16" s="15">
        <v>1247</v>
      </c>
      <c r="G16" s="15">
        <f t="shared" si="1"/>
        <v>1</v>
      </c>
    </row>
    <row r="17" spans="5:5" x14ac:dyDescent="0.3">
      <c r="E17" s="12"/>
    </row>
    <row r="18" spans="5:5" x14ac:dyDescent="0.3">
      <c r="E18" s="12"/>
    </row>
    <row r="19" spans="5:5" x14ac:dyDescent="0.3">
      <c r="E19" s="12"/>
    </row>
    <row r="20" spans="5:5" x14ac:dyDescent="0.3">
      <c r="E20" s="12"/>
    </row>
    <row r="21" spans="5:5" x14ac:dyDescent="0.3">
      <c r="E21" s="12"/>
    </row>
    <row r="22" spans="5:5" x14ac:dyDescent="0.3">
      <c r="E22" s="12"/>
    </row>
    <row r="23" spans="5:5" x14ac:dyDescent="0.3">
      <c r="E23" s="12"/>
    </row>
    <row r="24" spans="5:5" x14ac:dyDescent="0.3">
      <c r="E24" s="12"/>
    </row>
    <row r="25" spans="5:5" x14ac:dyDescent="0.3">
      <c r="E25" s="12"/>
    </row>
    <row r="26" spans="5:5" x14ac:dyDescent="0.3">
      <c r="E26" s="12"/>
    </row>
  </sheetData>
  <conditionalFormatting sqref="I6 J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zoomScale="120" zoomScaleNormal="120" workbookViewId="0">
      <selection activeCell="D8" sqref="D8"/>
    </sheetView>
  </sheetViews>
  <sheetFormatPr defaultRowHeight="14.4" x14ac:dyDescent="0.3"/>
  <cols>
    <col min="1" max="1" width="17.88671875" bestFit="1" customWidth="1"/>
    <col min="2" max="2" width="12.6640625" bestFit="1" customWidth="1"/>
    <col min="3" max="3" width="15.44140625" bestFit="1" customWidth="1"/>
    <col min="4" max="4" width="15.33203125" bestFit="1" customWidth="1"/>
    <col min="5" max="5" width="19.5546875" bestFit="1" customWidth="1"/>
    <col min="6" max="6" width="28.33203125" bestFit="1" customWidth="1"/>
    <col min="7" max="7" width="32.6640625" bestFit="1" customWidth="1"/>
  </cols>
  <sheetData>
    <row r="1" spans="1:7" x14ac:dyDescent="0.3">
      <c r="A1" s="37" t="s">
        <v>42</v>
      </c>
      <c r="B1" s="37"/>
      <c r="C1" s="37"/>
      <c r="D1" s="28">
        <f>SUM('Material streams'!C11)</f>
        <v>56209.310925337799</v>
      </c>
      <c r="E1" s="29" t="s">
        <v>46</v>
      </c>
    </row>
    <row r="3" spans="1:7" ht="16.2" x14ac:dyDescent="0.3">
      <c r="A3" s="22" t="s">
        <v>24</v>
      </c>
      <c r="B3" s="24" t="s">
        <v>25</v>
      </c>
      <c r="C3" s="24" t="s">
        <v>45</v>
      </c>
      <c r="D3" s="9" t="s">
        <v>47</v>
      </c>
      <c r="E3" s="9" t="s">
        <v>48</v>
      </c>
      <c r="F3" s="9" t="s">
        <v>49</v>
      </c>
      <c r="G3" s="9" t="s">
        <v>50</v>
      </c>
    </row>
    <row r="4" spans="1:7" ht="15.6" x14ac:dyDescent="0.35">
      <c r="A4" s="21" t="s">
        <v>43</v>
      </c>
      <c r="B4" s="3" t="s">
        <v>44</v>
      </c>
      <c r="C4" s="3">
        <v>286000</v>
      </c>
      <c r="D4" s="5">
        <v>0.27</v>
      </c>
      <c r="E4" s="4">
        <v>240</v>
      </c>
      <c r="F4" s="3">
        <f>D4*E4/8000</f>
        <v>8.1000000000000013E-3</v>
      </c>
      <c r="G4" s="3">
        <f>F4/D1</f>
        <v>1.4410423943391052E-7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streams</vt:lpstr>
      <vt:lpstr>Electricity</vt:lpstr>
      <vt:lpstr>Utilities</vt:lpstr>
      <vt:lpstr>Hydroformylation catalyst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2022-08-31T11:57:11Z</dcterms:modified>
</cp:coreProperties>
</file>