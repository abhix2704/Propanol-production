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anabera\Desktop\Carbon dioxide to 1-propanol\Data\Economics and LCA\Biogas to 1-propanol\Biogas to 1-propanol v3\"/>
    </mc:Choice>
  </mc:AlternateContent>
  <xr:revisionPtr revIDLastSave="0" documentId="13_ncr:1_{8E86EDBD-BB2C-4EDE-8658-29B7E2754D9C}" xr6:coauthVersionLast="47" xr6:coauthVersionMax="47" xr10:uidLastSave="{00000000-0000-0000-0000-000000000000}"/>
  <bookViews>
    <workbookView xWindow="-108" yWindow="-108" windowWidth="30936" windowHeight="16896" activeTab="4" xr2:uid="{00000000-000D-0000-FFFF-FFFF00000000}"/>
  </bookViews>
  <sheets>
    <sheet name="CAPEX" sheetId="7" r:id="rId1"/>
    <sheet name="Production costs" sheetId="12" r:id="rId2"/>
    <sheet name="Catalyst costs" sheetId="13" r:id="rId3"/>
    <sheet name="OPEX" sheetId="8" r:id="rId4"/>
    <sheet name="Summary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2" i="8" l="1"/>
  <c r="F12" i="8" s="1"/>
  <c r="G12" i="8" s="1"/>
  <c r="F32" i="11" s="1"/>
  <c r="F50" i="11" s="1"/>
  <c r="G50" i="11" l="1"/>
  <c r="D18" i="8"/>
  <c r="G53" i="11" s="1"/>
  <c r="D17" i="8"/>
  <c r="G52" i="11" s="1"/>
  <c r="D16" i="8"/>
  <c r="G51" i="11" s="1"/>
  <c r="D13" i="8"/>
  <c r="D11" i="8"/>
  <c r="G49" i="11" s="1"/>
  <c r="D10" i="8"/>
  <c r="G48" i="11" s="1"/>
  <c r="D6" i="8"/>
  <c r="G47" i="11" s="1"/>
  <c r="D5" i="8"/>
  <c r="G44" i="11" s="1"/>
  <c r="F13" i="8" l="1"/>
  <c r="G13" i="8" s="1"/>
  <c r="F36" i="11" s="1"/>
  <c r="F54" i="11" s="1"/>
  <c r="G54" i="11"/>
  <c r="D177" i="7"/>
  <c r="D173" i="7"/>
  <c r="D169" i="7"/>
  <c r="D165" i="7"/>
  <c r="D150" i="7"/>
  <c r="D149" i="7"/>
  <c r="D148" i="7"/>
  <c r="D147" i="7"/>
  <c r="L26" i="7"/>
  <c r="L24" i="7"/>
  <c r="L23" i="7" l="1"/>
  <c r="M22" i="7"/>
  <c r="N22" i="7" s="1"/>
  <c r="O22" i="7" s="1"/>
  <c r="Q22" i="7" s="1"/>
  <c r="D161" i="7" s="1"/>
  <c r="H161" i="7" s="1"/>
  <c r="D95" i="7"/>
  <c r="H95" i="7" s="1"/>
  <c r="D94" i="7"/>
  <c r="D91" i="7"/>
  <c r="H91" i="7" s="1"/>
  <c r="D90" i="7"/>
  <c r="H90" i="7" s="1"/>
  <c r="D104" i="7"/>
  <c r="H104" i="7" s="1"/>
  <c r="D103" i="7"/>
  <c r="H103" i="7" s="1"/>
  <c r="D102" i="7"/>
  <c r="D115" i="7"/>
  <c r="H115" i="7" s="1"/>
  <c r="D114" i="7"/>
  <c r="H114" i="7" s="1"/>
  <c r="D113" i="7"/>
  <c r="H113" i="7" s="1"/>
  <c r="D112" i="7"/>
  <c r="H112" i="7" s="1"/>
  <c r="D111" i="7"/>
  <c r="H111" i="7" s="1"/>
  <c r="D110" i="7"/>
  <c r="H110" i="7" s="1"/>
  <c r="D109" i="7"/>
  <c r="H109" i="7" s="1"/>
  <c r="D108" i="7"/>
  <c r="H108" i="7" s="1"/>
  <c r="D107" i="7"/>
  <c r="H107" i="7" s="1"/>
  <c r="D106" i="7"/>
  <c r="D80" i="7"/>
  <c r="H80" i="7" s="1"/>
  <c r="D79" i="7"/>
  <c r="H79" i="7" s="1"/>
  <c r="D78" i="7"/>
  <c r="H78" i="7" s="1"/>
  <c r="D77" i="7"/>
  <c r="H77" i="7" s="1"/>
  <c r="D76" i="7"/>
  <c r="H76" i="7" s="1"/>
  <c r="D75" i="7"/>
  <c r="H75" i="7" s="1"/>
  <c r="D74" i="7"/>
  <c r="H74" i="7" s="1"/>
  <c r="D73" i="7"/>
  <c r="H73" i="7" s="1"/>
  <c r="D72" i="7"/>
  <c r="H72" i="7" s="1"/>
  <c r="D71" i="7"/>
  <c r="H71" i="7" s="1"/>
  <c r="D70" i="7"/>
  <c r="H70" i="7" s="1"/>
  <c r="D69" i="7"/>
  <c r="H81" i="7"/>
  <c r="H82" i="7"/>
  <c r="H83" i="7"/>
  <c r="H84" i="7"/>
  <c r="H85" i="7"/>
  <c r="H86" i="7"/>
  <c r="H87" i="7"/>
  <c r="H88" i="7"/>
  <c r="H89" i="7"/>
  <c r="H92" i="7"/>
  <c r="D62" i="7"/>
  <c r="H62" i="7" s="1"/>
  <c r="D61" i="7"/>
  <c r="D60" i="7"/>
  <c r="H60" i="7" s="1"/>
  <c r="D59" i="7"/>
  <c r="H59" i="7" s="1"/>
  <c r="D119" i="7"/>
  <c r="H119" i="7" s="1"/>
  <c r="D118" i="7"/>
  <c r="D123" i="7"/>
  <c r="H123" i="7" s="1"/>
  <c r="D122" i="7"/>
  <c r="D131" i="7"/>
  <c r="H131" i="7" s="1"/>
  <c r="D130" i="7"/>
  <c r="H130" i="7" s="1"/>
  <c r="D129" i="7"/>
  <c r="H129" i="7" s="1"/>
  <c r="D140" i="7"/>
  <c r="H140" i="7" s="1"/>
  <c r="D139" i="7"/>
  <c r="H139" i="7" s="1"/>
  <c r="D138" i="7"/>
  <c r="H138" i="7" s="1"/>
  <c r="H141" i="7"/>
  <c r="D142" i="7"/>
  <c r="H142" i="7" s="1"/>
  <c r="D143" i="7"/>
  <c r="H143" i="7" s="1"/>
  <c r="H137" i="7"/>
  <c r="H136" i="7"/>
  <c r="H135" i="7"/>
  <c r="H134" i="7"/>
  <c r="H133" i="7"/>
  <c r="H132" i="7"/>
  <c r="H128" i="7"/>
  <c r="D35" i="7"/>
  <c r="D34" i="7"/>
  <c r="H34" i="7" s="1"/>
  <c r="D33" i="7"/>
  <c r="D32" i="7"/>
  <c r="H28" i="7"/>
  <c r="H147" i="7"/>
  <c r="H98" i="7"/>
  <c r="H57" i="7"/>
  <c r="H48" i="7"/>
  <c r="H41" i="7"/>
  <c r="M13" i="7"/>
  <c r="N13" i="7" s="1"/>
  <c r="M14" i="7"/>
  <c r="N14" i="7" s="1"/>
  <c r="M15" i="7"/>
  <c r="N15" i="7" s="1"/>
  <c r="M16" i="7"/>
  <c r="N16" i="7" s="1"/>
  <c r="M17" i="7"/>
  <c r="N17" i="7" s="1"/>
  <c r="M18" i="7"/>
  <c r="N18" i="7" s="1"/>
  <c r="M19" i="7"/>
  <c r="N19" i="7" s="1"/>
  <c r="M20" i="7"/>
  <c r="N20" i="7" s="1"/>
  <c r="M21" i="7"/>
  <c r="N21" i="7" s="1"/>
  <c r="M23" i="7"/>
  <c r="N23" i="7" s="1"/>
  <c r="M24" i="7"/>
  <c r="N24" i="7" s="1"/>
  <c r="M25" i="7"/>
  <c r="N25" i="7" s="1"/>
  <c r="M26" i="7"/>
  <c r="N26" i="7" s="1"/>
  <c r="H120" i="7" l="1"/>
  <c r="H93" i="7"/>
  <c r="H65" i="7"/>
  <c r="H46" i="7"/>
  <c r="H45" i="7"/>
  <c r="K5" i="8"/>
  <c r="F21" i="8" l="1"/>
  <c r="G21" i="8" s="1"/>
  <c r="L5" i="8"/>
  <c r="M5" i="8" s="1"/>
  <c r="F18" i="8"/>
  <c r="G18" i="8" s="1"/>
  <c r="F35" i="11" s="1"/>
  <c r="F53" i="11" s="1"/>
  <c r="F17" i="8"/>
  <c r="G17" i="8" s="1"/>
  <c r="F34" i="11" s="1"/>
  <c r="F52" i="11" s="1"/>
  <c r="E10" i="8"/>
  <c r="F16" i="8"/>
  <c r="G16" i="8" s="1"/>
  <c r="F33" i="11" s="1"/>
  <c r="F51" i="11" s="1"/>
  <c r="F7" i="8"/>
  <c r="G7" i="8" s="1"/>
  <c r="F29" i="11" s="1"/>
  <c r="F6" i="8"/>
  <c r="G6" i="8" s="1"/>
  <c r="F28" i="11" s="1"/>
  <c r="F47" i="11" s="1"/>
  <c r="G19" i="8" l="1"/>
  <c r="G22" i="8"/>
  <c r="H29" i="7" l="1"/>
  <c r="H27" i="7"/>
  <c r="H26" i="7"/>
  <c r="H25" i="7"/>
  <c r="H24" i="7"/>
  <c r="H23" i="7"/>
  <c r="H22" i="7"/>
  <c r="H21" i="7"/>
  <c r="H20" i="7"/>
  <c r="O26" i="7"/>
  <c r="Q26" i="7" s="1"/>
  <c r="D176" i="7" s="1"/>
  <c r="O25" i="7"/>
  <c r="Q25" i="7" s="1"/>
  <c r="D172" i="7" s="1"/>
  <c r="H177" i="7"/>
  <c r="H173" i="7"/>
  <c r="H169" i="7"/>
  <c r="H165" i="7"/>
  <c r="H35" i="7"/>
  <c r="H33" i="7"/>
  <c r="H32" i="7"/>
  <c r="H150" i="7"/>
  <c r="H149" i="7"/>
  <c r="H148" i="7"/>
  <c r="O13" i="7"/>
  <c r="Q13" i="7" s="1"/>
  <c r="D146" i="7" s="1"/>
  <c r="O21" i="7"/>
  <c r="Q21" i="7" s="1"/>
  <c r="D160" i="7" s="1"/>
  <c r="H160" i="7" s="1"/>
  <c r="O20" i="7"/>
  <c r="Q20" i="7" s="1"/>
  <c r="H127" i="7"/>
  <c r="H126" i="7"/>
  <c r="H125" i="7"/>
  <c r="H124" i="7"/>
  <c r="H122" i="7"/>
  <c r="H121" i="7"/>
  <c r="H118" i="7"/>
  <c r="H117" i="7"/>
  <c r="H116" i="7"/>
  <c r="H106" i="7"/>
  <c r="H105" i="7"/>
  <c r="H102" i="7"/>
  <c r="H101" i="7"/>
  <c r="H100" i="7"/>
  <c r="H99" i="7"/>
  <c r="H97" i="7"/>
  <c r="H96" i="7"/>
  <c r="H94" i="7"/>
  <c r="H69" i="7"/>
  <c r="H68" i="7"/>
  <c r="H67" i="7"/>
  <c r="H66" i="7"/>
  <c r="H64" i="7"/>
  <c r="H63" i="7"/>
  <c r="H61" i="7"/>
  <c r="H58" i="7"/>
  <c r="H36" i="7" l="1"/>
  <c r="F6" i="11" s="1"/>
  <c r="G6" i="11" s="1"/>
  <c r="H176" i="7"/>
  <c r="H178" i="7" s="1"/>
  <c r="H172" i="7"/>
  <c r="H174" i="7" s="1"/>
  <c r="O24" i="7"/>
  <c r="Q24" i="7" s="1"/>
  <c r="D168" i="7" s="1"/>
  <c r="O23" i="7"/>
  <c r="Q23" i="7" s="1"/>
  <c r="D164" i="7" s="1"/>
  <c r="D159" i="7"/>
  <c r="H159" i="7" s="1"/>
  <c r="F5" i="8"/>
  <c r="G5" i="8" s="1"/>
  <c r="F26" i="11" l="1"/>
  <c r="F44" i="11" s="1"/>
  <c r="H168" i="7"/>
  <c r="H170" i="7" s="1"/>
  <c r="H164" i="7"/>
  <c r="H166" i="7" s="1"/>
  <c r="E5" i="13"/>
  <c r="F5" i="13" s="1"/>
  <c r="G23" i="8" s="1"/>
  <c r="F37" i="11" s="1"/>
  <c r="F55" i="11" s="1"/>
  <c r="G8" i="8" l="1"/>
  <c r="F10" i="11"/>
  <c r="G10" i="11" s="1"/>
  <c r="H56" i="7"/>
  <c r="H55" i="7"/>
  <c r="H54" i="7"/>
  <c r="H53" i="7"/>
  <c r="H52" i="7"/>
  <c r="H51" i="7"/>
  <c r="H50" i="7"/>
  <c r="H49" i="7"/>
  <c r="H47" i="7"/>
  <c r="H17" i="7"/>
  <c r="H16" i="7"/>
  <c r="H15" i="7"/>
  <c r="H14" i="7"/>
  <c r="C6" i="12" l="1"/>
  <c r="F15" i="11" s="1"/>
  <c r="C7" i="12" l="1"/>
  <c r="F16" i="11" s="1"/>
  <c r="C8" i="12" l="1"/>
  <c r="C9" i="12" l="1"/>
  <c r="C11" i="11" s="1"/>
  <c r="F17" i="11"/>
  <c r="C16" i="11"/>
  <c r="C15" i="11"/>
  <c r="O19" i="7"/>
  <c r="Q19" i="7" s="1"/>
  <c r="D158" i="7" s="1"/>
  <c r="H158" i="7" s="1"/>
  <c r="O18" i="7"/>
  <c r="Q18" i="7" s="1"/>
  <c r="D157" i="7" s="1"/>
  <c r="H157" i="7" s="1"/>
  <c r="O17" i="7"/>
  <c r="Q17" i="7" s="1"/>
  <c r="H44" i="7"/>
  <c r="H19" i="7"/>
  <c r="H18" i="7"/>
  <c r="H30" i="7" l="1"/>
  <c r="F5" i="11" s="1"/>
  <c r="G5" i="11" s="1"/>
  <c r="D156" i="7"/>
  <c r="H156" i="7" s="1"/>
  <c r="H43" i="7"/>
  <c r="H42" i="7"/>
  <c r="H40" i="7"/>
  <c r="H39" i="7"/>
  <c r="H38" i="7"/>
  <c r="H144" i="7" l="1"/>
  <c r="F7" i="11" s="1"/>
  <c r="G7" i="11" s="1"/>
  <c r="F11" i="8"/>
  <c r="G11" i="8" s="1"/>
  <c r="F31" i="11" s="1"/>
  <c r="F49" i="11" s="1"/>
  <c r="F10" i="8"/>
  <c r="G10" i="8" s="1"/>
  <c r="B193" i="7"/>
  <c r="C17" i="11" s="1"/>
  <c r="F30" i="11" l="1"/>
  <c r="F48" i="11" s="1"/>
  <c r="G14" i="8"/>
  <c r="G24" i="8" s="1"/>
  <c r="C20" i="11" s="1"/>
  <c r="O16" i="7"/>
  <c r="Q16" i="7" s="1"/>
  <c r="O15" i="7"/>
  <c r="Q15" i="7" s="1"/>
  <c r="O14" i="7"/>
  <c r="Q14" i="7" s="1"/>
  <c r="D153" i="7" s="1"/>
  <c r="H153" i="7" s="1"/>
  <c r="D154" i="7" l="1"/>
  <c r="H154" i="7" s="1"/>
  <c r="D155" i="7"/>
  <c r="H155" i="7" s="1"/>
  <c r="H146" i="7"/>
  <c r="H162" i="7" l="1"/>
  <c r="H151" i="7"/>
  <c r="F8" i="11" s="1"/>
  <c r="G8" i="11" s="1"/>
  <c r="H179" i="7" l="1"/>
  <c r="B183" i="7" s="1"/>
  <c r="C3" i="11" s="1"/>
  <c r="F9" i="11"/>
  <c r="G9" i="11" s="1"/>
  <c r="B184" i="7" l="1"/>
  <c r="B185" i="7" s="1"/>
  <c r="C5" i="11" s="1"/>
  <c r="C4" i="11" l="1"/>
  <c r="B186" i="7"/>
  <c r="C6" i="11" s="1"/>
  <c r="C11" i="12"/>
  <c r="C12" i="12" s="1"/>
  <c r="C12" i="11" s="1"/>
  <c r="B188" i="7"/>
  <c r="B189" i="7" s="1"/>
  <c r="C18" i="12" s="1"/>
  <c r="F21" i="11" s="1"/>
  <c r="C15" i="12"/>
  <c r="F20" i="11" s="1"/>
  <c r="B187" i="7"/>
  <c r="C7" i="11" s="1"/>
  <c r="C19" i="12" l="1"/>
  <c r="C14" i="11" s="1"/>
  <c r="B190" i="7"/>
  <c r="C10" i="11" s="1"/>
  <c r="C8" i="11"/>
  <c r="C9" i="11"/>
  <c r="C14" i="12"/>
  <c r="F19" i="11" s="1"/>
  <c r="C188" i="7"/>
  <c r="H9" i="11" s="1"/>
  <c r="F18" i="11"/>
  <c r="C16" i="12" l="1"/>
  <c r="C13" i="11" s="1"/>
  <c r="B194" i="7"/>
  <c r="B195" i="7" s="1"/>
  <c r="C18" i="11" s="1"/>
  <c r="H8" i="11"/>
  <c r="H7" i="11"/>
  <c r="H10" i="11"/>
  <c r="H6" i="11"/>
  <c r="H5" i="11"/>
  <c r="C20" i="12"/>
  <c r="C19" i="11" s="1"/>
  <c r="C21" i="11" l="1"/>
  <c r="C22" i="11" s="1"/>
  <c r="C24" i="11" s="1"/>
  <c r="C25" i="11" s="1"/>
  <c r="K15" i="11"/>
  <c r="F38" i="11" l="1"/>
  <c r="F11" i="11" l="1"/>
  <c r="G11" i="11" l="1"/>
  <c r="K18" i="11" l="1"/>
  <c r="K17" i="11" l="1"/>
  <c r="K6" i="11"/>
  <c r="K10" i="11"/>
  <c r="K7" i="11"/>
  <c r="K9" i="11"/>
  <c r="K8" i="11"/>
  <c r="K16" i="11"/>
  <c r="F22" i="11"/>
  <c r="F56" i="11" s="1"/>
  <c r="K19" i="11" l="1"/>
  <c r="H11" i="11"/>
  <c r="F57" i="11" s="1"/>
  <c r="K5" i="11"/>
  <c r="K11" i="11" s="1"/>
  <c r="F58" i="11" l="1"/>
</calcChain>
</file>

<file path=xl/sharedStrings.xml><?xml version="1.0" encoding="utf-8"?>
<sst xmlns="http://schemas.openxmlformats.org/spreadsheetml/2006/main" count="744" uniqueCount="294">
  <si>
    <t>Cost factors</t>
  </si>
  <si>
    <t>Equipment erection</t>
  </si>
  <si>
    <t>Piping</t>
  </si>
  <si>
    <t>Instrumentation and control</t>
  </si>
  <si>
    <t>Electrical</t>
  </si>
  <si>
    <t>Civil</t>
  </si>
  <si>
    <t>Structures and buildings</t>
  </si>
  <si>
    <t>Lagging and paint</t>
  </si>
  <si>
    <t>Material factor for 304 SS</t>
  </si>
  <si>
    <t xml:space="preserve">Equipment </t>
  </si>
  <si>
    <t>a</t>
  </si>
  <si>
    <t>b</t>
  </si>
  <si>
    <t>n</t>
  </si>
  <si>
    <t>Equipment approximated as</t>
  </si>
  <si>
    <t>Dimension needed</t>
  </si>
  <si>
    <t>Value</t>
  </si>
  <si>
    <t>Volume</t>
  </si>
  <si>
    <t>h (m)</t>
  </si>
  <si>
    <t>Shell mass (kg)</t>
  </si>
  <si>
    <r>
      <t>Purchased Cost (C</t>
    </r>
    <r>
      <rPr>
        <b/>
        <vertAlign val="subscript"/>
        <sz val="11"/>
        <color theme="1"/>
        <rFont val="Calibri"/>
        <family val="2"/>
        <scheme val="minor"/>
      </rPr>
      <t>e,i,a</t>
    </r>
    <r>
      <rPr>
        <b/>
        <sz val="11"/>
        <color theme="1"/>
        <rFont val="Calibri"/>
        <family val="2"/>
        <scheme val="minor"/>
      </rPr>
      <t>)</t>
    </r>
  </si>
  <si>
    <t>Internal diameter (m)</t>
  </si>
  <si>
    <t>External diameter (m)</t>
  </si>
  <si>
    <t>Equipment</t>
  </si>
  <si>
    <t>Material</t>
  </si>
  <si>
    <t>Total cost</t>
  </si>
  <si>
    <t>Cooling water</t>
  </si>
  <si>
    <t>Electricity</t>
  </si>
  <si>
    <t>Project lifetime</t>
  </si>
  <si>
    <t>Interest rate</t>
  </si>
  <si>
    <t>ACCR</t>
  </si>
  <si>
    <t>Unit</t>
  </si>
  <si>
    <t>Quantity</t>
  </si>
  <si>
    <t>Price ($/unit)</t>
  </si>
  <si>
    <t>ton/hr</t>
  </si>
  <si>
    <t>CEPCI 2010</t>
  </si>
  <si>
    <t>CEPCI 2019</t>
  </si>
  <si>
    <t>CAPEX (M$/year)</t>
  </si>
  <si>
    <t>M$/year</t>
  </si>
  <si>
    <r>
      <t>f</t>
    </r>
    <r>
      <rPr>
        <vertAlign val="subscript"/>
        <sz val="11"/>
        <color theme="1"/>
        <rFont val="Calibri"/>
        <family val="2"/>
        <scheme val="minor"/>
      </rPr>
      <t>er</t>
    </r>
  </si>
  <si>
    <r>
      <t>f</t>
    </r>
    <r>
      <rPr>
        <vertAlign val="subscript"/>
        <sz val="11"/>
        <color theme="1"/>
        <rFont val="Calibri"/>
        <family val="2"/>
        <scheme val="minor"/>
      </rPr>
      <t>p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</si>
  <si>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</si>
  <si>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el</t>
    </r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</si>
  <si>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</si>
  <si>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f</t>
    </r>
    <r>
      <rPr>
        <vertAlign val="subscript"/>
        <sz val="11"/>
        <color theme="1"/>
        <rFont val="Calibri"/>
        <family val="2"/>
        <scheme val="minor"/>
      </rPr>
      <t>s</t>
    </r>
  </si>
  <si>
    <r>
      <t>f</t>
    </r>
    <r>
      <rPr>
        <vertAlign val="subscript"/>
        <sz val="11"/>
        <color theme="1"/>
        <rFont val="Calibri"/>
        <family val="2"/>
        <scheme val="minor"/>
      </rPr>
      <t>l</t>
    </r>
  </si>
  <si>
    <r>
      <t>f</t>
    </r>
    <r>
      <rPr>
        <vertAlign val="subscript"/>
        <sz val="11"/>
        <color theme="1"/>
        <rFont val="Calibri"/>
        <family val="2"/>
        <scheme val="minor"/>
      </rPr>
      <t>m</t>
    </r>
  </si>
  <si>
    <t>K-100</t>
  </si>
  <si>
    <t>K-101</t>
  </si>
  <si>
    <t>K-109</t>
  </si>
  <si>
    <t>V-100</t>
  </si>
  <si>
    <t>V-101</t>
  </si>
  <si>
    <r>
      <t>Area for shell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</si>
  <si>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</si>
  <si>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Power, kW</t>
  </si>
  <si>
    <t xml:space="preserve">Area </t>
  </si>
  <si>
    <t>Flue gas emissions</t>
  </si>
  <si>
    <t>OPEX (M$/year)</t>
  </si>
  <si>
    <t>Compressors</t>
  </si>
  <si>
    <t>Reactors</t>
  </si>
  <si>
    <t>Shell mass, kg</t>
  </si>
  <si>
    <t>Installed capital cost</t>
  </si>
  <si>
    <t>Offsites (OS)</t>
  </si>
  <si>
    <t>Design and Engineering (D&amp;E)</t>
  </si>
  <si>
    <t>Contingency (X)</t>
  </si>
  <si>
    <t>Fixed capital investment</t>
  </si>
  <si>
    <t>Total investment</t>
  </si>
  <si>
    <t>Annualized capital</t>
  </si>
  <si>
    <t>Working capital</t>
  </si>
  <si>
    <t>Labor Costs</t>
  </si>
  <si>
    <t>Supervision</t>
  </si>
  <si>
    <t>25% of operating Labor</t>
  </si>
  <si>
    <t>Description</t>
  </si>
  <si>
    <t>Assumption</t>
  </si>
  <si>
    <t>Direct overhead</t>
  </si>
  <si>
    <t>45% of labor and supervision</t>
  </si>
  <si>
    <t>Maintanance Costs</t>
  </si>
  <si>
    <t xml:space="preserve">Maintanance </t>
  </si>
  <si>
    <t>3% of the installed capital cost</t>
  </si>
  <si>
    <t>Overhead expenses</t>
  </si>
  <si>
    <t>Overhead Expenses</t>
  </si>
  <si>
    <t>Plant overhead</t>
  </si>
  <si>
    <t>Operating labor</t>
  </si>
  <si>
    <t>65% of labor and maintanace</t>
  </si>
  <si>
    <t>Tax &amp; Insurance</t>
  </si>
  <si>
    <t>Design and engineering (D&amp;E)</t>
  </si>
  <si>
    <t>2% of installed cost and offsites</t>
  </si>
  <si>
    <t>Interest</t>
  </si>
  <si>
    <t>Interest on debit</t>
  </si>
  <si>
    <t>6% of working capital</t>
  </si>
  <si>
    <t>Labor costs</t>
  </si>
  <si>
    <t>Maintanance costs</t>
  </si>
  <si>
    <t>Total fixed production costs</t>
  </si>
  <si>
    <t>Reference</t>
  </si>
  <si>
    <t>9 shift positions, 9 operators/shift</t>
  </si>
  <si>
    <t>CEPCI 2018</t>
  </si>
  <si>
    <t>Reference Data</t>
  </si>
  <si>
    <t>Hydrogen</t>
  </si>
  <si>
    <t>K-102</t>
  </si>
  <si>
    <t>K-103</t>
  </si>
  <si>
    <t>K-104</t>
  </si>
  <si>
    <t>K-105</t>
  </si>
  <si>
    <t>Unit operation</t>
  </si>
  <si>
    <t>Catalyst used</t>
  </si>
  <si>
    <t>$/kg</t>
  </si>
  <si>
    <t>Catalyst costs</t>
  </si>
  <si>
    <t>E-171</t>
  </si>
  <si>
    <t>E-173</t>
  </si>
  <si>
    <t>E-161</t>
  </si>
  <si>
    <t>E-163</t>
  </si>
  <si>
    <t>E-154</t>
  </si>
  <si>
    <t>E-156</t>
  </si>
  <si>
    <t>E-146</t>
  </si>
  <si>
    <t>E-152</t>
  </si>
  <si>
    <t>E-172</t>
  </si>
  <si>
    <t>E-176</t>
  </si>
  <si>
    <t>E-174</t>
  </si>
  <si>
    <t>E-162</t>
  </si>
  <si>
    <t>E-164</t>
  </si>
  <si>
    <t>E-166</t>
  </si>
  <si>
    <t>E-151</t>
  </si>
  <si>
    <t>E-153</t>
  </si>
  <si>
    <t>E-175</t>
  </si>
  <si>
    <t>E-177</t>
  </si>
  <si>
    <t>E-169</t>
  </si>
  <si>
    <t>E-159</t>
  </si>
  <si>
    <t>E-157</t>
  </si>
  <si>
    <t>E-165</t>
  </si>
  <si>
    <t>E-167</t>
  </si>
  <si>
    <t>E-144</t>
  </si>
  <si>
    <t>E-148</t>
  </si>
  <si>
    <t>E-150</t>
  </si>
  <si>
    <t>E-142</t>
  </si>
  <si>
    <t>E-168</t>
  </si>
  <si>
    <t>E-170</t>
  </si>
  <si>
    <t>E-160</t>
  </si>
  <si>
    <t>E-158</t>
  </si>
  <si>
    <t>E-155</t>
  </si>
  <si>
    <t>E-143</t>
  </si>
  <si>
    <t>E-145</t>
  </si>
  <si>
    <t>E-147</t>
  </si>
  <si>
    <t>E-149</t>
  </si>
  <si>
    <t>Total</t>
  </si>
  <si>
    <t>V-102</t>
  </si>
  <si>
    <t>V-103</t>
  </si>
  <si>
    <t>V-104</t>
  </si>
  <si>
    <t>V-105</t>
  </si>
  <si>
    <t>V-106</t>
  </si>
  <si>
    <t>V-107</t>
  </si>
  <si>
    <t>Grand Total</t>
  </si>
  <si>
    <t>Hydroformylation</t>
  </si>
  <si>
    <t>Methanation</t>
  </si>
  <si>
    <t>Hydrogenation</t>
  </si>
  <si>
    <t>Furnace</t>
  </si>
  <si>
    <t>Duty, MW</t>
  </si>
  <si>
    <t>P-100</t>
  </si>
  <si>
    <t>P-101</t>
  </si>
  <si>
    <t>P-102</t>
  </si>
  <si>
    <t>Flow, litres/s</t>
  </si>
  <si>
    <t>Pumps</t>
  </si>
  <si>
    <t>Absorption column T-100</t>
  </si>
  <si>
    <t>Flash separators</t>
  </si>
  <si>
    <t>Heat exchangers</t>
  </si>
  <si>
    <t>Structure</t>
  </si>
  <si>
    <t>Tray</t>
  </si>
  <si>
    <t>diameter, m</t>
  </si>
  <si>
    <t>Sieve trays</t>
  </si>
  <si>
    <t xml:space="preserve">Centrifugal compressor </t>
  </si>
  <si>
    <t>Centrifugal pump</t>
  </si>
  <si>
    <t>U tube HEX</t>
  </si>
  <si>
    <t>Pressure vessel</t>
  </si>
  <si>
    <t>n-stages</t>
  </si>
  <si>
    <t>T-100</t>
  </si>
  <si>
    <t>Stripping column T-101</t>
  </si>
  <si>
    <t>Absorption column T-102</t>
  </si>
  <si>
    <t>Stripping column T-103</t>
  </si>
  <si>
    <t>T-101</t>
  </si>
  <si>
    <t>T-102</t>
  </si>
  <si>
    <t>T-103</t>
  </si>
  <si>
    <t>E-183</t>
  </si>
  <si>
    <t>E-187</t>
  </si>
  <si>
    <t>E-185</t>
  </si>
  <si>
    <t>E-182</t>
  </si>
  <si>
    <t>E-184</t>
  </si>
  <si>
    <t>E-186</t>
  </si>
  <si>
    <t>E-188</t>
  </si>
  <si>
    <t>E-179</t>
  </si>
  <si>
    <t>E-181</t>
  </si>
  <si>
    <t>E-189</t>
  </si>
  <si>
    <t>E-178</t>
  </si>
  <si>
    <t>E-180</t>
  </si>
  <si>
    <t>K-106</t>
  </si>
  <si>
    <t>K-107</t>
  </si>
  <si>
    <t>K-108</t>
  </si>
  <si>
    <t>K-110</t>
  </si>
  <si>
    <t>K-111</t>
  </si>
  <si>
    <t>K-112</t>
  </si>
  <si>
    <t>K-113</t>
  </si>
  <si>
    <t>K-114</t>
  </si>
  <si>
    <r>
      <t>Rh/PPh</t>
    </r>
    <r>
      <rPr>
        <vertAlign val="subscript"/>
        <sz val="11"/>
        <color theme="1"/>
        <rFont val="Calibri"/>
        <family val="2"/>
        <scheme val="minor"/>
      </rPr>
      <t>3</t>
    </r>
  </si>
  <si>
    <t>kg/hr</t>
  </si>
  <si>
    <t>Propanol produced</t>
  </si>
  <si>
    <t>$/hr</t>
  </si>
  <si>
    <t>Total OPEX</t>
  </si>
  <si>
    <t>Sigma Aldrich: https://www.sigmaaldrich.com/US/en/product/aldrich/225665</t>
  </si>
  <si>
    <t>Raw material costs</t>
  </si>
  <si>
    <t>Utility costs</t>
  </si>
  <si>
    <t>Additional costs (purge,etc)</t>
  </si>
  <si>
    <t>Refer catalyst costs sheet</t>
  </si>
  <si>
    <t>Cost of propanol per kg</t>
  </si>
  <si>
    <t>Fixed production costs (M$/year)</t>
  </si>
  <si>
    <t>Total expenses (M$/year)</t>
  </si>
  <si>
    <t>Total expenses ($/hr)</t>
  </si>
  <si>
    <t>Total propanol produced (kg/hr)</t>
  </si>
  <si>
    <t>Natural gas</t>
  </si>
  <si>
    <t>Oxygen</t>
  </si>
  <si>
    <t>Ethylene</t>
  </si>
  <si>
    <t xml:space="preserve">Total  </t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</si>
  <si>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capture and storage</t>
    </r>
  </si>
  <si>
    <t>CEPCI 2008</t>
  </si>
  <si>
    <t>Products sold</t>
  </si>
  <si>
    <t>Steam</t>
  </si>
  <si>
    <t xml:space="preserve">Iasonas 2020 </t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</si>
  <si>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/hr</t>
    </r>
  </si>
  <si>
    <t>MWh</t>
  </si>
  <si>
    <t>Wastewater treatment</t>
  </si>
  <si>
    <t xml:space="preserve">Natural gas </t>
  </si>
  <si>
    <t>$/MJ</t>
  </si>
  <si>
    <t>$/cu. ft</t>
  </si>
  <si>
    <t>Turton 2018 (pg. 246)</t>
  </si>
  <si>
    <t>Dooley 2008 (pg. 5)</t>
  </si>
  <si>
    <t>CEPCI 2022</t>
  </si>
  <si>
    <t>Purchased equipment cost 2022</t>
  </si>
  <si>
    <t>Purchased equipment cost 2022 (M$/year)</t>
  </si>
  <si>
    <t>CEPCI 2021</t>
  </si>
  <si>
    <t>Cost of propanol per ton</t>
  </si>
  <si>
    <t>2022 costs</t>
  </si>
  <si>
    <t>CAPEX summary</t>
  </si>
  <si>
    <t>CAPEX short summary</t>
  </si>
  <si>
    <t>Contribution 2022</t>
  </si>
  <si>
    <t>CAPEX [M$/year]</t>
  </si>
  <si>
    <t>Columns</t>
  </si>
  <si>
    <t>Production costs summary</t>
  </si>
  <si>
    <t>Production costs  short summary</t>
  </si>
  <si>
    <t>Category</t>
  </si>
  <si>
    <t>Labor</t>
  </si>
  <si>
    <t>Overhead</t>
  </si>
  <si>
    <t>OPEX short summary</t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</si>
  <si>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capture and storage</t>
    </r>
  </si>
  <si>
    <t>Catalyst</t>
  </si>
  <si>
    <t>Contribution 2010</t>
  </si>
  <si>
    <t>Overall</t>
  </si>
  <si>
    <t>CAPEX</t>
  </si>
  <si>
    <t>Fixed Costs</t>
  </si>
  <si>
    <t>Carbon dioxide</t>
  </si>
  <si>
    <t>Fired heat - natural gas</t>
  </si>
  <si>
    <t>Carbon dioxide storage</t>
  </si>
  <si>
    <t>Required (unit/hr)</t>
  </si>
  <si>
    <t>-</t>
  </si>
  <si>
    <t>Contribution $/t</t>
  </si>
  <si>
    <t>Europa 2021</t>
  </si>
  <si>
    <t>WGS reactor</t>
  </si>
  <si>
    <t>K-115</t>
  </si>
  <si>
    <t>Bi Reformer</t>
  </si>
  <si>
    <t>P-103</t>
  </si>
  <si>
    <t xml:space="preserve"> </t>
  </si>
  <si>
    <t>E-206</t>
  </si>
  <si>
    <t>E-204</t>
  </si>
  <si>
    <t>E-194</t>
  </si>
  <si>
    <t>E-198</t>
  </si>
  <si>
    <t>E-196</t>
  </si>
  <si>
    <t>E-202</t>
  </si>
  <si>
    <t>E-209</t>
  </si>
  <si>
    <t>E-207</t>
  </si>
  <si>
    <t>E-193</t>
  </si>
  <si>
    <t>E-195</t>
  </si>
  <si>
    <t>E-199</t>
  </si>
  <si>
    <t>E-201</t>
  </si>
  <si>
    <t>E-203</t>
  </si>
  <si>
    <t>E-210</t>
  </si>
  <si>
    <t>E-208</t>
  </si>
  <si>
    <t>E-191</t>
  </si>
  <si>
    <t>E-200</t>
  </si>
  <si>
    <t>E-211</t>
  </si>
  <si>
    <t>E-213</t>
  </si>
  <si>
    <t>E-190</t>
  </si>
  <si>
    <t>E-192</t>
  </si>
  <si>
    <t>E-205</t>
  </si>
  <si>
    <t>E-197</t>
  </si>
  <si>
    <t>E-212</t>
  </si>
  <si>
    <t>E-214</t>
  </si>
  <si>
    <t>Bi reformer</t>
  </si>
  <si>
    <t>V-108</t>
  </si>
  <si>
    <t>Biogas</t>
  </si>
  <si>
    <t>IEA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</si>
</sst>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8" fillId="3" borderId="5" applyNumberFormat="0" applyAlignment="0" applyProtection="0"/>
    <xf numFmtId="0" fontId="10" fillId="0" borderId="0"/>
  </cellStyleXfs>
  <cellXfs count="4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4" fillId="0" borderId="1" xfId="1" applyFont="1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2" fontId="1" fillId="0" borderId="4" xfId="0" applyNumberFormat="1" applyFont="1" applyBorder="1"/>
    <xf numFmtId="2" fontId="0" fillId="4" borderId="1" xfId="0" applyNumberFormat="1" applyFill="1" applyBorder="1"/>
    <xf numFmtId="0" fontId="8" fillId="0" borderId="0" xfId="2" applyFill="1" applyBorder="1"/>
    <xf numFmtId="0" fontId="8" fillId="3" borderId="1" xfId="2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right"/>
    </xf>
    <xf numFmtId="2" fontId="0" fillId="0" borderId="1" xfId="0" applyNumberFormat="1" applyBorder="1" applyAlignment="1">
      <alignment horizontal="center"/>
    </xf>
    <xf numFmtId="11" fontId="0" fillId="0" borderId="0" xfId="0" applyNumberFormat="1"/>
    <xf numFmtId="1" fontId="0" fillId="0" borderId="1" xfId="0" applyNumberForma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0" fillId="0" borderId="0" xfId="0" applyNumberFormat="1"/>
    <xf numFmtId="0" fontId="3" fillId="0" borderId="1" xfId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</cellXfs>
  <cellStyles count="4">
    <cellStyle name="Check Cell" xfId="2" builtinId="23"/>
    <cellStyle name="Hyperlink" xfId="1" builtinId="8"/>
    <cellStyle name="Normal" xfId="0" builtinId="0"/>
    <cellStyle name="Normal 2" xfId="3" xr:uid="{3CBD245A-C44E-4E3A-BBEE-B22BCB5D367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iea.blob.core.windows.net/assets/03aeb10c-c38c-4d10-bcec-de92e9ab815f/Outlook_for_biogas_and_biomethane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5"/>
  <sheetViews>
    <sheetView topLeftCell="A166" zoomScale="120" zoomScaleNormal="120" workbookViewId="0">
      <selection activeCell="C179" sqref="C179"/>
    </sheetView>
  </sheetViews>
  <sheetFormatPr defaultRowHeight="14.4" x14ac:dyDescent="0.3"/>
  <cols>
    <col min="1" max="1" width="29.44140625" bestFit="1" customWidth="1"/>
    <col min="2" max="2" width="22.6640625" bestFit="1" customWidth="1"/>
    <col min="3" max="3" width="16.33203125" bestFit="1" customWidth="1"/>
    <col min="4" max="4" width="9.109375" bestFit="1" customWidth="1"/>
    <col min="5" max="6" width="7.5546875" bestFit="1" customWidth="1"/>
    <col min="7" max="7" width="4.88671875" bestFit="1" customWidth="1"/>
    <col min="8" max="8" width="9.33203125" bestFit="1" customWidth="1"/>
    <col min="10" max="10" width="11.109375" bestFit="1" customWidth="1"/>
    <col min="11" max="11" width="11.44140625" bestFit="1" customWidth="1"/>
    <col min="12" max="12" width="6" bestFit="1" customWidth="1"/>
    <col min="14" max="14" width="8.44140625" bestFit="1" customWidth="1"/>
    <col min="15" max="15" width="9" customWidth="1"/>
    <col min="17" max="17" width="9.33203125" bestFit="1" customWidth="1"/>
  </cols>
  <sheetData>
    <row r="1" spans="1:18" x14ac:dyDescent="0.3">
      <c r="A1" s="2" t="s">
        <v>0</v>
      </c>
      <c r="B1" s="3"/>
      <c r="C1" s="3"/>
    </row>
    <row r="2" spans="1:18" ht="15.6" x14ac:dyDescent="0.35">
      <c r="A2" s="3" t="s">
        <v>1</v>
      </c>
      <c r="B2" s="3" t="s">
        <v>38</v>
      </c>
      <c r="C2" s="3">
        <v>0.3</v>
      </c>
    </row>
    <row r="3" spans="1:18" ht="15.6" x14ac:dyDescent="0.35">
      <c r="A3" s="3" t="s">
        <v>2</v>
      </c>
      <c r="B3" s="3" t="s">
        <v>39</v>
      </c>
      <c r="C3" s="3">
        <v>0.8</v>
      </c>
    </row>
    <row r="4" spans="1:18" ht="15.6" x14ac:dyDescent="0.35">
      <c r="A4" s="3" t="s">
        <v>3</v>
      </c>
      <c r="B4" s="3" t="s">
        <v>40</v>
      </c>
      <c r="C4" s="3">
        <v>0.3</v>
      </c>
    </row>
    <row r="5" spans="1:18" ht="15.6" x14ac:dyDescent="0.35">
      <c r="A5" s="3" t="s">
        <v>4</v>
      </c>
      <c r="B5" s="3" t="s">
        <v>41</v>
      </c>
      <c r="C5" s="3">
        <v>0.2</v>
      </c>
    </row>
    <row r="6" spans="1:18" ht="15.6" x14ac:dyDescent="0.35">
      <c r="A6" s="3" t="s">
        <v>5</v>
      </c>
      <c r="B6" s="3" t="s">
        <v>42</v>
      </c>
      <c r="C6" s="3">
        <v>0.3</v>
      </c>
    </row>
    <row r="7" spans="1:18" ht="15.6" x14ac:dyDescent="0.35">
      <c r="A7" s="3" t="s">
        <v>6</v>
      </c>
      <c r="B7" s="3" t="s">
        <v>43</v>
      </c>
      <c r="C7" s="3">
        <v>0.2</v>
      </c>
    </row>
    <row r="8" spans="1:18" ht="15.6" x14ac:dyDescent="0.35">
      <c r="A8" s="3" t="s">
        <v>7</v>
      </c>
      <c r="B8" s="3" t="s">
        <v>44</v>
      </c>
      <c r="C8" s="3">
        <v>0.1</v>
      </c>
    </row>
    <row r="9" spans="1:18" ht="15.6" x14ac:dyDescent="0.35">
      <c r="A9" s="3" t="s">
        <v>8</v>
      </c>
      <c r="B9" s="3" t="s">
        <v>45</v>
      </c>
      <c r="C9" s="3">
        <v>1.3</v>
      </c>
    </row>
    <row r="10" spans="1:18" x14ac:dyDescent="0.3">
      <c r="A10" s="17"/>
      <c r="B10" s="17"/>
      <c r="C10" s="17"/>
    </row>
    <row r="12" spans="1:18" ht="45.6" x14ac:dyDescent="0.35">
      <c r="A12" s="2" t="s">
        <v>9</v>
      </c>
      <c r="B12" s="4" t="s">
        <v>13</v>
      </c>
      <c r="C12" s="4" t="s">
        <v>14</v>
      </c>
      <c r="D12" s="2" t="s">
        <v>15</v>
      </c>
      <c r="E12" s="2" t="s">
        <v>10</v>
      </c>
      <c r="F12" s="2" t="s">
        <v>11</v>
      </c>
      <c r="G12" s="2" t="s">
        <v>12</v>
      </c>
      <c r="H12" s="4" t="s">
        <v>19</v>
      </c>
      <c r="J12" s="2" t="s">
        <v>22</v>
      </c>
      <c r="K12" s="4" t="s">
        <v>20</v>
      </c>
      <c r="L12" s="4" t="s">
        <v>17</v>
      </c>
      <c r="M12" s="4" t="s">
        <v>21</v>
      </c>
      <c r="N12" s="4" t="s">
        <v>51</v>
      </c>
      <c r="O12" s="4" t="s">
        <v>16</v>
      </c>
      <c r="P12" s="4" t="s">
        <v>52</v>
      </c>
      <c r="Q12" s="4" t="s">
        <v>18</v>
      </c>
    </row>
    <row r="13" spans="1:18" x14ac:dyDescent="0.3">
      <c r="A13" s="38" t="s">
        <v>57</v>
      </c>
      <c r="B13" s="39"/>
      <c r="C13" s="39"/>
      <c r="D13" s="39"/>
      <c r="E13" s="39"/>
      <c r="F13" s="39"/>
      <c r="G13" s="39"/>
      <c r="H13" s="40"/>
      <c r="J13" s="3" t="s">
        <v>262</v>
      </c>
      <c r="K13" s="28">
        <v>2.286</v>
      </c>
      <c r="L13" s="28">
        <v>8.0009999999999994</v>
      </c>
      <c r="M13" s="26">
        <f t="shared" ref="M13" si="0">K13+0.0254</f>
        <v>2.3113999999999999</v>
      </c>
      <c r="N13" s="26">
        <f t="shared" ref="N13" si="1">PI()*(M13*M13-K13*K13)/4</f>
        <v>9.1714053716646884E-2</v>
      </c>
      <c r="O13" s="26">
        <f t="shared" ref="O13:O26" si="2">N13*L13</f>
        <v>0.73380414378689163</v>
      </c>
      <c r="P13" s="3">
        <v>8000</v>
      </c>
      <c r="Q13" s="28">
        <f t="shared" ref="Q13" si="3">P13*O13</f>
        <v>5870.4331502951327</v>
      </c>
      <c r="R13" s="17"/>
    </row>
    <row r="14" spans="1:18" x14ac:dyDescent="0.3">
      <c r="A14" s="3" t="s">
        <v>46</v>
      </c>
      <c r="B14" s="3" t="s">
        <v>166</v>
      </c>
      <c r="C14" s="3" t="s">
        <v>53</v>
      </c>
      <c r="D14" s="7">
        <v>1172.9430399068699</v>
      </c>
      <c r="E14" s="6">
        <v>580000</v>
      </c>
      <c r="F14" s="6">
        <v>20000</v>
      </c>
      <c r="G14" s="7">
        <v>0.6</v>
      </c>
      <c r="H14" s="7">
        <f t="shared" ref="H14:H17" si="4">(E14+(F14*(D14^G14)))/1000000</f>
        <v>1.9686607138658256</v>
      </c>
      <c r="J14" s="5" t="s">
        <v>49</v>
      </c>
      <c r="K14" s="28">
        <v>2.286</v>
      </c>
      <c r="L14" s="28">
        <v>8.0009999999999994</v>
      </c>
      <c r="M14" s="26">
        <f t="shared" ref="M14:M19" si="5">K14+0.0254</f>
        <v>2.3113999999999999</v>
      </c>
      <c r="N14" s="26">
        <f t="shared" ref="N14:N19" si="6">PI()*(M14*M14-K14*K14)/4</f>
        <v>9.1714053716646884E-2</v>
      </c>
      <c r="O14" s="26">
        <f t="shared" si="2"/>
        <v>0.73380414378689163</v>
      </c>
      <c r="P14" s="3">
        <v>8000</v>
      </c>
      <c r="Q14" s="28">
        <f t="shared" ref="Q14:Q19" si="7">P14*O14</f>
        <v>5870.4331502951327</v>
      </c>
      <c r="R14" s="17"/>
    </row>
    <row r="15" spans="1:18" x14ac:dyDescent="0.3">
      <c r="A15" s="3" t="s">
        <v>47</v>
      </c>
      <c r="B15" s="3" t="s">
        <v>166</v>
      </c>
      <c r="C15" s="3" t="s">
        <v>53</v>
      </c>
      <c r="D15" s="7">
        <v>1264.38305194192</v>
      </c>
      <c r="E15" s="6">
        <v>580000</v>
      </c>
      <c r="F15" s="6">
        <v>20000</v>
      </c>
      <c r="G15" s="7">
        <v>0.6</v>
      </c>
      <c r="H15" s="7">
        <f t="shared" si="4"/>
        <v>2.0326373121279468</v>
      </c>
      <c r="J15" s="5" t="s">
        <v>50</v>
      </c>
      <c r="K15" s="28">
        <v>8.3819999999999997</v>
      </c>
      <c r="L15" s="28">
        <v>29.337</v>
      </c>
      <c r="M15" s="26">
        <f t="shared" si="5"/>
        <v>8.4073999999999991</v>
      </c>
      <c r="N15" s="26">
        <f t="shared" si="6"/>
        <v>0.3349336436834417</v>
      </c>
      <c r="O15" s="26">
        <f t="shared" si="2"/>
        <v>9.8259483047411287</v>
      </c>
      <c r="P15" s="3">
        <v>8000</v>
      </c>
      <c r="Q15" s="28">
        <f t="shared" si="7"/>
        <v>78607.586437929029</v>
      </c>
      <c r="R15" s="17"/>
    </row>
    <row r="16" spans="1:18" x14ac:dyDescent="0.3">
      <c r="A16" s="3" t="s">
        <v>97</v>
      </c>
      <c r="B16" s="3" t="s">
        <v>166</v>
      </c>
      <c r="C16" s="3" t="s">
        <v>53</v>
      </c>
      <c r="D16" s="7">
        <v>142.01897401350999</v>
      </c>
      <c r="E16" s="6">
        <v>580000</v>
      </c>
      <c r="F16" s="6">
        <v>20000</v>
      </c>
      <c r="G16" s="7">
        <v>0.6</v>
      </c>
      <c r="H16" s="7">
        <f t="shared" si="4"/>
        <v>0.97123510648860545</v>
      </c>
      <c r="J16" s="5" t="s">
        <v>142</v>
      </c>
      <c r="K16" s="28">
        <v>1.2192000000000001</v>
      </c>
      <c r="L16" s="28">
        <v>4.2671999999999999</v>
      </c>
      <c r="M16" s="26">
        <f t="shared" si="5"/>
        <v>1.2446000000000002</v>
      </c>
      <c r="N16" s="26">
        <f t="shared" si="6"/>
        <v>4.9150625472457479E-2</v>
      </c>
      <c r="O16" s="26">
        <f t="shared" si="2"/>
        <v>0.20973554901607055</v>
      </c>
      <c r="P16" s="3">
        <v>8000</v>
      </c>
      <c r="Q16" s="28">
        <f t="shared" si="7"/>
        <v>1677.8843921285645</v>
      </c>
      <c r="R16" s="17"/>
    </row>
    <row r="17" spans="1:18" x14ac:dyDescent="0.3">
      <c r="A17" s="3" t="s">
        <v>98</v>
      </c>
      <c r="B17" s="3" t="s">
        <v>166</v>
      </c>
      <c r="C17" s="3" t="s">
        <v>53</v>
      </c>
      <c r="D17" s="7">
        <v>3173.0777313158501</v>
      </c>
      <c r="E17" s="6">
        <v>580000</v>
      </c>
      <c r="F17" s="6">
        <v>20000</v>
      </c>
      <c r="G17" s="7">
        <v>0.6</v>
      </c>
      <c r="H17" s="7">
        <f t="shared" si="4"/>
        <v>3.1030068078814459</v>
      </c>
      <c r="J17" s="5" t="s">
        <v>143</v>
      </c>
      <c r="K17" s="28">
        <v>3.048</v>
      </c>
      <c r="L17" s="28">
        <v>10.667999999999999</v>
      </c>
      <c r="M17" s="26">
        <f t="shared" si="5"/>
        <v>3.0733999999999999</v>
      </c>
      <c r="N17" s="26">
        <f t="shared" si="6"/>
        <v>0.12211650246249588</v>
      </c>
      <c r="O17" s="26">
        <f t="shared" si="2"/>
        <v>1.3027388482699058</v>
      </c>
      <c r="P17" s="3">
        <v>8000</v>
      </c>
      <c r="Q17" s="28">
        <f t="shared" si="7"/>
        <v>10421.910786159247</v>
      </c>
      <c r="R17" s="17"/>
    </row>
    <row r="18" spans="1:18" x14ac:dyDescent="0.3">
      <c r="A18" s="3" t="s">
        <v>99</v>
      </c>
      <c r="B18" s="3" t="s">
        <v>166</v>
      </c>
      <c r="C18" s="3" t="s">
        <v>53</v>
      </c>
      <c r="D18" s="7">
        <v>1764.5252528710801</v>
      </c>
      <c r="E18" s="6">
        <v>580000</v>
      </c>
      <c r="F18" s="6">
        <v>20000</v>
      </c>
      <c r="G18" s="7">
        <v>0.6</v>
      </c>
      <c r="H18" s="7">
        <f t="shared" ref="H18:H19" si="8">(E18+(F18*(D18^G18)))/1000000</f>
        <v>2.3542169441401994</v>
      </c>
      <c r="J18" s="5" t="s">
        <v>144</v>
      </c>
      <c r="K18" s="28">
        <v>1.0668</v>
      </c>
      <c r="L18" s="28">
        <v>5.8673999999999999</v>
      </c>
      <c r="M18" s="26">
        <f t="shared" si="5"/>
        <v>1.0922000000000001</v>
      </c>
      <c r="N18" s="26">
        <f t="shared" si="6"/>
        <v>4.3070135723287363E-2</v>
      </c>
      <c r="O18" s="26">
        <f t="shared" si="2"/>
        <v>0.25270971434281625</v>
      </c>
      <c r="P18" s="3">
        <v>8000</v>
      </c>
      <c r="Q18" s="28">
        <f t="shared" si="7"/>
        <v>2021.67771474253</v>
      </c>
      <c r="R18" s="17"/>
    </row>
    <row r="19" spans="1:18" x14ac:dyDescent="0.3">
      <c r="A19" s="3" t="s">
        <v>100</v>
      </c>
      <c r="B19" s="3" t="s">
        <v>166</v>
      </c>
      <c r="C19" s="3" t="s">
        <v>53</v>
      </c>
      <c r="D19" s="7">
        <v>195.36919999483101</v>
      </c>
      <c r="E19" s="6">
        <v>580000</v>
      </c>
      <c r="F19" s="6">
        <v>20000</v>
      </c>
      <c r="G19" s="7">
        <v>0.6</v>
      </c>
      <c r="H19" s="7">
        <f t="shared" si="8"/>
        <v>1.0537439257215577</v>
      </c>
      <c r="J19" s="5" t="s">
        <v>145</v>
      </c>
      <c r="K19" s="28">
        <v>0.30480000000000002</v>
      </c>
      <c r="L19" s="28">
        <v>1.6763999999999999</v>
      </c>
      <c r="M19" s="26">
        <f t="shared" si="5"/>
        <v>0.33019999999999999</v>
      </c>
      <c r="N19" s="26">
        <f t="shared" si="6"/>
        <v>1.2667686977437436E-2</v>
      </c>
      <c r="O19" s="26">
        <f t="shared" si="2"/>
        <v>2.1236110448976116E-2</v>
      </c>
      <c r="P19" s="3">
        <v>8000</v>
      </c>
      <c r="Q19" s="28">
        <f t="shared" si="7"/>
        <v>169.88888359180893</v>
      </c>
      <c r="R19" s="17"/>
    </row>
    <row r="20" spans="1:18" x14ac:dyDescent="0.3">
      <c r="A20" s="3" t="s">
        <v>190</v>
      </c>
      <c r="B20" s="3" t="s">
        <v>166</v>
      </c>
      <c r="C20" s="3" t="s">
        <v>53</v>
      </c>
      <c r="D20" s="7">
        <v>59.109904397035301</v>
      </c>
      <c r="E20" s="6">
        <v>580000</v>
      </c>
      <c r="F20" s="6">
        <v>20000</v>
      </c>
      <c r="G20" s="7">
        <v>0.6</v>
      </c>
      <c r="H20" s="7">
        <f t="shared" ref="H20:H29" si="9">(E20+(F20*(D20^G20)))/1000000</f>
        <v>0.81122040088577396</v>
      </c>
      <c r="J20" s="5" t="s">
        <v>146</v>
      </c>
      <c r="K20" s="28">
        <v>1.3715999999999999</v>
      </c>
      <c r="L20" s="28">
        <v>7.5438000000000001</v>
      </c>
      <c r="M20" s="26">
        <f t="shared" ref="M20:M21" si="10">K20+0.0254</f>
        <v>1.397</v>
      </c>
      <c r="N20" s="26">
        <f t="shared" ref="N20:N21" si="11">PI()*(M20*M20-K20*K20)/4</f>
        <v>5.5231115221627589E-2</v>
      </c>
      <c r="O20" s="26">
        <f t="shared" si="2"/>
        <v>0.41665248700891422</v>
      </c>
      <c r="P20" s="3">
        <v>8000</v>
      </c>
      <c r="Q20" s="28">
        <f t="shared" ref="Q20:Q21" si="12">P20*O20</f>
        <v>3333.2198960713135</v>
      </c>
      <c r="R20" s="17"/>
    </row>
    <row r="21" spans="1:18" x14ac:dyDescent="0.3">
      <c r="A21" s="3" t="s">
        <v>191</v>
      </c>
      <c r="B21" s="3" t="s">
        <v>166</v>
      </c>
      <c r="C21" s="3" t="s">
        <v>53</v>
      </c>
      <c r="D21" s="7">
        <v>2.3645927643483899</v>
      </c>
      <c r="E21" s="6">
        <v>580000</v>
      </c>
      <c r="F21" s="6">
        <v>20000</v>
      </c>
      <c r="G21" s="7">
        <v>0.6</v>
      </c>
      <c r="H21" s="7">
        <f t="shared" si="9"/>
        <v>0.61351844090748087</v>
      </c>
      <c r="J21" s="5" t="s">
        <v>147</v>
      </c>
      <c r="K21" s="28">
        <v>0.91439999999999999</v>
      </c>
      <c r="L21" s="28">
        <v>3.2004000000000001</v>
      </c>
      <c r="M21" s="26">
        <f t="shared" si="10"/>
        <v>0.93979999999999997</v>
      </c>
      <c r="N21" s="26">
        <f t="shared" si="11"/>
        <v>3.6989645974117337E-2</v>
      </c>
      <c r="O21" s="26">
        <f t="shared" si="2"/>
        <v>0.11838166297556513</v>
      </c>
      <c r="P21" s="3">
        <v>8000</v>
      </c>
      <c r="Q21" s="28">
        <f t="shared" si="12"/>
        <v>947.05330380452097</v>
      </c>
      <c r="R21" s="17"/>
    </row>
    <row r="22" spans="1:18" x14ac:dyDescent="0.3">
      <c r="A22" s="3" t="s">
        <v>192</v>
      </c>
      <c r="B22" s="3" t="s">
        <v>166</v>
      </c>
      <c r="C22" s="3" t="s">
        <v>53</v>
      </c>
      <c r="D22" s="7">
        <v>2.52013025051335</v>
      </c>
      <c r="E22" s="6">
        <v>580000</v>
      </c>
      <c r="F22" s="6">
        <v>20000</v>
      </c>
      <c r="G22" s="7">
        <v>0.6</v>
      </c>
      <c r="H22" s="7">
        <f t="shared" si="9"/>
        <v>0.61482441167238366</v>
      </c>
      <c r="J22" s="5" t="s">
        <v>291</v>
      </c>
      <c r="K22" s="28">
        <v>1.3715999999999999</v>
      </c>
      <c r="L22" s="28">
        <v>7.5438000000000001</v>
      </c>
      <c r="M22" s="26">
        <f t="shared" ref="M22" si="13">K22+0.0254</f>
        <v>1.397</v>
      </c>
      <c r="N22" s="26">
        <f t="shared" ref="N22" si="14">PI()*(M22*M22-K22*K22)/4</f>
        <v>5.5231115221627589E-2</v>
      </c>
      <c r="O22" s="26">
        <f t="shared" ref="O22" si="15">N22*L22</f>
        <v>0.41665248700891422</v>
      </c>
      <c r="P22" s="3">
        <v>8000</v>
      </c>
      <c r="Q22" s="28">
        <f t="shared" ref="Q22" si="16">P22*O22</f>
        <v>3333.2198960713135</v>
      </c>
      <c r="R22" s="17"/>
    </row>
    <row r="23" spans="1:18" x14ac:dyDescent="0.3">
      <c r="A23" s="3" t="s">
        <v>48</v>
      </c>
      <c r="B23" s="3" t="s">
        <v>166</v>
      </c>
      <c r="C23" s="3" t="s">
        <v>53</v>
      </c>
      <c r="D23" s="7">
        <v>2.63559935221349</v>
      </c>
      <c r="E23" s="6">
        <v>580000</v>
      </c>
      <c r="F23" s="6">
        <v>20000</v>
      </c>
      <c r="G23" s="7">
        <v>0.6</v>
      </c>
      <c r="H23" s="7">
        <f t="shared" si="9"/>
        <v>0.61577318685003191</v>
      </c>
      <c r="J23" s="5" t="s">
        <v>171</v>
      </c>
      <c r="K23" s="28">
        <v>3.4226000000000001</v>
      </c>
      <c r="L23" s="28">
        <f>0.6096*10</f>
        <v>6.0960000000000001</v>
      </c>
      <c r="M23" s="26">
        <f t="shared" ref="M23" si="17">K23+0.0254</f>
        <v>3.448</v>
      </c>
      <c r="N23" s="26">
        <f t="shared" ref="N23" si="18">PI()*(M23*M23-K23*K23)/4</f>
        <v>0.13706237818453637</v>
      </c>
      <c r="O23" s="26">
        <f t="shared" si="2"/>
        <v>0.83553225741293369</v>
      </c>
      <c r="P23" s="3">
        <v>8000</v>
      </c>
      <c r="Q23" s="28">
        <f t="shared" ref="Q23" si="19">P23*O23</f>
        <v>6684.2580593034691</v>
      </c>
      <c r="R23" s="17"/>
    </row>
    <row r="24" spans="1:18" x14ac:dyDescent="0.3">
      <c r="A24" s="3" t="s">
        <v>193</v>
      </c>
      <c r="B24" s="3" t="s">
        <v>166</v>
      </c>
      <c r="C24" s="3" t="s">
        <v>53</v>
      </c>
      <c r="D24" s="7">
        <v>1.80932853753342</v>
      </c>
      <c r="E24" s="6">
        <v>580000</v>
      </c>
      <c r="F24" s="6">
        <v>20000</v>
      </c>
      <c r="G24" s="7">
        <v>0.6</v>
      </c>
      <c r="H24" s="7">
        <f t="shared" si="9"/>
        <v>0.60854568411095022</v>
      </c>
      <c r="J24" s="31" t="s">
        <v>175</v>
      </c>
      <c r="K24" s="28">
        <v>4.5324999999999998</v>
      </c>
      <c r="L24" s="28">
        <f>0.6096*10</f>
        <v>6.0960000000000001</v>
      </c>
      <c r="M24" s="26">
        <f t="shared" ref="M24:M26" si="20">K24+0.0254</f>
        <v>4.5579000000000001</v>
      </c>
      <c r="N24" s="26">
        <f t="shared" ref="N24:N26" si="21">PI()*(M24*M24-K24*K24)/4</f>
        <v>0.18134541999952641</v>
      </c>
      <c r="O24" s="26">
        <f t="shared" si="2"/>
        <v>1.105481680317113</v>
      </c>
      <c r="P24" s="3">
        <v>8000</v>
      </c>
      <c r="Q24" s="28">
        <f t="shared" ref="Q24:Q26" si="22">P24*O24</f>
        <v>8843.8534425369035</v>
      </c>
      <c r="R24" s="17"/>
    </row>
    <row r="25" spans="1:18" x14ac:dyDescent="0.3">
      <c r="A25" s="3" t="s">
        <v>194</v>
      </c>
      <c r="B25" s="3" t="s">
        <v>166</v>
      </c>
      <c r="C25" s="3" t="s">
        <v>53</v>
      </c>
      <c r="D25" s="7">
        <v>861.50235030195097</v>
      </c>
      <c r="E25" s="6">
        <v>580000</v>
      </c>
      <c r="F25" s="6">
        <v>20000</v>
      </c>
      <c r="G25" s="7">
        <v>0.6</v>
      </c>
      <c r="H25" s="7">
        <f t="shared" si="9"/>
        <v>1.7339417209577281</v>
      </c>
      <c r="J25" s="31" t="s">
        <v>176</v>
      </c>
      <c r="K25" s="28">
        <v>1.147</v>
      </c>
      <c r="L25" s="28">
        <v>0.60960000000000003</v>
      </c>
      <c r="M25" s="26">
        <f t="shared" si="20"/>
        <v>1.1724000000000001</v>
      </c>
      <c r="N25" s="26">
        <f t="shared" si="21"/>
        <v>4.6269973504674752E-2</v>
      </c>
      <c r="O25" s="26">
        <f t="shared" si="2"/>
        <v>2.8206175848449731E-2</v>
      </c>
      <c r="P25" s="3">
        <v>8000</v>
      </c>
      <c r="Q25" s="28">
        <f t="shared" si="22"/>
        <v>225.64940678759785</v>
      </c>
      <c r="R25" s="17"/>
    </row>
    <row r="26" spans="1:18" x14ac:dyDescent="0.3">
      <c r="A26" s="3" t="s">
        <v>195</v>
      </c>
      <c r="B26" s="3" t="s">
        <v>166</v>
      </c>
      <c r="C26" s="3" t="s">
        <v>53</v>
      </c>
      <c r="D26" s="7">
        <v>923.54506424121598</v>
      </c>
      <c r="E26" s="6">
        <v>580000</v>
      </c>
      <c r="F26" s="6">
        <v>20000</v>
      </c>
      <c r="G26" s="7">
        <v>0.6</v>
      </c>
      <c r="H26" s="7">
        <f t="shared" si="9"/>
        <v>1.783108653834756</v>
      </c>
      <c r="J26" s="31" t="s">
        <v>177</v>
      </c>
      <c r="K26" s="28">
        <v>1.6779999999999999</v>
      </c>
      <c r="L26" s="28">
        <f>0.6096*2</f>
        <v>1.2192000000000001</v>
      </c>
      <c r="M26" s="26">
        <f t="shared" si="20"/>
        <v>1.7034</v>
      </c>
      <c r="N26" s="26">
        <f t="shared" si="21"/>
        <v>6.7455931882688641E-2</v>
      </c>
      <c r="O26" s="26">
        <f t="shared" si="2"/>
        <v>8.2242272151374002E-2</v>
      </c>
      <c r="P26" s="3">
        <v>8000</v>
      </c>
      <c r="Q26" s="28">
        <f t="shared" si="22"/>
        <v>657.93817721099197</v>
      </c>
      <c r="R26" s="17"/>
    </row>
    <row r="27" spans="1:18" x14ac:dyDescent="0.3">
      <c r="A27" s="3" t="s">
        <v>196</v>
      </c>
      <c r="B27" s="3" t="s">
        <v>166</v>
      </c>
      <c r="C27" s="3" t="s">
        <v>53</v>
      </c>
      <c r="D27" s="7">
        <v>903.32838942577996</v>
      </c>
      <c r="E27" s="6">
        <v>580000</v>
      </c>
      <c r="F27" s="6">
        <v>20000</v>
      </c>
      <c r="G27" s="7">
        <v>0.6</v>
      </c>
      <c r="H27" s="7">
        <f t="shared" si="9"/>
        <v>1.7672369135649764</v>
      </c>
    </row>
    <row r="28" spans="1:18" x14ac:dyDescent="0.3">
      <c r="A28" s="3" t="s">
        <v>197</v>
      </c>
      <c r="B28" s="3" t="s">
        <v>166</v>
      </c>
      <c r="C28" s="3" t="s">
        <v>53</v>
      </c>
      <c r="D28" s="7">
        <v>529.40104637700301</v>
      </c>
      <c r="E28" s="6">
        <v>580000</v>
      </c>
      <c r="F28" s="6">
        <v>20000</v>
      </c>
      <c r="G28" s="7">
        <v>0.6</v>
      </c>
      <c r="H28" s="7">
        <f t="shared" ref="H28" si="23">(E28+(F28*(D28^G28)))/1000000</f>
        <v>1.4415904427608066</v>
      </c>
    </row>
    <row r="29" spans="1:18" x14ac:dyDescent="0.3">
      <c r="A29" s="3" t="s">
        <v>261</v>
      </c>
      <c r="B29" s="3" t="s">
        <v>166</v>
      </c>
      <c r="C29" s="3" t="s">
        <v>53</v>
      </c>
      <c r="D29" s="7">
        <v>342.019178437471</v>
      </c>
      <c r="E29" s="6">
        <v>580000</v>
      </c>
      <c r="F29" s="6">
        <v>20000</v>
      </c>
      <c r="G29" s="7">
        <v>0.6</v>
      </c>
      <c r="H29" s="7">
        <f t="shared" si="9"/>
        <v>1.2429187019869234</v>
      </c>
    </row>
    <row r="30" spans="1:18" x14ac:dyDescent="0.3">
      <c r="A30" s="3"/>
      <c r="B30" s="2" t="s">
        <v>141</v>
      </c>
      <c r="C30" s="3"/>
      <c r="D30" s="7"/>
      <c r="E30" s="6"/>
      <c r="F30" s="6"/>
      <c r="G30" s="7"/>
      <c r="H30" s="9">
        <f>SUM(H14:H29)</f>
        <v>22.716179367757388</v>
      </c>
    </row>
    <row r="31" spans="1:18" x14ac:dyDescent="0.3">
      <c r="A31" s="38" t="s">
        <v>158</v>
      </c>
      <c r="B31" s="39"/>
      <c r="C31" s="39"/>
      <c r="D31" s="39"/>
      <c r="E31" s="39"/>
      <c r="F31" s="39"/>
      <c r="G31" s="39"/>
      <c r="H31" s="40"/>
    </row>
    <row r="32" spans="1:18" x14ac:dyDescent="0.3">
      <c r="A32" s="3" t="s">
        <v>154</v>
      </c>
      <c r="B32" s="3" t="s">
        <v>167</v>
      </c>
      <c r="C32" s="3" t="s">
        <v>157</v>
      </c>
      <c r="D32" s="7">
        <f>19.9051596821194*1000/3600</f>
        <v>5.5292110228109443</v>
      </c>
      <c r="E32" s="6">
        <v>8000</v>
      </c>
      <c r="F32" s="6">
        <v>240</v>
      </c>
      <c r="G32" s="7">
        <v>0.9</v>
      </c>
      <c r="H32" s="7">
        <f t="shared" ref="H32:H35" si="24">(E32+(F32*(D32^G32)))/1000000</f>
        <v>9.1184281524003853E-3</v>
      </c>
    </row>
    <row r="33" spans="1:11" x14ac:dyDescent="0.3">
      <c r="A33" s="3" t="s">
        <v>155</v>
      </c>
      <c r="B33" s="3" t="s">
        <v>167</v>
      </c>
      <c r="C33" s="3" t="s">
        <v>157</v>
      </c>
      <c r="D33" s="7">
        <f>0.0481178738466795*1000/3600</f>
        <v>1.3366076068522083E-2</v>
      </c>
      <c r="E33" s="6">
        <v>8000</v>
      </c>
      <c r="F33" s="6">
        <v>240</v>
      </c>
      <c r="G33" s="7">
        <v>0.9</v>
      </c>
      <c r="H33" s="7">
        <f t="shared" si="24"/>
        <v>8.0049387242383425E-3</v>
      </c>
    </row>
    <row r="34" spans="1:11" x14ac:dyDescent="0.3">
      <c r="A34" s="3" t="s">
        <v>156</v>
      </c>
      <c r="B34" s="3" t="s">
        <v>167</v>
      </c>
      <c r="C34" s="3" t="s">
        <v>157</v>
      </c>
      <c r="D34" s="7">
        <f>38.2164961908364*1000/3600</f>
        <v>10.615693386343445</v>
      </c>
      <c r="E34" s="6">
        <v>8000</v>
      </c>
      <c r="F34" s="6">
        <v>240</v>
      </c>
      <c r="G34" s="7">
        <v>0.9</v>
      </c>
      <c r="H34" s="7">
        <f t="shared" ref="H34" si="25">(E34+(F34*(D34^G34)))/1000000</f>
        <v>1.0011707205037608E-2</v>
      </c>
    </row>
    <row r="35" spans="1:11" x14ac:dyDescent="0.3">
      <c r="A35" s="3" t="s">
        <v>263</v>
      </c>
      <c r="B35" s="3" t="s">
        <v>167</v>
      </c>
      <c r="C35" s="3" t="s">
        <v>157</v>
      </c>
      <c r="D35" s="7">
        <f>49.0698642685773*1000/3600</f>
        <v>13.630517852382583</v>
      </c>
      <c r="E35" s="6">
        <v>8000</v>
      </c>
      <c r="F35" s="6">
        <v>240</v>
      </c>
      <c r="G35" s="7">
        <v>0.9</v>
      </c>
      <c r="H35" s="7">
        <f t="shared" si="24"/>
        <v>1.0519256350745184E-2</v>
      </c>
    </row>
    <row r="36" spans="1:11" x14ac:dyDescent="0.3">
      <c r="A36" s="3"/>
      <c r="B36" s="2" t="s">
        <v>141</v>
      </c>
      <c r="C36" s="3"/>
      <c r="D36" s="7"/>
      <c r="E36" s="6"/>
      <c r="F36" s="6"/>
      <c r="G36" s="7"/>
      <c r="H36" s="9">
        <f>SUM(H32:H35)</f>
        <v>3.7654330432421515E-2</v>
      </c>
    </row>
    <row r="37" spans="1:11" x14ac:dyDescent="0.3">
      <c r="A37" s="38" t="s">
        <v>161</v>
      </c>
      <c r="B37" s="39"/>
      <c r="C37" s="39"/>
      <c r="D37" s="39"/>
      <c r="E37" s="39"/>
      <c r="F37" s="39"/>
      <c r="G37" s="39"/>
      <c r="H37" s="40"/>
    </row>
    <row r="38" spans="1:11" x14ac:dyDescent="0.3">
      <c r="A38" s="3" t="s">
        <v>178</v>
      </c>
      <c r="B38" s="3" t="s">
        <v>168</v>
      </c>
      <c r="C38" s="3" t="s">
        <v>54</v>
      </c>
      <c r="D38" s="16">
        <v>0.42062357571853998</v>
      </c>
      <c r="E38" s="6">
        <v>28000</v>
      </c>
      <c r="F38" s="6">
        <v>54</v>
      </c>
      <c r="G38" s="7">
        <v>1.2</v>
      </c>
      <c r="H38" s="7">
        <f t="shared" ref="H38:H155" si="26">(E38+(F38*(D38^G38)))/1000000</f>
        <v>2.801910143931326E-2</v>
      </c>
      <c r="J38" t="s">
        <v>264</v>
      </c>
    </row>
    <row r="39" spans="1:11" x14ac:dyDescent="0.3">
      <c r="A39" s="3" t="s">
        <v>180</v>
      </c>
      <c r="B39" s="3" t="s">
        <v>168</v>
      </c>
      <c r="C39" s="3" t="s">
        <v>54</v>
      </c>
      <c r="D39" s="16">
        <v>0.18378516340897999</v>
      </c>
      <c r="E39" s="6">
        <v>28000</v>
      </c>
      <c r="F39" s="6">
        <v>54</v>
      </c>
      <c r="G39" s="7">
        <v>1.2</v>
      </c>
      <c r="H39" s="7">
        <f t="shared" si="26"/>
        <v>2.8007072391578861E-2</v>
      </c>
      <c r="K39" s="29"/>
    </row>
    <row r="40" spans="1:11" x14ac:dyDescent="0.3">
      <c r="A40" s="3" t="s">
        <v>114</v>
      </c>
      <c r="B40" s="3" t="s">
        <v>168</v>
      </c>
      <c r="C40" s="3" t="s">
        <v>54</v>
      </c>
      <c r="D40" s="16">
        <v>0.38048552455863899</v>
      </c>
      <c r="E40" s="6">
        <v>28000</v>
      </c>
      <c r="F40" s="6">
        <v>54</v>
      </c>
      <c r="G40" s="7">
        <v>1.2</v>
      </c>
      <c r="H40" s="7">
        <f t="shared" si="26"/>
        <v>2.8016935558619636E-2</v>
      </c>
    </row>
    <row r="41" spans="1:11" x14ac:dyDescent="0.3">
      <c r="A41" s="3" t="s">
        <v>132</v>
      </c>
      <c r="B41" s="3" t="s">
        <v>168</v>
      </c>
      <c r="C41" s="3" t="s">
        <v>54</v>
      </c>
      <c r="D41" s="16">
        <v>17.4644200966701</v>
      </c>
      <c r="E41" s="6">
        <v>28000</v>
      </c>
      <c r="F41" s="6">
        <v>54</v>
      </c>
      <c r="G41" s="7">
        <v>1.2</v>
      </c>
      <c r="H41" s="7">
        <f t="shared" ref="H41" si="27">(E41+(F41*(D41^G41)))/1000000</f>
        <v>2.9671008900988175E-2</v>
      </c>
    </row>
    <row r="42" spans="1:11" x14ac:dyDescent="0.3">
      <c r="A42" s="3" t="s">
        <v>133</v>
      </c>
      <c r="B42" s="3" t="s">
        <v>168</v>
      </c>
      <c r="C42" s="3" t="s">
        <v>54</v>
      </c>
      <c r="D42" s="16">
        <v>79.835083216534002</v>
      </c>
      <c r="E42" s="6">
        <v>28000</v>
      </c>
      <c r="F42" s="6">
        <v>54</v>
      </c>
      <c r="G42" s="7">
        <v>1.2</v>
      </c>
      <c r="H42" s="7">
        <f t="shared" si="26"/>
        <v>3.8352048513734555E-2</v>
      </c>
    </row>
    <row r="43" spans="1:11" x14ac:dyDescent="0.3">
      <c r="A43" s="3" t="s">
        <v>265</v>
      </c>
      <c r="B43" s="3" t="s">
        <v>168</v>
      </c>
      <c r="C43" s="3" t="s">
        <v>54</v>
      </c>
      <c r="D43" s="16">
        <v>220.11635160812699</v>
      </c>
      <c r="E43" s="6">
        <v>28000</v>
      </c>
      <c r="F43" s="6">
        <v>54</v>
      </c>
      <c r="G43" s="7">
        <v>1.2</v>
      </c>
      <c r="H43" s="7">
        <f t="shared" si="26"/>
        <v>6.2960410775048423E-2</v>
      </c>
    </row>
    <row r="44" spans="1:11" x14ac:dyDescent="0.3">
      <c r="A44" s="3" t="s">
        <v>266</v>
      </c>
      <c r="B44" s="3" t="s">
        <v>168</v>
      </c>
      <c r="C44" s="3" t="s">
        <v>54</v>
      </c>
      <c r="D44" s="16">
        <v>45.646920144734203</v>
      </c>
      <c r="E44" s="6">
        <v>28000</v>
      </c>
      <c r="F44" s="6">
        <v>54</v>
      </c>
      <c r="G44" s="7">
        <v>1.2</v>
      </c>
      <c r="H44" s="7">
        <f t="shared" ref="H44" si="28">(E44+(F44*(D44^G44)))/1000000</f>
        <v>3.3292825018289278E-2</v>
      </c>
    </row>
    <row r="45" spans="1:11" x14ac:dyDescent="0.3">
      <c r="A45" s="3" t="s">
        <v>267</v>
      </c>
      <c r="B45" s="3" t="s">
        <v>168</v>
      </c>
      <c r="C45" s="3" t="s">
        <v>54</v>
      </c>
      <c r="D45" s="16">
        <v>34.4063865834732</v>
      </c>
      <c r="E45" s="6">
        <v>28000</v>
      </c>
      <c r="F45" s="6">
        <v>54</v>
      </c>
      <c r="G45" s="7">
        <v>1.2</v>
      </c>
      <c r="H45" s="7">
        <f t="shared" ref="H45" si="29">(E45+(F45*(D45^G45)))/1000000</f>
        <v>3.177016743128238E-2</v>
      </c>
    </row>
    <row r="46" spans="1:11" x14ac:dyDescent="0.3">
      <c r="A46" s="3" t="s">
        <v>268</v>
      </c>
      <c r="B46" s="3" t="s">
        <v>168</v>
      </c>
      <c r="C46" s="3" t="s">
        <v>54</v>
      </c>
      <c r="D46" s="16">
        <v>380.86891820143398</v>
      </c>
      <c r="E46" s="6">
        <v>28000</v>
      </c>
      <c r="F46" s="6">
        <v>54</v>
      </c>
      <c r="G46" s="7">
        <v>1.2</v>
      </c>
      <c r="H46" s="7">
        <f t="shared" ref="H46" si="30">(E46+(F46*(D46^G46)))/1000000</f>
        <v>9.5503205837429064E-2</v>
      </c>
      <c r="K46" s="29"/>
    </row>
    <row r="47" spans="1:11" x14ac:dyDescent="0.3">
      <c r="A47" s="3" t="s">
        <v>269</v>
      </c>
      <c r="B47" s="3" t="s">
        <v>168</v>
      </c>
      <c r="C47" s="3" t="s">
        <v>54</v>
      </c>
      <c r="D47" s="16">
        <v>172.07500731156901</v>
      </c>
      <c r="E47" s="6">
        <v>28000</v>
      </c>
      <c r="F47" s="6">
        <v>54</v>
      </c>
      <c r="G47" s="7">
        <v>1.2</v>
      </c>
      <c r="H47" s="7">
        <f t="shared" ref="H47:H56" si="31">(E47+(F47*(D47^G47)))/1000000</f>
        <v>5.4016874130087107E-2</v>
      </c>
    </row>
    <row r="48" spans="1:11" x14ac:dyDescent="0.3">
      <c r="A48" s="3" t="s">
        <v>270</v>
      </c>
      <c r="B48" s="3" t="s">
        <v>168</v>
      </c>
      <c r="C48" s="3" t="s">
        <v>54</v>
      </c>
      <c r="D48" s="16">
        <v>689.186598315786</v>
      </c>
      <c r="E48" s="6">
        <v>28000</v>
      </c>
      <c r="F48" s="6">
        <v>54</v>
      </c>
      <c r="G48" s="7">
        <v>1.2</v>
      </c>
      <c r="H48" s="7">
        <f t="shared" ref="H48" si="32">(E48+(F48*(D48^G48)))/1000000</f>
        <v>0.16553016001377052</v>
      </c>
    </row>
    <row r="49" spans="1:8" x14ac:dyDescent="0.3">
      <c r="A49" s="3" t="s">
        <v>136</v>
      </c>
      <c r="B49" s="3" t="s">
        <v>168</v>
      </c>
      <c r="C49" s="3" t="s">
        <v>54</v>
      </c>
      <c r="D49" s="16">
        <v>48.566304400083602</v>
      </c>
      <c r="E49" s="6">
        <v>28000</v>
      </c>
      <c r="F49" s="6">
        <v>54</v>
      </c>
      <c r="G49" s="7">
        <v>1.2</v>
      </c>
      <c r="H49" s="7">
        <f t="shared" si="31"/>
        <v>3.3701587962736396E-2</v>
      </c>
    </row>
    <row r="50" spans="1:8" x14ac:dyDescent="0.3">
      <c r="A50" s="3" t="s">
        <v>271</v>
      </c>
      <c r="B50" s="3" t="s">
        <v>168</v>
      </c>
      <c r="C50" s="3" t="s">
        <v>54</v>
      </c>
      <c r="D50" s="16">
        <v>671.47534246608905</v>
      </c>
      <c r="E50" s="6">
        <v>28000</v>
      </c>
      <c r="F50" s="6">
        <v>54</v>
      </c>
      <c r="G50" s="7">
        <v>1.2</v>
      </c>
      <c r="H50" s="7">
        <f t="shared" si="31"/>
        <v>0.16129990597661747</v>
      </c>
    </row>
    <row r="51" spans="1:8" x14ac:dyDescent="0.3">
      <c r="A51" s="3" t="s">
        <v>272</v>
      </c>
      <c r="B51" s="3" t="s">
        <v>168</v>
      </c>
      <c r="C51" s="3" t="s">
        <v>54</v>
      </c>
      <c r="D51" s="16">
        <v>820.01713639014497</v>
      </c>
      <c r="E51" s="6">
        <v>28000</v>
      </c>
      <c r="F51" s="6">
        <v>54</v>
      </c>
      <c r="G51" s="7">
        <v>1.2</v>
      </c>
      <c r="H51" s="7">
        <f t="shared" si="31"/>
        <v>0.19742647438546057</v>
      </c>
    </row>
    <row r="52" spans="1:8" x14ac:dyDescent="0.3">
      <c r="A52" s="3" t="s">
        <v>139</v>
      </c>
      <c r="B52" s="3" t="s">
        <v>168</v>
      </c>
      <c r="C52" s="3" t="s">
        <v>54</v>
      </c>
      <c r="D52" s="16">
        <v>167.65517923853801</v>
      </c>
      <c r="E52" s="6">
        <v>28000</v>
      </c>
      <c r="F52" s="6">
        <v>54</v>
      </c>
      <c r="G52" s="7">
        <v>1.2</v>
      </c>
      <c r="H52" s="7">
        <f t="shared" si="31"/>
        <v>5.3217041256269991E-2</v>
      </c>
    </row>
    <row r="53" spans="1:8" x14ac:dyDescent="0.3">
      <c r="A53" s="3" t="s">
        <v>182</v>
      </c>
      <c r="B53" s="3" t="s">
        <v>168</v>
      </c>
      <c r="C53" s="3" t="s">
        <v>54</v>
      </c>
      <c r="D53" s="16">
        <v>108.371073461021</v>
      </c>
      <c r="E53" s="6">
        <v>28000</v>
      </c>
      <c r="F53" s="6">
        <v>54</v>
      </c>
      <c r="G53" s="7">
        <v>1.2</v>
      </c>
      <c r="H53" s="7">
        <f t="shared" si="31"/>
        <v>4.2937909023857648E-2</v>
      </c>
    </row>
    <row r="54" spans="1:8" x14ac:dyDescent="0.3">
      <c r="A54" s="3" t="s">
        <v>183</v>
      </c>
      <c r="B54" s="3" t="s">
        <v>168</v>
      </c>
      <c r="C54" s="3" t="s">
        <v>54</v>
      </c>
      <c r="D54" s="16">
        <v>33.807188678777301</v>
      </c>
      <c r="E54" s="6">
        <v>28000</v>
      </c>
      <c r="F54" s="6">
        <v>54</v>
      </c>
      <c r="G54" s="7">
        <v>1.2</v>
      </c>
      <c r="H54" s="7">
        <f t="shared" si="31"/>
        <v>3.1691514925798879E-2</v>
      </c>
    </row>
    <row r="55" spans="1:8" x14ac:dyDescent="0.3">
      <c r="A55" s="3" t="s">
        <v>184</v>
      </c>
      <c r="B55" s="3" t="s">
        <v>168</v>
      </c>
      <c r="C55" s="3" t="s">
        <v>54</v>
      </c>
      <c r="D55" s="16">
        <v>6.8103471427270996</v>
      </c>
      <c r="E55" s="6">
        <v>28000</v>
      </c>
      <c r="F55" s="6">
        <v>54</v>
      </c>
      <c r="G55" s="7">
        <v>1.2</v>
      </c>
      <c r="H55" s="7">
        <f t="shared" si="31"/>
        <v>2.8539755230380215E-2</v>
      </c>
    </row>
    <row r="56" spans="1:8" ht="14.25" customHeight="1" x14ac:dyDescent="0.3">
      <c r="A56" s="3" t="s">
        <v>122</v>
      </c>
      <c r="B56" s="3" t="s">
        <v>168</v>
      </c>
      <c r="C56" s="3" t="s">
        <v>54</v>
      </c>
      <c r="D56" s="16">
        <v>47.614587716869401</v>
      </c>
      <c r="E56" s="6">
        <v>28000</v>
      </c>
      <c r="F56" s="6">
        <v>54</v>
      </c>
      <c r="G56" s="7">
        <v>1.2</v>
      </c>
      <c r="H56" s="7">
        <f t="shared" si="31"/>
        <v>3.3567776500857502E-2</v>
      </c>
    </row>
    <row r="57" spans="1:8" ht="14.25" customHeight="1" x14ac:dyDescent="0.3">
      <c r="A57" s="3" t="s">
        <v>121</v>
      </c>
      <c r="B57" s="3" t="s">
        <v>168</v>
      </c>
      <c r="C57" s="3" t="s">
        <v>54</v>
      </c>
      <c r="D57" s="16">
        <v>38.773771276701197</v>
      </c>
      <c r="E57" s="6">
        <v>28000</v>
      </c>
      <c r="F57" s="6">
        <v>54</v>
      </c>
      <c r="G57" s="7">
        <v>1.2</v>
      </c>
      <c r="H57" s="7">
        <f t="shared" ref="H57" si="33">(E57+(F57*(D57^G57)))/1000000</f>
        <v>3.2351504257311064E-2</v>
      </c>
    </row>
    <row r="58" spans="1:8" x14ac:dyDescent="0.3">
      <c r="A58" s="3" t="s">
        <v>273</v>
      </c>
      <c r="B58" s="3" t="s">
        <v>168</v>
      </c>
      <c r="C58" s="3" t="s">
        <v>54</v>
      </c>
      <c r="D58" s="16">
        <v>97.624238769580401</v>
      </c>
      <c r="E58" s="6">
        <v>28000</v>
      </c>
      <c r="F58" s="6">
        <v>54</v>
      </c>
      <c r="G58" s="7">
        <v>1.2</v>
      </c>
      <c r="H58" s="7">
        <f t="shared" ref="H58:H127" si="34">(E58+(F58*(D58^G58)))/1000000</f>
        <v>4.117840810067544E-2</v>
      </c>
    </row>
    <row r="59" spans="1:8" x14ac:dyDescent="0.3">
      <c r="A59" s="3" t="s">
        <v>274</v>
      </c>
      <c r="B59" s="3" t="s">
        <v>168</v>
      </c>
      <c r="C59" s="3" t="s">
        <v>54</v>
      </c>
      <c r="D59" s="16">
        <f>0.5*1553.07035717041</f>
        <v>776.53517858520502</v>
      </c>
      <c r="E59" s="6">
        <v>28000</v>
      </c>
      <c r="F59" s="6">
        <v>54</v>
      </c>
      <c r="G59" s="7">
        <v>1.2</v>
      </c>
      <c r="H59" s="7">
        <f t="shared" ref="H59" si="35">(E59+(F59*(D59^G59)))/1000000</f>
        <v>0.18670372548972006</v>
      </c>
    </row>
    <row r="60" spans="1:8" x14ac:dyDescent="0.3">
      <c r="A60" s="3" t="s">
        <v>274</v>
      </c>
      <c r="B60" s="3" t="s">
        <v>168</v>
      </c>
      <c r="C60" s="3" t="s">
        <v>54</v>
      </c>
      <c r="D60" s="16">
        <f>0.5*1553.07035717041</f>
        <v>776.53517858520502</v>
      </c>
      <c r="E60" s="6">
        <v>28000</v>
      </c>
      <c r="F60" s="6">
        <v>54</v>
      </c>
      <c r="G60" s="7">
        <v>1.2</v>
      </c>
      <c r="H60" s="7">
        <f t="shared" ref="H60" si="36">(E60+(F60*(D60^G60)))/1000000</f>
        <v>0.18670372548972006</v>
      </c>
    </row>
    <row r="61" spans="1:8" x14ac:dyDescent="0.3">
      <c r="A61" s="3" t="s">
        <v>275</v>
      </c>
      <c r="B61" s="3" t="s">
        <v>168</v>
      </c>
      <c r="C61" s="3" t="s">
        <v>54</v>
      </c>
      <c r="D61" s="16">
        <f>0.5*1679.82122192434</f>
        <v>839.91061096217004</v>
      </c>
      <c r="E61" s="6">
        <v>28000</v>
      </c>
      <c r="F61" s="6">
        <v>54</v>
      </c>
      <c r="G61" s="7">
        <v>1.2</v>
      </c>
      <c r="H61" s="7">
        <f t="shared" si="34"/>
        <v>0.20237067202973621</v>
      </c>
    </row>
    <row r="62" spans="1:8" x14ac:dyDescent="0.3">
      <c r="A62" s="3" t="s">
        <v>275</v>
      </c>
      <c r="B62" s="3" t="s">
        <v>168</v>
      </c>
      <c r="C62" s="3" t="s">
        <v>54</v>
      </c>
      <c r="D62" s="16">
        <f t="shared" ref="D62" si="37">0.5*1679.82122192434</f>
        <v>839.91061096217004</v>
      </c>
      <c r="E62" s="6">
        <v>28000</v>
      </c>
      <c r="F62" s="6">
        <v>54</v>
      </c>
      <c r="G62" s="7">
        <v>1.2</v>
      </c>
      <c r="H62" s="7">
        <f t="shared" ref="H62" si="38">(E62+(F62*(D62^G62)))/1000000</f>
        <v>0.20237067202973621</v>
      </c>
    </row>
    <row r="63" spans="1:8" x14ac:dyDescent="0.3">
      <c r="A63" s="3" t="s">
        <v>276</v>
      </c>
      <c r="B63" s="3" t="s">
        <v>168</v>
      </c>
      <c r="C63" s="3" t="s">
        <v>54</v>
      </c>
      <c r="D63" s="16">
        <v>107.61132079284199</v>
      </c>
      <c r="E63" s="6">
        <v>28000</v>
      </c>
      <c r="F63" s="6">
        <v>54</v>
      </c>
      <c r="G63" s="7">
        <v>1.2</v>
      </c>
      <c r="H63" s="7">
        <f t="shared" si="34"/>
        <v>4.2812327783677558E-2</v>
      </c>
    </row>
    <row r="64" spans="1:8" x14ac:dyDescent="0.3">
      <c r="A64" s="3" t="s">
        <v>277</v>
      </c>
      <c r="B64" s="3" t="s">
        <v>168</v>
      </c>
      <c r="C64" s="3" t="s">
        <v>54</v>
      </c>
      <c r="D64" s="16">
        <v>92.408221398324997</v>
      </c>
      <c r="E64" s="6">
        <v>28000</v>
      </c>
      <c r="F64" s="6">
        <v>54</v>
      </c>
      <c r="G64" s="7">
        <v>1.2</v>
      </c>
      <c r="H64" s="7">
        <f t="shared" si="34"/>
        <v>4.033804907855059E-2</v>
      </c>
    </row>
    <row r="65" spans="1:8" x14ac:dyDescent="0.3">
      <c r="A65" s="3" t="s">
        <v>110</v>
      </c>
      <c r="B65" s="3" t="s">
        <v>168</v>
      </c>
      <c r="C65" s="3" t="s">
        <v>54</v>
      </c>
      <c r="D65" s="16">
        <v>5.4098097318909604</v>
      </c>
      <c r="E65" s="6">
        <v>28000</v>
      </c>
      <c r="F65" s="6">
        <v>54</v>
      </c>
      <c r="G65" s="7">
        <v>1.2</v>
      </c>
      <c r="H65" s="7">
        <f t="shared" ref="H65" si="39">(E65+(F65*(D65^G65)))/1000000</f>
        <v>2.8409460628595548E-2</v>
      </c>
    </row>
    <row r="66" spans="1:8" x14ac:dyDescent="0.3">
      <c r="A66" s="3" t="s">
        <v>109</v>
      </c>
      <c r="B66" s="3" t="s">
        <v>168</v>
      </c>
      <c r="C66" s="3" t="s">
        <v>54</v>
      </c>
      <c r="D66" s="16">
        <v>97.129175205177802</v>
      </c>
      <c r="E66" s="6">
        <v>28000</v>
      </c>
      <c r="F66" s="6">
        <v>54</v>
      </c>
      <c r="G66" s="7">
        <v>1.2</v>
      </c>
      <c r="H66" s="7">
        <f t="shared" si="34"/>
        <v>4.1098253784715773E-2</v>
      </c>
    </row>
    <row r="67" spans="1:8" x14ac:dyDescent="0.3">
      <c r="A67" s="3" t="s">
        <v>135</v>
      </c>
      <c r="B67" s="3" t="s">
        <v>168</v>
      </c>
      <c r="C67" s="3" t="s">
        <v>54</v>
      </c>
      <c r="D67" s="16">
        <v>522.31787880965805</v>
      </c>
      <c r="E67" s="6">
        <v>28000</v>
      </c>
      <c r="F67" s="6">
        <v>54</v>
      </c>
      <c r="G67" s="7">
        <v>1.2</v>
      </c>
      <c r="H67" s="7">
        <f t="shared" si="34"/>
        <v>0.12660879007947576</v>
      </c>
    </row>
    <row r="68" spans="1:8" x14ac:dyDescent="0.3">
      <c r="A68" s="3" t="s">
        <v>116</v>
      </c>
      <c r="B68" s="3" t="s">
        <v>168</v>
      </c>
      <c r="C68" s="3" t="s">
        <v>54</v>
      </c>
      <c r="D68" s="16">
        <v>539.09976400709002</v>
      </c>
      <c r="E68" s="6">
        <v>28000</v>
      </c>
      <c r="F68" s="6">
        <v>54</v>
      </c>
      <c r="G68" s="7">
        <v>1.2</v>
      </c>
      <c r="H68" s="7">
        <f t="shared" si="34"/>
        <v>0.13042282019325008</v>
      </c>
    </row>
    <row r="69" spans="1:8" x14ac:dyDescent="0.3">
      <c r="A69" s="3" t="s">
        <v>134</v>
      </c>
      <c r="B69" s="3" t="s">
        <v>168</v>
      </c>
      <c r="C69" s="3" t="s">
        <v>54</v>
      </c>
      <c r="D69" s="16">
        <f>10054.5048443778/11</f>
        <v>914.04589494343634</v>
      </c>
      <c r="E69" s="6">
        <v>28000</v>
      </c>
      <c r="F69" s="6">
        <v>54</v>
      </c>
      <c r="G69" s="7">
        <v>1.2</v>
      </c>
      <c r="H69" s="7">
        <f t="shared" si="34"/>
        <v>0.22099913514050876</v>
      </c>
    </row>
    <row r="70" spans="1:8" x14ac:dyDescent="0.3">
      <c r="A70" s="3" t="s">
        <v>134</v>
      </c>
      <c r="B70" s="3" t="s">
        <v>168</v>
      </c>
      <c r="C70" s="3" t="s">
        <v>54</v>
      </c>
      <c r="D70" s="16">
        <f t="shared" ref="D70:D80" si="40">10054.5048443778/11</f>
        <v>914.04589494343634</v>
      </c>
      <c r="E70" s="6">
        <v>28000</v>
      </c>
      <c r="F70" s="6">
        <v>54</v>
      </c>
      <c r="G70" s="7">
        <v>1.2</v>
      </c>
      <c r="H70" s="7">
        <f t="shared" ref="H70:H80" si="41">(E70+(F70*(D70^G70)))/1000000</f>
        <v>0.22099913514050876</v>
      </c>
    </row>
    <row r="71" spans="1:8" x14ac:dyDescent="0.3">
      <c r="A71" s="3" t="s">
        <v>134</v>
      </c>
      <c r="B71" s="3" t="s">
        <v>168</v>
      </c>
      <c r="C71" s="3" t="s">
        <v>54</v>
      </c>
      <c r="D71" s="16">
        <f t="shared" si="40"/>
        <v>914.04589494343634</v>
      </c>
      <c r="E71" s="6">
        <v>28000</v>
      </c>
      <c r="F71" s="6">
        <v>54</v>
      </c>
      <c r="G71" s="7">
        <v>1.2</v>
      </c>
      <c r="H71" s="7">
        <f t="shared" si="41"/>
        <v>0.22099913514050876</v>
      </c>
    </row>
    <row r="72" spans="1:8" x14ac:dyDescent="0.3">
      <c r="A72" s="3" t="s">
        <v>134</v>
      </c>
      <c r="B72" s="3" t="s">
        <v>168</v>
      </c>
      <c r="C72" s="3" t="s">
        <v>54</v>
      </c>
      <c r="D72" s="16">
        <f t="shared" si="40"/>
        <v>914.04589494343634</v>
      </c>
      <c r="E72" s="6">
        <v>28000</v>
      </c>
      <c r="F72" s="6">
        <v>54</v>
      </c>
      <c r="G72" s="7">
        <v>1.2</v>
      </c>
      <c r="H72" s="7">
        <f t="shared" si="41"/>
        <v>0.22099913514050876</v>
      </c>
    </row>
    <row r="73" spans="1:8" x14ac:dyDescent="0.3">
      <c r="A73" s="3" t="s">
        <v>134</v>
      </c>
      <c r="B73" s="3" t="s">
        <v>168</v>
      </c>
      <c r="C73" s="3" t="s">
        <v>54</v>
      </c>
      <c r="D73" s="16">
        <f t="shared" si="40"/>
        <v>914.04589494343634</v>
      </c>
      <c r="E73" s="6">
        <v>28000</v>
      </c>
      <c r="F73" s="6">
        <v>54</v>
      </c>
      <c r="G73" s="7">
        <v>1.2</v>
      </c>
      <c r="H73" s="7">
        <f t="shared" si="41"/>
        <v>0.22099913514050876</v>
      </c>
    </row>
    <row r="74" spans="1:8" x14ac:dyDescent="0.3">
      <c r="A74" s="3" t="s">
        <v>134</v>
      </c>
      <c r="B74" s="3" t="s">
        <v>168</v>
      </c>
      <c r="C74" s="3" t="s">
        <v>54</v>
      </c>
      <c r="D74" s="16">
        <f t="shared" si="40"/>
        <v>914.04589494343634</v>
      </c>
      <c r="E74" s="6">
        <v>28000</v>
      </c>
      <c r="F74" s="6">
        <v>54</v>
      </c>
      <c r="G74" s="7">
        <v>1.2</v>
      </c>
      <c r="H74" s="7">
        <f t="shared" si="41"/>
        <v>0.22099913514050876</v>
      </c>
    </row>
    <row r="75" spans="1:8" x14ac:dyDescent="0.3">
      <c r="A75" s="3" t="s">
        <v>134</v>
      </c>
      <c r="B75" s="3" t="s">
        <v>168</v>
      </c>
      <c r="C75" s="3" t="s">
        <v>54</v>
      </c>
      <c r="D75" s="16">
        <f t="shared" si="40"/>
        <v>914.04589494343634</v>
      </c>
      <c r="E75" s="6">
        <v>28000</v>
      </c>
      <c r="F75" s="6">
        <v>54</v>
      </c>
      <c r="G75" s="7">
        <v>1.2</v>
      </c>
      <c r="H75" s="7">
        <f t="shared" si="41"/>
        <v>0.22099913514050876</v>
      </c>
    </row>
    <row r="76" spans="1:8" x14ac:dyDescent="0.3">
      <c r="A76" s="3" t="s">
        <v>134</v>
      </c>
      <c r="B76" s="3" t="s">
        <v>168</v>
      </c>
      <c r="C76" s="3" t="s">
        <v>54</v>
      </c>
      <c r="D76" s="16">
        <f t="shared" si="40"/>
        <v>914.04589494343634</v>
      </c>
      <c r="E76" s="6">
        <v>28000</v>
      </c>
      <c r="F76" s="6">
        <v>54</v>
      </c>
      <c r="G76" s="7">
        <v>1.2</v>
      </c>
      <c r="H76" s="7">
        <f t="shared" si="41"/>
        <v>0.22099913514050876</v>
      </c>
    </row>
    <row r="77" spans="1:8" x14ac:dyDescent="0.3">
      <c r="A77" s="3" t="s">
        <v>134</v>
      </c>
      <c r="B77" s="3" t="s">
        <v>168</v>
      </c>
      <c r="C77" s="3" t="s">
        <v>54</v>
      </c>
      <c r="D77" s="16">
        <f t="shared" si="40"/>
        <v>914.04589494343634</v>
      </c>
      <c r="E77" s="6">
        <v>28000</v>
      </c>
      <c r="F77" s="6">
        <v>54</v>
      </c>
      <c r="G77" s="7">
        <v>1.2</v>
      </c>
      <c r="H77" s="7">
        <f t="shared" si="41"/>
        <v>0.22099913514050876</v>
      </c>
    </row>
    <row r="78" spans="1:8" x14ac:dyDescent="0.3">
      <c r="A78" s="3" t="s">
        <v>134</v>
      </c>
      <c r="B78" s="3" t="s">
        <v>168</v>
      </c>
      <c r="C78" s="3" t="s">
        <v>54</v>
      </c>
      <c r="D78" s="16">
        <f t="shared" si="40"/>
        <v>914.04589494343634</v>
      </c>
      <c r="E78" s="6">
        <v>28000</v>
      </c>
      <c r="F78" s="6">
        <v>54</v>
      </c>
      <c r="G78" s="7">
        <v>1.2</v>
      </c>
      <c r="H78" s="7">
        <f t="shared" si="41"/>
        <v>0.22099913514050876</v>
      </c>
    </row>
    <row r="79" spans="1:8" x14ac:dyDescent="0.3">
      <c r="A79" s="3" t="s">
        <v>134</v>
      </c>
      <c r="B79" s="3" t="s">
        <v>168</v>
      </c>
      <c r="C79" s="3" t="s">
        <v>54</v>
      </c>
      <c r="D79" s="16">
        <f t="shared" si="40"/>
        <v>914.04589494343634</v>
      </c>
      <c r="E79" s="6">
        <v>28000</v>
      </c>
      <c r="F79" s="6">
        <v>54</v>
      </c>
      <c r="G79" s="7">
        <v>1.2</v>
      </c>
      <c r="H79" s="7">
        <f t="shared" si="41"/>
        <v>0.22099913514050876</v>
      </c>
    </row>
    <row r="80" spans="1:8" x14ac:dyDescent="0.3">
      <c r="A80" s="3" t="s">
        <v>134</v>
      </c>
      <c r="B80" s="3" t="s">
        <v>168</v>
      </c>
      <c r="C80" s="3" t="s">
        <v>54</v>
      </c>
      <c r="D80" s="16">
        <f t="shared" si="40"/>
        <v>914.04589494343634</v>
      </c>
      <c r="E80" s="6">
        <v>28000</v>
      </c>
      <c r="F80" s="6">
        <v>54</v>
      </c>
      <c r="G80" s="7">
        <v>1.2</v>
      </c>
      <c r="H80" s="7">
        <f t="shared" si="41"/>
        <v>0.22099913514050876</v>
      </c>
    </row>
    <row r="81" spans="1:8" x14ac:dyDescent="0.3">
      <c r="A81" s="3" t="s">
        <v>278</v>
      </c>
      <c r="B81" s="3" t="s">
        <v>168</v>
      </c>
      <c r="C81" s="3" t="s">
        <v>54</v>
      </c>
      <c r="D81" s="16">
        <v>161.78007846461099</v>
      </c>
      <c r="E81" s="6">
        <v>28000</v>
      </c>
      <c r="F81" s="6">
        <v>54</v>
      </c>
      <c r="G81" s="7">
        <v>1.2</v>
      </c>
      <c r="H81" s="7">
        <f t="shared" si="34"/>
        <v>5.2160382736881825E-2</v>
      </c>
    </row>
    <row r="82" spans="1:8" x14ac:dyDescent="0.3">
      <c r="A82" s="3" t="s">
        <v>279</v>
      </c>
      <c r="B82" s="3" t="s">
        <v>168</v>
      </c>
      <c r="C82" s="3" t="s">
        <v>54</v>
      </c>
      <c r="D82" s="16">
        <v>290.09747725011403</v>
      </c>
      <c r="E82" s="6">
        <v>28000</v>
      </c>
      <c r="F82" s="6">
        <v>54</v>
      </c>
      <c r="G82" s="7">
        <v>1.2</v>
      </c>
      <c r="H82" s="7">
        <f t="shared" ref="H82" si="42">(E82+(F82*(D82^G82)))/1000000</f>
        <v>7.6690754278619266E-2</v>
      </c>
    </row>
    <row r="83" spans="1:8" x14ac:dyDescent="0.3">
      <c r="A83" s="3" t="s">
        <v>130</v>
      </c>
      <c r="B83" s="3" t="s">
        <v>168</v>
      </c>
      <c r="C83" s="3" t="s">
        <v>54</v>
      </c>
      <c r="D83" s="16">
        <v>99.348775583932806</v>
      </c>
      <c r="E83" s="6">
        <v>28000</v>
      </c>
      <c r="F83" s="6">
        <v>54</v>
      </c>
      <c r="G83" s="7">
        <v>1.2</v>
      </c>
      <c r="H83" s="7">
        <f t="shared" si="34"/>
        <v>4.145825592514684E-2</v>
      </c>
    </row>
    <row r="84" spans="1:8" x14ac:dyDescent="0.3">
      <c r="A84" s="3" t="s">
        <v>131</v>
      </c>
      <c r="B84" s="3" t="s">
        <v>168</v>
      </c>
      <c r="C84" s="3" t="s">
        <v>54</v>
      </c>
      <c r="D84" s="16">
        <v>831.256029216348</v>
      </c>
      <c r="E84" s="6">
        <v>28000</v>
      </c>
      <c r="F84" s="6">
        <v>54</v>
      </c>
      <c r="G84" s="7">
        <v>1.2</v>
      </c>
      <c r="H84" s="7">
        <f t="shared" si="34"/>
        <v>0.20021680577534059</v>
      </c>
    </row>
    <row r="85" spans="1:8" x14ac:dyDescent="0.3">
      <c r="A85" s="3" t="s">
        <v>111</v>
      </c>
      <c r="B85" s="3" t="s">
        <v>168</v>
      </c>
      <c r="C85" s="3" t="s">
        <v>54</v>
      </c>
      <c r="D85" s="16">
        <v>29.8755762092471</v>
      </c>
      <c r="E85" s="6">
        <v>28000</v>
      </c>
      <c r="F85" s="6">
        <v>54</v>
      </c>
      <c r="G85" s="7">
        <v>1.2</v>
      </c>
      <c r="H85" s="7">
        <f t="shared" si="34"/>
        <v>3.1182535876582328E-2</v>
      </c>
    </row>
    <row r="86" spans="1:8" x14ac:dyDescent="0.3">
      <c r="A86" s="3" t="s">
        <v>129</v>
      </c>
      <c r="B86" s="3" t="s">
        <v>168</v>
      </c>
      <c r="C86" s="3" t="s">
        <v>54</v>
      </c>
      <c r="D86" s="16">
        <v>215.668185766932</v>
      </c>
      <c r="E86" s="6">
        <v>28000</v>
      </c>
      <c r="F86" s="6">
        <v>54</v>
      </c>
      <c r="G86" s="7">
        <v>1.2</v>
      </c>
      <c r="H86" s="7">
        <f t="shared" si="34"/>
        <v>6.2114346935103253E-2</v>
      </c>
    </row>
    <row r="87" spans="1:8" x14ac:dyDescent="0.3">
      <c r="A87" s="3" t="s">
        <v>280</v>
      </c>
      <c r="B87" s="3" t="s">
        <v>168</v>
      </c>
      <c r="C87" s="3" t="s">
        <v>54</v>
      </c>
      <c r="D87" s="16">
        <v>396.15215935514902</v>
      </c>
      <c r="E87" s="6">
        <v>28000</v>
      </c>
      <c r="F87" s="6">
        <v>54</v>
      </c>
      <c r="G87" s="7">
        <v>1.2</v>
      </c>
      <c r="H87" s="7">
        <f t="shared" si="34"/>
        <v>9.8766577602591513E-2</v>
      </c>
    </row>
    <row r="88" spans="1:8" ht="15.75" customHeight="1" x14ac:dyDescent="0.3">
      <c r="A88" s="3" t="s">
        <v>185</v>
      </c>
      <c r="B88" s="3" t="s">
        <v>168</v>
      </c>
      <c r="C88" s="3" t="s">
        <v>54</v>
      </c>
      <c r="D88" s="16">
        <v>78.399570793829795</v>
      </c>
      <c r="E88" s="6">
        <v>28000</v>
      </c>
      <c r="F88" s="6">
        <v>54</v>
      </c>
      <c r="G88" s="7">
        <v>1.2</v>
      </c>
      <c r="H88" s="7">
        <f t="shared" si="34"/>
        <v>3.8129084214931844E-2</v>
      </c>
    </row>
    <row r="89" spans="1:8" x14ac:dyDescent="0.3">
      <c r="A89" s="3" t="s">
        <v>186</v>
      </c>
      <c r="B89" s="3" t="s">
        <v>168</v>
      </c>
      <c r="C89" s="3" t="s">
        <v>54</v>
      </c>
      <c r="D89" s="16">
        <v>75.605955667710603</v>
      </c>
      <c r="E89" s="6">
        <v>28000</v>
      </c>
      <c r="F89" s="6">
        <v>54</v>
      </c>
      <c r="G89" s="7">
        <v>1.2</v>
      </c>
      <c r="H89" s="7">
        <f t="shared" ref="H89" si="43">(E89+(F89*(D89^G89)))/1000000</f>
        <v>3.7697526355488099E-2</v>
      </c>
    </row>
    <row r="90" spans="1:8" x14ac:dyDescent="0.3">
      <c r="A90" s="3" t="s">
        <v>179</v>
      </c>
      <c r="B90" s="3" t="s">
        <v>168</v>
      </c>
      <c r="C90" s="3" t="s">
        <v>54</v>
      </c>
      <c r="D90" s="16">
        <f>0.5*1748.60009073901</f>
        <v>874.30004536950503</v>
      </c>
      <c r="E90" s="6">
        <v>28000</v>
      </c>
      <c r="F90" s="6">
        <v>54</v>
      </c>
      <c r="G90" s="7">
        <v>1.2</v>
      </c>
      <c r="H90" s="7">
        <f t="shared" si="34"/>
        <v>0.21097272706022643</v>
      </c>
    </row>
    <row r="91" spans="1:8" x14ac:dyDescent="0.3">
      <c r="A91" s="3" t="s">
        <v>179</v>
      </c>
      <c r="B91" s="3" t="s">
        <v>168</v>
      </c>
      <c r="C91" s="3" t="s">
        <v>54</v>
      </c>
      <c r="D91" s="16">
        <f>0.5*1748.60009073901</f>
        <v>874.30004536950503</v>
      </c>
      <c r="E91" s="6">
        <v>28000</v>
      </c>
      <c r="F91" s="6">
        <v>54</v>
      </c>
      <c r="G91" s="7">
        <v>1.2</v>
      </c>
      <c r="H91" s="7">
        <f t="shared" ref="H91" si="44">(E91+(F91*(D91^G91)))/1000000</f>
        <v>0.21097272706022643</v>
      </c>
    </row>
    <row r="92" spans="1:8" x14ac:dyDescent="0.3">
      <c r="A92" s="3" t="s">
        <v>187</v>
      </c>
      <c r="B92" s="3" t="s">
        <v>168</v>
      </c>
      <c r="C92" s="3" t="s">
        <v>54</v>
      </c>
      <c r="D92" s="16">
        <v>0.25086756141363897</v>
      </c>
      <c r="E92" s="6">
        <v>28000</v>
      </c>
      <c r="F92" s="6">
        <v>54</v>
      </c>
      <c r="G92" s="7">
        <v>1.2</v>
      </c>
      <c r="H92" s="7">
        <f t="shared" ref="H92:H93" si="45">(E92+(F92*(D92^G92)))/1000000</f>
        <v>2.8010273706856867E-2</v>
      </c>
    </row>
    <row r="93" spans="1:8" x14ac:dyDescent="0.3">
      <c r="A93" s="3" t="s">
        <v>188</v>
      </c>
      <c r="B93" s="3" t="s">
        <v>168</v>
      </c>
      <c r="C93" s="3" t="s">
        <v>54</v>
      </c>
      <c r="D93" s="16">
        <v>94.654247901994594</v>
      </c>
      <c r="E93" s="6">
        <v>28000</v>
      </c>
      <c r="F93" s="6">
        <v>54</v>
      </c>
      <c r="G93" s="7">
        <v>1.2</v>
      </c>
      <c r="H93" s="7">
        <f t="shared" si="45"/>
        <v>4.0698776823129793E-2</v>
      </c>
    </row>
    <row r="94" spans="1:8" x14ac:dyDescent="0.3">
      <c r="A94" s="3" t="s">
        <v>118</v>
      </c>
      <c r="B94" s="3" t="s">
        <v>168</v>
      </c>
      <c r="C94" s="3" t="s">
        <v>54</v>
      </c>
      <c r="D94" s="16">
        <f>0.5*1289.04164423649</f>
        <v>644.52082211824495</v>
      </c>
      <c r="E94" s="6">
        <v>28000</v>
      </c>
      <c r="F94" s="6">
        <v>54</v>
      </c>
      <c r="G94" s="7">
        <v>1.2</v>
      </c>
      <c r="H94" s="7">
        <f t="shared" si="34"/>
        <v>0.15490481568859688</v>
      </c>
    </row>
    <row r="95" spans="1:8" x14ac:dyDescent="0.3">
      <c r="A95" s="3" t="s">
        <v>118</v>
      </c>
      <c r="B95" s="3" t="s">
        <v>168</v>
      </c>
      <c r="C95" s="3" t="s">
        <v>54</v>
      </c>
      <c r="D95" s="16">
        <f>0.5*1289.04164423649</f>
        <v>644.52082211824495</v>
      </c>
      <c r="E95" s="6">
        <v>28000</v>
      </c>
      <c r="F95" s="6">
        <v>54</v>
      </c>
      <c r="G95" s="7">
        <v>1.2</v>
      </c>
      <c r="H95" s="7">
        <f t="shared" ref="H95" si="46">(E95+(F95*(D95^G95)))/1000000</f>
        <v>0.15490481568859688</v>
      </c>
    </row>
    <row r="96" spans="1:8" ht="15.75" customHeight="1" x14ac:dyDescent="0.3">
      <c r="A96" s="3" t="s">
        <v>113</v>
      </c>
      <c r="B96" s="3" t="s">
        <v>168</v>
      </c>
      <c r="C96" s="3" t="s">
        <v>54</v>
      </c>
      <c r="D96" s="16">
        <v>224.00831528165901</v>
      </c>
      <c r="E96" s="6">
        <v>28000</v>
      </c>
      <c r="F96" s="6">
        <v>54</v>
      </c>
      <c r="G96" s="7">
        <v>1.2</v>
      </c>
      <c r="H96" s="7">
        <f t="shared" si="34"/>
        <v>6.3703494713646752E-2</v>
      </c>
    </row>
    <row r="97" spans="1:8" x14ac:dyDescent="0.3">
      <c r="A97" s="3" t="s">
        <v>115</v>
      </c>
      <c r="B97" s="3" t="s">
        <v>168</v>
      </c>
      <c r="C97" s="3" t="s">
        <v>54</v>
      </c>
      <c r="D97" s="16">
        <v>248.92432075911299</v>
      </c>
      <c r="E97" s="6">
        <v>28000</v>
      </c>
      <c r="F97" s="6">
        <v>54</v>
      </c>
      <c r="G97" s="7">
        <v>1.2</v>
      </c>
      <c r="H97" s="7">
        <f t="shared" si="34"/>
        <v>6.8520477704839836E-2</v>
      </c>
    </row>
    <row r="98" spans="1:8" x14ac:dyDescent="0.3">
      <c r="A98" s="3" t="s">
        <v>281</v>
      </c>
      <c r="B98" s="3" t="s">
        <v>168</v>
      </c>
      <c r="C98" s="3" t="s">
        <v>54</v>
      </c>
      <c r="D98" s="16">
        <v>441.902871242434</v>
      </c>
      <c r="E98" s="6">
        <v>28000</v>
      </c>
      <c r="F98" s="6">
        <v>54</v>
      </c>
      <c r="G98" s="7">
        <v>1.2</v>
      </c>
      <c r="H98" s="7">
        <f t="shared" ref="H98" si="47">(E98+(F98*(D98^G98)))/1000000</f>
        <v>0.10868372637472562</v>
      </c>
    </row>
    <row r="99" spans="1:8" x14ac:dyDescent="0.3">
      <c r="A99" s="3" t="s">
        <v>108</v>
      </c>
      <c r="B99" s="3" t="s">
        <v>168</v>
      </c>
      <c r="C99" s="3" t="s">
        <v>54</v>
      </c>
      <c r="D99" s="16">
        <v>140.662150821929</v>
      </c>
      <c r="E99" s="6">
        <v>28000</v>
      </c>
      <c r="F99" s="6">
        <v>54</v>
      </c>
      <c r="G99" s="7">
        <v>1.2</v>
      </c>
      <c r="H99" s="7">
        <f t="shared" si="34"/>
        <v>4.8427088213011914E-2</v>
      </c>
    </row>
    <row r="100" spans="1:8" x14ac:dyDescent="0.3">
      <c r="A100" s="3" t="s">
        <v>126</v>
      </c>
      <c r="B100" s="3" t="s">
        <v>168</v>
      </c>
      <c r="C100" s="3" t="s">
        <v>54</v>
      </c>
      <c r="D100" s="16">
        <v>232.29010756735201</v>
      </c>
      <c r="E100" s="6">
        <v>28000</v>
      </c>
      <c r="F100" s="6">
        <v>54</v>
      </c>
      <c r="G100" s="7">
        <v>1.2</v>
      </c>
      <c r="H100" s="7">
        <f t="shared" si="34"/>
        <v>6.529328309494703E-2</v>
      </c>
    </row>
    <row r="101" spans="1:8" x14ac:dyDescent="0.3">
      <c r="A101" s="3" t="s">
        <v>120</v>
      </c>
      <c r="B101" s="3" t="s">
        <v>168</v>
      </c>
      <c r="C101" s="3" t="s">
        <v>54</v>
      </c>
      <c r="D101" s="16">
        <v>251.41186478705399</v>
      </c>
      <c r="E101" s="6">
        <v>28000</v>
      </c>
      <c r="F101" s="6">
        <v>54</v>
      </c>
      <c r="G101" s="7">
        <v>1.2</v>
      </c>
      <c r="H101" s="7">
        <f t="shared" si="34"/>
        <v>6.900687581552982E-2</v>
      </c>
    </row>
    <row r="102" spans="1:8" x14ac:dyDescent="0.3">
      <c r="A102" s="3" t="s">
        <v>125</v>
      </c>
      <c r="B102" s="3" t="s">
        <v>168</v>
      </c>
      <c r="C102" s="3" t="s">
        <v>54</v>
      </c>
      <c r="D102" s="16">
        <f>1/3*2006.26798489314</f>
        <v>668.75599496437997</v>
      </c>
      <c r="E102" s="6">
        <v>28000</v>
      </c>
      <c r="F102" s="6">
        <v>54</v>
      </c>
      <c r="G102" s="7">
        <v>1.2</v>
      </c>
      <c r="H102" s="7">
        <f t="shared" si="34"/>
        <v>0.16065236147246206</v>
      </c>
    </row>
    <row r="103" spans="1:8" x14ac:dyDescent="0.3">
      <c r="A103" s="3" t="s">
        <v>125</v>
      </c>
      <c r="B103" s="3" t="s">
        <v>168</v>
      </c>
      <c r="C103" s="3" t="s">
        <v>54</v>
      </c>
      <c r="D103" s="16">
        <f t="shared" ref="D103:D104" si="48">1/3*2006.26798489314</f>
        <v>668.75599496437997</v>
      </c>
      <c r="E103" s="6">
        <v>28000</v>
      </c>
      <c r="F103" s="6">
        <v>54</v>
      </c>
      <c r="G103" s="7">
        <v>1.2</v>
      </c>
      <c r="H103" s="7">
        <f t="shared" ref="H103:H104" si="49">(E103+(F103*(D103^G103)))/1000000</f>
        <v>0.16065236147246206</v>
      </c>
    </row>
    <row r="104" spans="1:8" x14ac:dyDescent="0.3">
      <c r="A104" s="3" t="s">
        <v>125</v>
      </c>
      <c r="B104" s="3" t="s">
        <v>168</v>
      </c>
      <c r="C104" s="3" t="s">
        <v>54</v>
      </c>
      <c r="D104" s="16">
        <f t="shared" si="48"/>
        <v>668.75599496437997</v>
      </c>
      <c r="E104" s="6">
        <v>28000</v>
      </c>
      <c r="F104" s="6">
        <v>54</v>
      </c>
      <c r="G104" s="7">
        <v>1.2</v>
      </c>
      <c r="H104" s="7">
        <f t="shared" si="49"/>
        <v>0.16065236147246206</v>
      </c>
    </row>
    <row r="105" spans="1:8" x14ac:dyDescent="0.3">
      <c r="A105" s="3" t="s">
        <v>124</v>
      </c>
      <c r="B105" s="3" t="s">
        <v>168</v>
      </c>
      <c r="C105" s="3" t="s">
        <v>54</v>
      </c>
      <c r="D105" s="16">
        <v>778.05737063206902</v>
      </c>
      <c r="E105" s="6">
        <v>28000</v>
      </c>
      <c r="F105" s="6">
        <v>54</v>
      </c>
      <c r="G105" s="7">
        <v>1.2</v>
      </c>
      <c r="H105" s="7">
        <f t="shared" si="34"/>
        <v>0.18707711469691923</v>
      </c>
    </row>
    <row r="106" spans="1:8" x14ac:dyDescent="0.3">
      <c r="A106" s="3" t="s">
        <v>107</v>
      </c>
      <c r="B106" s="3" t="s">
        <v>168</v>
      </c>
      <c r="C106" s="3" t="s">
        <v>54</v>
      </c>
      <c r="D106" s="16">
        <f>1/10*9931.93965604438</f>
        <v>993.19396560443806</v>
      </c>
      <c r="E106" s="6">
        <v>28000</v>
      </c>
      <c r="F106" s="6">
        <v>54</v>
      </c>
      <c r="G106" s="7">
        <v>1.2</v>
      </c>
      <c r="H106" s="7">
        <f t="shared" si="34"/>
        <v>0.24122329311152876</v>
      </c>
    </row>
    <row r="107" spans="1:8" x14ac:dyDescent="0.3">
      <c r="A107" s="3" t="s">
        <v>107</v>
      </c>
      <c r="B107" s="3" t="s">
        <v>168</v>
      </c>
      <c r="C107" s="3" t="s">
        <v>54</v>
      </c>
      <c r="D107" s="16">
        <f t="shared" ref="D107:D115" si="50">1/10*9931.93965604438</f>
        <v>993.19396560443806</v>
      </c>
      <c r="E107" s="6">
        <v>28000</v>
      </c>
      <c r="F107" s="6">
        <v>54</v>
      </c>
      <c r="G107" s="7">
        <v>1.2</v>
      </c>
      <c r="H107" s="7">
        <f t="shared" ref="H107:H115" si="51">(E107+(F107*(D107^G107)))/1000000</f>
        <v>0.24122329311152876</v>
      </c>
    </row>
    <row r="108" spans="1:8" x14ac:dyDescent="0.3">
      <c r="A108" s="3" t="s">
        <v>107</v>
      </c>
      <c r="B108" s="3" t="s">
        <v>168</v>
      </c>
      <c r="C108" s="3" t="s">
        <v>54</v>
      </c>
      <c r="D108" s="16">
        <f t="shared" si="50"/>
        <v>993.19396560443806</v>
      </c>
      <c r="E108" s="6">
        <v>28000</v>
      </c>
      <c r="F108" s="6">
        <v>54</v>
      </c>
      <c r="G108" s="7">
        <v>1.2</v>
      </c>
      <c r="H108" s="7">
        <f t="shared" si="51"/>
        <v>0.24122329311152876</v>
      </c>
    </row>
    <row r="109" spans="1:8" x14ac:dyDescent="0.3">
      <c r="A109" s="3" t="s">
        <v>107</v>
      </c>
      <c r="B109" s="3" t="s">
        <v>168</v>
      </c>
      <c r="C109" s="3" t="s">
        <v>54</v>
      </c>
      <c r="D109" s="16">
        <f t="shared" si="50"/>
        <v>993.19396560443806</v>
      </c>
      <c r="E109" s="6">
        <v>28000</v>
      </c>
      <c r="F109" s="6">
        <v>54</v>
      </c>
      <c r="G109" s="7">
        <v>1.2</v>
      </c>
      <c r="H109" s="7">
        <f t="shared" si="51"/>
        <v>0.24122329311152876</v>
      </c>
    </row>
    <row r="110" spans="1:8" x14ac:dyDescent="0.3">
      <c r="A110" s="3" t="s">
        <v>107</v>
      </c>
      <c r="B110" s="3" t="s">
        <v>168</v>
      </c>
      <c r="C110" s="3" t="s">
        <v>54</v>
      </c>
      <c r="D110" s="16">
        <f t="shared" si="50"/>
        <v>993.19396560443806</v>
      </c>
      <c r="E110" s="6">
        <v>28000</v>
      </c>
      <c r="F110" s="6">
        <v>54</v>
      </c>
      <c r="G110" s="7">
        <v>1.2</v>
      </c>
      <c r="H110" s="7">
        <f t="shared" si="51"/>
        <v>0.24122329311152876</v>
      </c>
    </row>
    <row r="111" spans="1:8" x14ac:dyDescent="0.3">
      <c r="A111" s="3" t="s">
        <v>107</v>
      </c>
      <c r="B111" s="3" t="s">
        <v>168</v>
      </c>
      <c r="C111" s="3" t="s">
        <v>54</v>
      </c>
      <c r="D111" s="16">
        <f t="shared" si="50"/>
        <v>993.19396560443806</v>
      </c>
      <c r="E111" s="6">
        <v>28000</v>
      </c>
      <c r="F111" s="6">
        <v>54</v>
      </c>
      <c r="G111" s="7">
        <v>1.2</v>
      </c>
      <c r="H111" s="7">
        <f t="shared" si="51"/>
        <v>0.24122329311152876</v>
      </c>
    </row>
    <row r="112" spans="1:8" x14ac:dyDescent="0.3">
      <c r="A112" s="3" t="s">
        <v>107</v>
      </c>
      <c r="B112" s="3" t="s">
        <v>168</v>
      </c>
      <c r="C112" s="3" t="s">
        <v>54</v>
      </c>
      <c r="D112" s="16">
        <f t="shared" si="50"/>
        <v>993.19396560443806</v>
      </c>
      <c r="E112" s="6">
        <v>28000</v>
      </c>
      <c r="F112" s="6">
        <v>54</v>
      </c>
      <c r="G112" s="7">
        <v>1.2</v>
      </c>
      <c r="H112" s="7">
        <f t="shared" si="51"/>
        <v>0.24122329311152876</v>
      </c>
    </row>
    <row r="113" spans="1:8" x14ac:dyDescent="0.3">
      <c r="A113" s="3" t="s">
        <v>107</v>
      </c>
      <c r="B113" s="3" t="s">
        <v>168</v>
      </c>
      <c r="C113" s="3" t="s">
        <v>54</v>
      </c>
      <c r="D113" s="16">
        <f t="shared" si="50"/>
        <v>993.19396560443806</v>
      </c>
      <c r="E113" s="6">
        <v>28000</v>
      </c>
      <c r="F113" s="6">
        <v>54</v>
      </c>
      <c r="G113" s="7">
        <v>1.2</v>
      </c>
      <c r="H113" s="7">
        <f t="shared" si="51"/>
        <v>0.24122329311152876</v>
      </c>
    </row>
    <row r="114" spans="1:8" x14ac:dyDescent="0.3">
      <c r="A114" s="3" t="s">
        <v>107</v>
      </c>
      <c r="B114" s="3" t="s">
        <v>168</v>
      </c>
      <c r="C114" s="3" t="s">
        <v>54</v>
      </c>
      <c r="D114" s="16">
        <f t="shared" si="50"/>
        <v>993.19396560443806</v>
      </c>
      <c r="E114" s="6">
        <v>28000</v>
      </c>
      <c r="F114" s="6">
        <v>54</v>
      </c>
      <c r="G114" s="7">
        <v>1.2</v>
      </c>
      <c r="H114" s="7">
        <f t="shared" si="51"/>
        <v>0.24122329311152876</v>
      </c>
    </row>
    <row r="115" spans="1:8" x14ac:dyDescent="0.3">
      <c r="A115" s="3" t="s">
        <v>107</v>
      </c>
      <c r="B115" s="3" t="s">
        <v>168</v>
      </c>
      <c r="C115" s="3" t="s">
        <v>54</v>
      </c>
      <c r="D115" s="16">
        <f t="shared" si="50"/>
        <v>993.19396560443806</v>
      </c>
      <c r="E115" s="6">
        <v>28000</v>
      </c>
      <c r="F115" s="6">
        <v>54</v>
      </c>
      <c r="G115" s="7">
        <v>1.2</v>
      </c>
      <c r="H115" s="7">
        <f t="shared" si="51"/>
        <v>0.24122329311152876</v>
      </c>
    </row>
    <row r="116" spans="1:8" x14ac:dyDescent="0.3">
      <c r="A116" s="3" t="s">
        <v>282</v>
      </c>
      <c r="B116" s="3" t="s">
        <v>168</v>
      </c>
      <c r="C116" s="3" t="s">
        <v>54</v>
      </c>
      <c r="D116" s="16">
        <v>143.99863880581</v>
      </c>
      <c r="E116" s="6">
        <v>28000</v>
      </c>
      <c r="F116" s="6">
        <v>54</v>
      </c>
      <c r="G116" s="7">
        <v>1.2</v>
      </c>
      <c r="H116" s="7">
        <f t="shared" si="34"/>
        <v>4.9009892195401236E-2</v>
      </c>
    </row>
    <row r="117" spans="1:8" x14ac:dyDescent="0.3">
      <c r="A117" s="3" t="s">
        <v>283</v>
      </c>
      <c r="B117" s="3" t="s">
        <v>168</v>
      </c>
      <c r="C117" s="3" t="s">
        <v>54</v>
      </c>
      <c r="D117" s="16">
        <v>544.99900622629195</v>
      </c>
      <c r="E117" s="6">
        <v>28000</v>
      </c>
      <c r="F117" s="6">
        <v>54</v>
      </c>
      <c r="G117" s="7">
        <v>1.2</v>
      </c>
      <c r="H117" s="7">
        <f t="shared" si="34"/>
        <v>0.13176923432895332</v>
      </c>
    </row>
    <row r="118" spans="1:8" x14ac:dyDescent="0.3">
      <c r="A118" s="3" t="s">
        <v>140</v>
      </c>
      <c r="B118" s="3" t="s">
        <v>168</v>
      </c>
      <c r="C118" s="3" t="s">
        <v>54</v>
      </c>
      <c r="D118" s="16">
        <f>0.5*1753.18684248936</f>
        <v>876.59342124468003</v>
      </c>
      <c r="E118" s="6">
        <v>28000</v>
      </c>
      <c r="F118" s="6">
        <v>54</v>
      </c>
      <c r="G118" s="7">
        <v>1.2</v>
      </c>
      <c r="H118" s="7">
        <f t="shared" si="34"/>
        <v>0.21154882479954518</v>
      </c>
    </row>
    <row r="119" spans="1:8" x14ac:dyDescent="0.3">
      <c r="A119" s="3" t="s">
        <v>140</v>
      </c>
      <c r="B119" s="3" t="s">
        <v>168</v>
      </c>
      <c r="C119" s="3" t="s">
        <v>54</v>
      </c>
      <c r="D119" s="16">
        <f t="shared" ref="D119" si="52">0.5*1753.18684248936</f>
        <v>876.59342124468003</v>
      </c>
      <c r="E119" s="6">
        <v>28000</v>
      </c>
      <c r="F119" s="6">
        <v>54</v>
      </c>
      <c r="G119" s="7">
        <v>1.2</v>
      </c>
      <c r="H119" s="7">
        <f t="shared" ref="H119" si="53">(E119+(F119*(D119^G119)))/1000000</f>
        <v>0.21154882479954518</v>
      </c>
    </row>
    <row r="120" spans="1:8" x14ac:dyDescent="0.3">
      <c r="A120" s="3" t="s">
        <v>119</v>
      </c>
      <c r="B120" s="3" t="s">
        <v>168</v>
      </c>
      <c r="C120" s="3" t="s">
        <v>54</v>
      </c>
      <c r="D120" s="16">
        <v>612.212400861785</v>
      </c>
      <c r="E120" s="6">
        <v>28000</v>
      </c>
      <c r="F120" s="6">
        <v>54</v>
      </c>
      <c r="G120" s="7">
        <v>1.2</v>
      </c>
      <c r="H120" s="7">
        <f t="shared" ref="H120" si="54">(E120+(F120*(D120^G120)))/1000000</f>
        <v>0.14730985190458148</v>
      </c>
    </row>
    <row r="121" spans="1:8" x14ac:dyDescent="0.3">
      <c r="A121" s="3" t="s">
        <v>137</v>
      </c>
      <c r="B121" s="3" t="s">
        <v>168</v>
      </c>
      <c r="C121" s="3" t="s">
        <v>54</v>
      </c>
      <c r="D121" s="16">
        <v>35.828264290880398</v>
      </c>
      <c r="E121" s="6">
        <v>28000</v>
      </c>
      <c r="F121" s="6">
        <v>54</v>
      </c>
      <c r="G121" s="7">
        <v>1.2</v>
      </c>
      <c r="H121" s="7">
        <f t="shared" si="34"/>
        <v>3.1957898775814488E-2</v>
      </c>
    </row>
    <row r="122" spans="1:8" x14ac:dyDescent="0.3">
      <c r="A122" s="3" t="s">
        <v>138</v>
      </c>
      <c r="B122" s="3" t="s">
        <v>168</v>
      </c>
      <c r="C122" s="3" t="s">
        <v>54</v>
      </c>
      <c r="D122" s="16">
        <f>0.5*1451.2729034332</f>
        <v>725.63645171660005</v>
      </c>
      <c r="E122" s="6">
        <v>28000</v>
      </c>
      <c r="F122" s="6">
        <v>54</v>
      </c>
      <c r="G122" s="7">
        <v>1.2</v>
      </c>
      <c r="H122" s="7">
        <f t="shared" si="34"/>
        <v>0.17430415799119017</v>
      </c>
    </row>
    <row r="123" spans="1:8" x14ac:dyDescent="0.3">
      <c r="A123" s="3" t="s">
        <v>138</v>
      </c>
      <c r="B123" s="3" t="s">
        <v>168</v>
      </c>
      <c r="C123" s="3" t="s">
        <v>54</v>
      </c>
      <c r="D123" s="16">
        <f t="shared" ref="D123" si="55">0.5*1451.2729034332</f>
        <v>725.63645171660005</v>
      </c>
      <c r="E123" s="6">
        <v>28000</v>
      </c>
      <c r="F123" s="6">
        <v>54</v>
      </c>
      <c r="G123" s="7">
        <v>1.2</v>
      </c>
      <c r="H123" s="7">
        <f t="shared" ref="H123" si="56">(E123+(F123*(D123^G123)))/1000000</f>
        <v>0.17430415799119017</v>
      </c>
    </row>
    <row r="124" spans="1:8" x14ac:dyDescent="0.3">
      <c r="A124" s="3" t="s">
        <v>284</v>
      </c>
      <c r="B124" s="3" t="s">
        <v>168</v>
      </c>
      <c r="C124" s="3" t="s">
        <v>54</v>
      </c>
      <c r="D124" s="16">
        <v>8.0718693656543508</v>
      </c>
      <c r="E124" s="6">
        <v>28000</v>
      </c>
      <c r="F124" s="6">
        <v>54</v>
      </c>
      <c r="G124" s="7">
        <v>1.2</v>
      </c>
      <c r="H124" s="7">
        <f t="shared" si="34"/>
        <v>2.8661854779593762E-2</v>
      </c>
    </row>
    <row r="125" spans="1:8" x14ac:dyDescent="0.3">
      <c r="A125" s="3" t="s">
        <v>285</v>
      </c>
      <c r="B125" s="3" t="s">
        <v>168</v>
      </c>
      <c r="C125" s="3" t="s">
        <v>54</v>
      </c>
      <c r="D125" s="16">
        <v>102.321818854195</v>
      </c>
      <c r="E125" s="6">
        <v>28000</v>
      </c>
      <c r="F125" s="6">
        <v>54</v>
      </c>
      <c r="G125" s="7">
        <v>1.2</v>
      </c>
      <c r="H125" s="7">
        <f t="shared" si="34"/>
        <v>4.1942981836006858E-2</v>
      </c>
    </row>
    <row r="126" spans="1:8" x14ac:dyDescent="0.3">
      <c r="A126" s="3" t="s">
        <v>189</v>
      </c>
      <c r="B126" s="3" t="s">
        <v>168</v>
      </c>
      <c r="C126" s="3" t="s">
        <v>54</v>
      </c>
      <c r="D126" s="16">
        <v>1.18229323985827</v>
      </c>
      <c r="E126" s="6">
        <v>28000</v>
      </c>
      <c r="F126" s="6">
        <v>54</v>
      </c>
      <c r="G126" s="7">
        <v>1.2</v>
      </c>
      <c r="H126" s="7">
        <f t="shared" si="34"/>
        <v>2.8066018249927889E-2</v>
      </c>
    </row>
    <row r="127" spans="1:8" x14ac:dyDescent="0.3">
      <c r="A127" s="3" t="s">
        <v>181</v>
      </c>
      <c r="B127" s="3" t="s">
        <v>168</v>
      </c>
      <c r="C127" s="3" t="s">
        <v>54</v>
      </c>
      <c r="D127" s="16">
        <v>0.74543291095570696</v>
      </c>
      <c r="E127" s="6">
        <v>28000</v>
      </c>
      <c r="F127" s="6">
        <v>54</v>
      </c>
      <c r="G127" s="7">
        <v>1.2</v>
      </c>
      <c r="H127" s="7">
        <f t="shared" si="34"/>
        <v>2.8037956314407825E-2</v>
      </c>
    </row>
    <row r="128" spans="1:8" x14ac:dyDescent="0.3">
      <c r="A128" s="3" t="s">
        <v>127</v>
      </c>
      <c r="B128" s="3" t="s">
        <v>168</v>
      </c>
      <c r="C128" s="3" t="s">
        <v>54</v>
      </c>
      <c r="D128" s="16">
        <v>60.822328458773598</v>
      </c>
      <c r="E128" s="6">
        <v>28000</v>
      </c>
      <c r="F128" s="6">
        <v>54</v>
      </c>
      <c r="G128" s="7">
        <v>1.2</v>
      </c>
      <c r="H128" s="7">
        <f t="shared" ref="H128:H142" si="57">(E128+(F128*(D128^G128)))/1000000</f>
        <v>3.5469119544824436E-2</v>
      </c>
    </row>
    <row r="129" spans="1:8" x14ac:dyDescent="0.3">
      <c r="A129" s="3" t="s">
        <v>123</v>
      </c>
      <c r="B129" s="3" t="s">
        <v>168</v>
      </c>
      <c r="C129" s="3" t="s">
        <v>54</v>
      </c>
      <c r="D129" s="16">
        <f>1/3*2672.85294863232</f>
        <v>890.95098287743997</v>
      </c>
      <c r="E129" s="6">
        <v>28000</v>
      </c>
      <c r="F129" s="6">
        <v>54</v>
      </c>
      <c r="G129" s="7">
        <v>1.2</v>
      </c>
      <c r="H129" s="7">
        <f t="shared" si="57"/>
        <v>0.215162282693351</v>
      </c>
    </row>
    <row r="130" spans="1:8" x14ac:dyDescent="0.3">
      <c r="A130" s="3" t="s">
        <v>123</v>
      </c>
      <c r="B130" s="3" t="s">
        <v>168</v>
      </c>
      <c r="C130" s="3" t="s">
        <v>54</v>
      </c>
      <c r="D130" s="16">
        <f t="shared" ref="D130:D131" si="58">1/3*2672.85294863232</f>
        <v>890.95098287743997</v>
      </c>
      <c r="E130" s="6">
        <v>28000</v>
      </c>
      <c r="F130" s="6">
        <v>54</v>
      </c>
      <c r="G130" s="7">
        <v>1.2</v>
      </c>
      <c r="H130" s="7">
        <f t="shared" ref="H130:H131" si="59">(E130+(F130*(D130^G130)))/1000000</f>
        <v>0.215162282693351</v>
      </c>
    </row>
    <row r="131" spans="1:8" x14ac:dyDescent="0.3">
      <c r="A131" s="3" t="s">
        <v>123</v>
      </c>
      <c r="B131" s="3" t="s">
        <v>168</v>
      </c>
      <c r="C131" s="3" t="s">
        <v>54</v>
      </c>
      <c r="D131" s="16">
        <f t="shared" si="58"/>
        <v>890.95098287743997</v>
      </c>
      <c r="E131" s="6">
        <v>28000</v>
      </c>
      <c r="F131" s="6">
        <v>54</v>
      </c>
      <c r="G131" s="7">
        <v>1.2</v>
      </c>
      <c r="H131" s="7">
        <f t="shared" si="59"/>
        <v>0.215162282693351</v>
      </c>
    </row>
    <row r="132" spans="1:8" x14ac:dyDescent="0.3">
      <c r="A132" s="3" t="s">
        <v>105</v>
      </c>
      <c r="B132" s="3" t="s">
        <v>168</v>
      </c>
      <c r="C132" s="3" t="s">
        <v>54</v>
      </c>
      <c r="D132" s="16">
        <v>31.964289628569698</v>
      </c>
      <c r="E132" s="6">
        <v>28000</v>
      </c>
      <c r="F132" s="6">
        <v>54</v>
      </c>
      <c r="G132" s="7">
        <v>1.2</v>
      </c>
      <c r="H132" s="7">
        <f t="shared" si="57"/>
        <v>3.1451372452484805E-2</v>
      </c>
    </row>
    <row r="133" spans="1:8" x14ac:dyDescent="0.3">
      <c r="A133" s="3" t="s">
        <v>106</v>
      </c>
      <c r="B133" s="3" t="s">
        <v>168</v>
      </c>
      <c r="C133" s="3" t="s">
        <v>54</v>
      </c>
      <c r="D133" s="16">
        <v>302.48396701877601</v>
      </c>
      <c r="E133" s="6">
        <v>28000</v>
      </c>
      <c r="F133" s="6">
        <v>54</v>
      </c>
      <c r="G133" s="7">
        <v>1.2</v>
      </c>
      <c r="H133" s="7">
        <f t="shared" si="57"/>
        <v>7.9196066194377829E-2</v>
      </c>
    </row>
    <row r="134" spans="1:8" x14ac:dyDescent="0.3">
      <c r="A134" s="3" t="s">
        <v>286</v>
      </c>
      <c r="B134" s="3" t="s">
        <v>168</v>
      </c>
      <c r="C134" s="3" t="s">
        <v>54</v>
      </c>
      <c r="D134" s="16">
        <v>128.311772139326</v>
      </c>
      <c r="E134" s="6">
        <v>28000</v>
      </c>
      <c r="F134" s="6">
        <v>54</v>
      </c>
      <c r="G134" s="7">
        <v>1.2</v>
      </c>
      <c r="H134" s="7">
        <f t="shared" si="57"/>
        <v>4.6294205936509597E-2</v>
      </c>
    </row>
    <row r="135" spans="1:8" x14ac:dyDescent="0.3">
      <c r="A135" s="3" t="s">
        <v>287</v>
      </c>
      <c r="B135" s="3" t="s">
        <v>168</v>
      </c>
      <c r="C135" s="3" t="s">
        <v>54</v>
      </c>
      <c r="D135" s="16">
        <v>19.8283331280014</v>
      </c>
      <c r="E135" s="6">
        <v>28000</v>
      </c>
      <c r="F135" s="6">
        <v>54</v>
      </c>
      <c r="G135" s="7">
        <v>1.2</v>
      </c>
      <c r="H135" s="7">
        <f t="shared" si="57"/>
        <v>2.9945974781762981E-2</v>
      </c>
    </row>
    <row r="136" spans="1:8" x14ac:dyDescent="0.3">
      <c r="A136" s="3" t="s">
        <v>117</v>
      </c>
      <c r="B136" s="3" t="s">
        <v>168</v>
      </c>
      <c r="C136" s="3" t="s">
        <v>54</v>
      </c>
      <c r="D136" s="16">
        <v>0.74671984842836203</v>
      </c>
      <c r="E136" s="6">
        <v>28000</v>
      </c>
      <c r="F136" s="6">
        <v>54</v>
      </c>
      <c r="G136" s="7">
        <v>1.2</v>
      </c>
      <c r="H136" s="7">
        <f t="shared" si="57"/>
        <v>2.8038034962664798E-2</v>
      </c>
    </row>
    <row r="137" spans="1:8" x14ac:dyDescent="0.3">
      <c r="A137" s="3" t="s">
        <v>112</v>
      </c>
      <c r="B137" s="3" t="s">
        <v>168</v>
      </c>
      <c r="C137" s="3" t="s">
        <v>54</v>
      </c>
      <c r="D137" s="16">
        <v>745.31118314295304</v>
      </c>
      <c r="E137" s="6">
        <v>28000</v>
      </c>
      <c r="F137" s="6">
        <v>54</v>
      </c>
      <c r="G137" s="7">
        <v>1.2</v>
      </c>
      <c r="H137" s="7">
        <f t="shared" si="57"/>
        <v>0.17907719926465068</v>
      </c>
    </row>
    <row r="138" spans="1:8" x14ac:dyDescent="0.3">
      <c r="A138" s="3" t="s">
        <v>288</v>
      </c>
      <c r="B138" s="3" t="s">
        <v>168</v>
      </c>
      <c r="C138" s="3" t="s">
        <v>54</v>
      </c>
      <c r="D138" s="16">
        <f>1/3*2582.30272533527</f>
        <v>860.76757511175674</v>
      </c>
      <c r="E138" s="6">
        <v>28000</v>
      </c>
      <c r="F138" s="6">
        <v>54</v>
      </c>
      <c r="G138" s="7">
        <v>1.2</v>
      </c>
      <c r="H138" s="7">
        <f t="shared" si="57"/>
        <v>0.20757953326237855</v>
      </c>
    </row>
    <row r="139" spans="1:8" x14ac:dyDescent="0.3">
      <c r="A139" s="3" t="s">
        <v>288</v>
      </c>
      <c r="B139" s="3" t="s">
        <v>168</v>
      </c>
      <c r="C139" s="3" t="s">
        <v>54</v>
      </c>
      <c r="D139" s="16">
        <f t="shared" ref="D139:D140" si="60">1/3*2582.30272533527</f>
        <v>860.76757511175674</v>
      </c>
      <c r="E139" s="6">
        <v>28000</v>
      </c>
      <c r="F139" s="6">
        <v>54</v>
      </c>
      <c r="G139" s="7">
        <v>1.2</v>
      </c>
      <c r="H139" s="7">
        <f t="shared" ref="H139:H140" si="61">(E139+(F139*(D139^G139)))/1000000</f>
        <v>0.20757953326237855</v>
      </c>
    </row>
    <row r="140" spans="1:8" x14ac:dyDescent="0.3">
      <c r="A140" s="3" t="s">
        <v>288</v>
      </c>
      <c r="B140" s="3" t="s">
        <v>168</v>
      </c>
      <c r="C140" s="3" t="s">
        <v>54</v>
      </c>
      <c r="D140" s="16">
        <f t="shared" si="60"/>
        <v>860.76757511175674</v>
      </c>
      <c r="E140" s="6">
        <v>28000</v>
      </c>
      <c r="F140" s="6">
        <v>54</v>
      </c>
      <c r="G140" s="7">
        <v>1.2</v>
      </c>
      <c r="H140" s="7">
        <f t="shared" si="61"/>
        <v>0.20757953326237855</v>
      </c>
    </row>
    <row r="141" spans="1:8" x14ac:dyDescent="0.3">
      <c r="A141" s="3" t="s">
        <v>289</v>
      </c>
      <c r="B141" s="3" t="s">
        <v>168</v>
      </c>
      <c r="C141" s="3" t="s">
        <v>54</v>
      </c>
      <c r="D141" s="16">
        <v>26.5524151007813</v>
      </c>
      <c r="E141" s="6">
        <v>28000</v>
      </c>
      <c r="F141" s="6">
        <v>54</v>
      </c>
      <c r="G141" s="7">
        <v>1.2</v>
      </c>
      <c r="H141" s="7">
        <f t="shared" si="57"/>
        <v>3.0762603734090198E-2</v>
      </c>
    </row>
    <row r="142" spans="1:8" x14ac:dyDescent="0.3">
      <c r="A142" s="3" t="s">
        <v>128</v>
      </c>
      <c r="B142" s="3" t="s">
        <v>168</v>
      </c>
      <c r="C142" s="3" t="s">
        <v>54</v>
      </c>
      <c r="D142" s="16">
        <f>0.5*1254.87537058762</f>
        <v>627.43768529380998</v>
      </c>
      <c r="E142" s="6">
        <v>28000</v>
      </c>
      <c r="F142" s="6">
        <v>54</v>
      </c>
      <c r="G142" s="7">
        <v>1.2</v>
      </c>
      <c r="H142" s="7">
        <f t="shared" si="57"/>
        <v>0.15087922953336819</v>
      </c>
    </row>
    <row r="143" spans="1:8" x14ac:dyDescent="0.3">
      <c r="A143" s="3" t="s">
        <v>128</v>
      </c>
      <c r="B143" s="3" t="s">
        <v>168</v>
      </c>
      <c r="C143" s="3" t="s">
        <v>54</v>
      </c>
      <c r="D143" s="16">
        <f>0.5*1254.87537058762</f>
        <v>627.43768529380998</v>
      </c>
      <c r="E143" s="6">
        <v>28000</v>
      </c>
      <c r="F143" s="6">
        <v>54</v>
      </c>
      <c r="G143" s="7">
        <v>1.2</v>
      </c>
      <c r="H143" s="7">
        <f t="shared" ref="H143" si="62">(E143+(F143*(D143^G143)))/1000000</f>
        <v>0.15087922953336819</v>
      </c>
    </row>
    <row r="144" spans="1:8" x14ac:dyDescent="0.3">
      <c r="A144" s="3"/>
      <c r="B144" s="2" t="s">
        <v>141</v>
      </c>
      <c r="C144" s="3"/>
      <c r="D144" s="16"/>
      <c r="E144" s="6"/>
      <c r="F144" s="6"/>
      <c r="G144" s="7"/>
      <c r="H144" s="9">
        <f>SUM(H38:H143)</f>
        <v>13.323342425549461</v>
      </c>
    </row>
    <row r="145" spans="1:8" x14ac:dyDescent="0.3">
      <c r="A145" s="41" t="s">
        <v>58</v>
      </c>
      <c r="B145" s="42"/>
      <c r="C145" s="42"/>
      <c r="D145" s="42"/>
      <c r="E145" s="42"/>
      <c r="F145" s="42"/>
      <c r="G145" s="42"/>
      <c r="H145" s="43"/>
    </row>
    <row r="146" spans="1:8" x14ac:dyDescent="0.3">
      <c r="A146" s="5" t="s">
        <v>290</v>
      </c>
      <c r="B146" s="3" t="s">
        <v>169</v>
      </c>
      <c r="C146" s="3" t="s">
        <v>59</v>
      </c>
      <c r="D146" s="16">
        <f>Q13</f>
        <v>5870.4331502951327</v>
      </c>
      <c r="E146" s="6">
        <v>17400</v>
      </c>
      <c r="F146" s="6">
        <v>79</v>
      </c>
      <c r="G146" s="7">
        <v>0.85</v>
      </c>
      <c r="H146" s="7">
        <f t="shared" ref="H146:H150" si="63">(E146+(F146*(D146^G146)))/1000000</f>
        <v>0.14358179934729112</v>
      </c>
    </row>
    <row r="147" spans="1:8" x14ac:dyDescent="0.3">
      <c r="A147" s="5" t="s">
        <v>260</v>
      </c>
      <c r="B147" s="3" t="s">
        <v>152</v>
      </c>
      <c r="C147" s="3" t="s">
        <v>153</v>
      </c>
      <c r="D147" s="16">
        <f>2374/1000</f>
        <v>2.3740000000000001</v>
      </c>
      <c r="E147" s="6">
        <v>80000</v>
      </c>
      <c r="F147" s="6">
        <v>109000</v>
      </c>
      <c r="G147" s="7">
        <v>0.8</v>
      </c>
      <c r="H147" s="7">
        <f t="shared" ref="H147" si="64">(E147+(F147*(D147^G147)))/1000000</f>
        <v>0.29767626131370251</v>
      </c>
    </row>
    <row r="148" spans="1:8" x14ac:dyDescent="0.3">
      <c r="A148" s="3" t="s">
        <v>149</v>
      </c>
      <c r="B148" s="3" t="s">
        <v>152</v>
      </c>
      <c r="C148" s="3" t="s">
        <v>153</v>
      </c>
      <c r="D148" s="7">
        <f>40480/1000</f>
        <v>40.479999999999997</v>
      </c>
      <c r="E148" s="6">
        <v>80000</v>
      </c>
      <c r="F148" s="6">
        <v>109000</v>
      </c>
      <c r="G148" s="7">
        <v>0.8</v>
      </c>
      <c r="H148" s="7">
        <f t="shared" si="63"/>
        <v>2.1848390917324498</v>
      </c>
    </row>
    <row r="149" spans="1:8" x14ac:dyDescent="0.3">
      <c r="A149" s="3" t="s">
        <v>150</v>
      </c>
      <c r="B149" s="3" t="s">
        <v>152</v>
      </c>
      <c r="C149" s="3" t="s">
        <v>153</v>
      </c>
      <c r="D149" s="7">
        <f>568.1/1000</f>
        <v>0.56810000000000005</v>
      </c>
      <c r="E149" s="6">
        <v>80000</v>
      </c>
      <c r="F149" s="6">
        <v>109000</v>
      </c>
      <c r="G149" s="7">
        <v>0.8</v>
      </c>
      <c r="H149" s="7">
        <f t="shared" si="63"/>
        <v>0.14933720471388742</v>
      </c>
    </row>
    <row r="150" spans="1:8" x14ac:dyDescent="0.3">
      <c r="A150" s="3" t="s">
        <v>151</v>
      </c>
      <c r="B150" s="3" t="s">
        <v>152</v>
      </c>
      <c r="C150" s="3" t="s">
        <v>153</v>
      </c>
      <c r="D150" s="7">
        <f>17540/1000</f>
        <v>17.54</v>
      </c>
      <c r="E150" s="6">
        <v>80000</v>
      </c>
      <c r="F150" s="6">
        <v>109000</v>
      </c>
      <c r="G150" s="7">
        <v>0.8</v>
      </c>
      <c r="H150" s="7">
        <f t="shared" si="63"/>
        <v>1.1580779641191952</v>
      </c>
    </row>
    <row r="151" spans="1:8" x14ac:dyDescent="0.3">
      <c r="A151" s="3"/>
      <c r="B151" s="2" t="s">
        <v>141</v>
      </c>
      <c r="C151" s="3"/>
      <c r="D151" s="16"/>
      <c r="E151" s="6"/>
      <c r="F151" s="6"/>
      <c r="G151" s="7"/>
      <c r="H151" s="9">
        <f>SUM(H146:H150)</f>
        <v>3.9335123212265257</v>
      </c>
    </row>
    <row r="152" spans="1:8" x14ac:dyDescent="0.3">
      <c r="A152" s="38" t="s">
        <v>160</v>
      </c>
      <c r="B152" s="39"/>
      <c r="C152" s="39"/>
      <c r="D152" s="39"/>
      <c r="E152" s="39"/>
      <c r="F152" s="39"/>
      <c r="G152" s="39"/>
      <c r="H152" s="40"/>
    </row>
    <row r="153" spans="1:8" x14ac:dyDescent="0.3">
      <c r="A153" s="3" t="s">
        <v>49</v>
      </c>
      <c r="B153" s="3" t="s">
        <v>169</v>
      </c>
      <c r="C153" s="3" t="s">
        <v>59</v>
      </c>
      <c r="D153" s="16">
        <f t="shared" ref="D153:D161" si="65">Q14</f>
        <v>5870.4331502951327</v>
      </c>
      <c r="E153" s="6">
        <v>17400</v>
      </c>
      <c r="F153" s="6">
        <v>79</v>
      </c>
      <c r="G153" s="7">
        <v>0.85</v>
      </c>
      <c r="H153" s="7">
        <f t="shared" si="26"/>
        <v>0.14358179934729112</v>
      </c>
    </row>
    <row r="154" spans="1:8" x14ac:dyDescent="0.3">
      <c r="A154" s="3" t="s">
        <v>50</v>
      </c>
      <c r="B154" s="3" t="s">
        <v>169</v>
      </c>
      <c r="C154" s="3" t="s">
        <v>59</v>
      </c>
      <c r="D154" s="16">
        <f t="shared" si="65"/>
        <v>78607.586437929029</v>
      </c>
      <c r="E154" s="6">
        <v>17400</v>
      </c>
      <c r="F154" s="6">
        <v>79</v>
      </c>
      <c r="G154" s="7">
        <v>0.85</v>
      </c>
      <c r="H154" s="7">
        <f t="shared" si="26"/>
        <v>1.1623114111404258</v>
      </c>
    </row>
    <row r="155" spans="1:8" x14ac:dyDescent="0.3">
      <c r="A155" s="3" t="s">
        <v>142</v>
      </c>
      <c r="B155" s="3" t="s">
        <v>169</v>
      </c>
      <c r="C155" s="3" t="s">
        <v>59</v>
      </c>
      <c r="D155" s="16">
        <f t="shared" si="65"/>
        <v>1677.8843921285645</v>
      </c>
      <c r="E155" s="6">
        <v>17400</v>
      </c>
      <c r="F155" s="6">
        <v>79</v>
      </c>
      <c r="G155" s="7">
        <v>0.85</v>
      </c>
      <c r="H155" s="7">
        <f t="shared" si="26"/>
        <v>6.0918590457838311E-2</v>
      </c>
    </row>
    <row r="156" spans="1:8" x14ac:dyDescent="0.3">
      <c r="A156" s="3" t="s">
        <v>143</v>
      </c>
      <c r="B156" s="3" t="s">
        <v>169</v>
      </c>
      <c r="C156" s="3" t="s">
        <v>59</v>
      </c>
      <c r="D156" s="16">
        <f t="shared" si="65"/>
        <v>10421.910786159247</v>
      </c>
      <c r="E156" s="6">
        <v>17400</v>
      </c>
      <c r="F156" s="6">
        <v>79</v>
      </c>
      <c r="G156" s="7">
        <v>0.85</v>
      </c>
      <c r="H156" s="7">
        <f t="shared" ref="H156:H160" si="66">(E156+(F156*(D156^G156)))/1000000</f>
        <v>0.22293336841675773</v>
      </c>
    </row>
    <row r="157" spans="1:8" x14ac:dyDescent="0.3">
      <c r="A157" s="3" t="s">
        <v>144</v>
      </c>
      <c r="B157" s="3" t="s">
        <v>169</v>
      </c>
      <c r="C157" s="3" t="s">
        <v>59</v>
      </c>
      <c r="D157" s="16">
        <f t="shared" si="65"/>
        <v>2021.67771474253</v>
      </c>
      <c r="E157" s="6">
        <v>17400</v>
      </c>
      <c r="F157" s="6">
        <v>79</v>
      </c>
      <c r="G157" s="7">
        <v>0.85</v>
      </c>
      <c r="H157" s="7">
        <f t="shared" si="66"/>
        <v>6.8389672967448259E-2</v>
      </c>
    </row>
    <row r="158" spans="1:8" x14ac:dyDescent="0.3">
      <c r="A158" s="3" t="s">
        <v>145</v>
      </c>
      <c r="B158" s="3" t="s">
        <v>169</v>
      </c>
      <c r="C158" s="3" t="s">
        <v>59</v>
      </c>
      <c r="D158" s="16">
        <f t="shared" si="65"/>
        <v>169.88888359180893</v>
      </c>
      <c r="E158" s="6">
        <v>17400</v>
      </c>
      <c r="F158" s="6">
        <v>79</v>
      </c>
      <c r="G158" s="7">
        <v>0.85</v>
      </c>
      <c r="H158" s="7">
        <f t="shared" si="66"/>
        <v>2.3612512983289514E-2</v>
      </c>
    </row>
    <row r="159" spans="1:8" x14ac:dyDescent="0.3">
      <c r="A159" s="3" t="s">
        <v>146</v>
      </c>
      <c r="B159" s="3" t="s">
        <v>169</v>
      </c>
      <c r="C159" s="3" t="s">
        <v>59</v>
      </c>
      <c r="D159" s="16">
        <f t="shared" si="65"/>
        <v>3333.2198960713135</v>
      </c>
      <c r="E159" s="6">
        <v>17400</v>
      </c>
      <c r="F159" s="6">
        <v>79</v>
      </c>
      <c r="G159" s="7">
        <v>0.85</v>
      </c>
      <c r="H159" s="7">
        <f t="shared" si="66"/>
        <v>9.5394048094919928E-2</v>
      </c>
    </row>
    <row r="160" spans="1:8" x14ac:dyDescent="0.3">
      <c r="A160" s="3" t="s">
        <v>147</v>
      </c>
      <c r="B160" s="3" t="s">
        <v>169</v>
      </c>
      <c r="C160" s="3" t="s">
        <v>59</v>
      </c>
      <c r="D160" s="16">
        <f t="shared" si="65"/>
        <v>947.05330380452097</v>
      </c>
      <c r="E160" s="6">
        <v>17400</v>
      </c>
      <c r="F160" s="6">
        <v>79</v>
      </c>
      <c r="G160" s="7">
        <v>0.85</v>
      </c>
      <c r="H160" s="7">
        <f t="shared" si="66"/>
        <v>4.4163650581933979E-2</v>
      </c>
    </row>
    <row r="161" spans="1:9" x14ac:dyDescent="0.3">
      <c r="A161" s="3" t="s">
        <v>291</v>
      </c>
      <c r="B161" s="3" t="s">
        <v>169</v>
      </c>
      <c r="C161" s="3" t="s">
        <v>59</v>
      </c>
      <c r="D161" s="16">
        <f t="shared" si="65"/>
        <v>3333.2198960713135</v>
      </c>
      <c r="E161" s="6">
        <v>17400</v>
      </c>
      <c r="F161" s="6">
        <v>79</v>
      </c>
      <c r="G161" s="7">
        <v>0.85</v>
      </c>
      <c r="H161" s="7">
        <f t="shared" ref="H161" si="67">(E161+(F161*(D161^G161)))/1000000</f>
        <v>9.5394048094919928E-2</v>
      </c>
    </row>
    <row r="162" spans="1:9" x14ac:dyDescent="0.3">
      <c r="A162" s="3"/>
      <c r="B162" s="2" t="s">
        <v>141</v>
      </c>
      <c r="C162" s="3"/>
      <c r="D162" s="16"/>
      <c r="E162" s="6"/>
      <c r="F162" s="6"/>
      <c r="G162" s="7"/>
      <c r="H162" s="9">
        <f>SUM(H153:H161)</f>
        <v>1.916699102084825</v>
      </c>
    </row>
    <row r="163" spans="1:9" x14ac:dyDescent="0.3">
      <c r="A163" s="38" t="s">
        <v>159</v>
      </c>
      <c r="B163" s="39"/>
      <c r="C163" s="39"/>
      <c r="D163" s="39"/>
      <c r="E163" s="39"/>
      <c r="F163" s="39"/>
      <c r="G163" s="39"/>
      <c r="H163" s="40"/>
    </row>
    <row r="164" spans="1:9" x14ac:dyDescent="0.3">
      <c r="A164" s="3" t="s">
        <v>162</v>
      </c>
      <c r="B164" s="3" t="s">
        <v>169</v>
      </c>
      <c r="C164" s="3" t="s">
        <v>59</v>
      </c>
      <c r="D164" s="7">
        <f>Q23</f>
        <v>6684.2580593034691</v>
      </c>
      <c r="E164" s="6">
        <v>17400</v>
      </c>
      <c r="F164" s="6">
        <v>79</v>
      </c>
      <c r="G164" s="7">
        <v>0.85</v>
      </c>
      <c r="H164" s="7">
        <f t="shared" ref="H164" si="68">(E164+(F164*(D164^G164)))/1000000</f>
        <v>0.15830367435936282</v>
      </c>
      <c r="I164" s="2" t="s">
        <v>170</v>
      </c>
    </row>
    <row r="165" spans="1:9" x14ac:dyDescent="0.3">
      <c r="A165" s="3" t="s">
        <v>165</v>
      </c>
      <c r="B165" s="3" t="s">
        <v>163</v>
      </c>
      <c r="C165" s="3" t="s">
        <v>164</v>
      </c>
      <c r="D165" s="7">
        <f>K23</f>
        <v>3.4226000000000001</v>
      </c>
      <c r="E165" s="6">
        <v>130</v>
      </c>
      <c r="F165" s="6">
        <v>440</v>
      </c>
      <c r="G165" s="7">
        <v>1.8</v>
      </c>
      <c r="H165" s="7">
        <f>(E165+(F165*(D165^G165)))*I165/1000000</f>
        <v>4.1598950805647003E-2</v>
      </c>
      <c r="I165" s="30">
        <v>10</v>
      </c>
    </row>
    <row r="166" spans="1:9" x14ac:dyDescent="0.3">
      <c r="A166" s="3"/>
      <c r="B166" s="2" t="s">
        <v>141</v>
      </c>
      <c r="C166" s="3"/>
      <c r="D166" s="16"/>
      <c r="E166" s="6"/>
      <c r="F166" s="6"/>
      <c r="G166" s="7"/>
      <c r="H166" s="9">
        <f>SUM(H164:H165)</f>
        <v>0.19990262516500984</v>
      </c>
    </row>
    <row r="167" spans="1:9" x14ac:dyDescent="0.3">
      <c r="A167" s="38" t="s">
        <v>172</v>
      </c>
      <c r="B167" s="39"/>
      <c r="C167" s="39"/>
      <c r="D167" s="39"/>
      <c r="E167" s="39"/>
      <c r="F167" s="39"/>
      <c r="G167" s="39"/>
      <c r="H167" s="40"/>
    </row>
    <row r="168" spans="1:9" x14ac:dyDescent="0.3">
      <c r="A168" s="3" t="s">
        <v>162</v>
      </c>
      <c r="B168" s="3" t="s">
        <v>169</v>
      </c>
      <c r="C168" s="3" t="s">
        <v>59</v>
      </c>
      <c r="D168" s="7">
        <f>Q24</f>
        <v>8843.8534425369035</v>
      </c>
      <c r="E168" s="6">
        <v>17400</v>
      </c>
      <c r="F168" s="6">
        <v>79</v>
      </c>
      <c r="G168" s="7">
        <v>0.85</v>
      </c>
      <c r="H168" s="7">
        <f t="shared" ref="H168" si="69">(E168+(F168*(D168^G168)))/1000000</f>
        <v>0.19616084451670343</v>
      </c>
      <c r="I168" s="2" t="s">
        <v>170</v>
      </c>
    </row>
    <row r="169" spans="1:9" x14ac:dyDescent="0.3">
      <c r="A169" s="3" t="s">
        <v>165</v>
      </c>
      <c r="B169" s="3" t="s">
        <v>163</v>
      </c>
      <c r="C169" s="3" t="s">
        <v>164</v>
      </c>
      <c r="D169" s="7">
        <f>K24</f>
        <v>4.5324999999999998</v>
      </c>
      <c r="E169" s="6">
        <v>130</v>
      </c>
      <c r="F169" s="6">
        <v>440</v>
      </c>
      <c r="G169" s="7">
        <v>1.8</v>
      </c>
      <c r="H169" s="7">
        <f>(E169+(F169*(D169^G169)))*I169/1000000</f>
        <v>6.8112964128227385E-2</v>
      </c>
      <c r="I169" s="30">
        <v>10</v>
      </c>
    </row>
    <row r="170" spans="1:9" x14ac:dyDescent="0.3">
      <c r="A170" s="3"/>
      <c r="B170" s="2" t="s">
        <v>141</v>
      </c>
      <c r="C170" s="3"/>
      <c r="D170" s="16"/>
      <c r="E170" s="6"/>
      <c r="F170" s="6"/>
      <c r="G170" s="7"/>
      <c r="H170" s="9">
        <f>SUM(H168:H169)</f>
        <v>0.26427380864493083</v>
      </c>
    </row>
    <row r="171" spans="1:9" x14ac:dyDescent="0.3">
      <c r="A171" s="38" t="s">
        <v>173</v>
      </c>
      <c r="B171" s="39"/>
      <c r="C171" s="39"/>
      <c r="D171" s="39"/>
      <c r="E171" s="39"/>
      <c r="F171" s="39"/>
      <c r="G171" s="39"/>
      <c r="H171" s="40"/>
    </row>
    <row r="172" spans="1:9" x14ac:dyDescent="0.3">
      <c r="A172" s="3" t="s">
        <v>162</v>
      </c>
      <c r="B172" s="3" t="s">
        <v>169</v>
      </c>
      <c r="C172" s="3" t="s">
        <v>59</v>
      </c>
      <c r="D172" s="7">
        <f>Q25</f>
        <v>225.64940678759785</v>
      </c>
      <c r="E172" s="6">
        <v>17400</v>
      </c>
      <c r="F172" s="6">
        <v>79</v>
      </c>
      <c r="G172" s="7">
        <v>0.85</v>
      </c>
      <c r="H172" s="7">
        <f t="shared" ref="H172" si="70">(E172+(F172*(D172^G172)))/1000000</f>
        <v>2.5307626679537384E-2</v>
      </c>
      <c r="I172" s="2" t="s">
        <v>170</v>
      </c>
    </row>
    <row r="173" spans="1:9" x14ac:dyDescent="0.3">
      <c r="A173" s="3" t="s">
        <v>165</v>
      </c>
      <c r="B173" s="3" t="s">
        <v>163</v>
      </c>
      <c r="C173" s="3" t="s">
        <v>164</v>
      </c>
      <c r="D173" s="7">
        <f>K25</f>
        <v>1.147</v>
      </c>
      <c r="E173" s="6">
        <v>130</v>
      </c>
      <c r="F173" s="6">
        <v>440</v>
      </c>
      <c r="G173" s="7">
        <v>1.8</v>
      </c>
      <c r="H173" s="7">
        <f>(E173+(F173*(D173^G173)))*I173/1000000</f>
        <v>6.9320542405522303E-4</v>
      </c>
      <c r="I173" s="30">
        <v>1</v>
      </c>
    </row>
    <row r="174" spans="1:9" x14ac:dyDescent="0.3">
      <c r="A174" s="3"/>
      <c r="B174" s="2" t="s">
        <v>141</v>
      </c>
      <c r="C174" s="3"/>
      <c r="D174" s="16"/>
      <c r="E174" s="6"/>
      <c r="F174" s="6"/>
      <c r="G174" s="7"/>
      <c r="H174" s="9">
        <f>SUM(H172:H173)</f>
        <v>2.6000832103592608E-2</v>
      </c>
    </row>
    <row r="175" spans="1:9" x14ac:dyDescent="0.3">
      <c r="A175" s="38" t="s">
        <v>174</v>
      </c>
      <c r="B175" s="39"/>
      <c r="C175" s="39"/>
      <c r="D175" s="39"/>
      <c r="E175" s="39"/>
      <c r="F175" s="39"/>
      <c r="G175" s="39"/>
      <c r="H175" s="40"/>
    </row>
    <row r="176" spans="1:9" x14ac:dyDescent="0.3">
      <c r="A176" s="3" t="s">
        <v>162</v>
      </c>
      <c r="B176" s="3" t="s">
        <v>169</v>
      </c>
      <c r="C176" s="3" t="s">
        <v>59</v>
      </c>
      <c r="D176" s="7">
        <f>Q26</f>
        <v>657.93817721099197</v>
      </c>
      <c r="E176" s="6">
        <v>17400</v>
      </c>
      <c r="F176" s="6">
        <v>79</v>
      </c>
      <c r="G176" s="7">
        <v>0.85</v>
      </c>
      <c r="H176" s="7">
        <f t="shared" ref="H176" si="71">(E176+(F176*(D176^G176)))/1000000</f>
        <v>3.7037419398287003E-2</v>
      </c>
      <c r="I176" s="2" t="s">
        <v>170</v>
      </c>
    </row>
    <row r="177" spans="1:9" x14ac:dyDescent="0.3">
      <c r="A177" s="3" t="s">
        <v>165</v>
      </c>
      <c r="B177" s="3" t="s">
        <v>163</v>
      </c>
      <c r="C177" s="3" t="s">
        <v>164</v>
      </c>
      <c r="D177" s="7">
        <f>K26</f>
        <v>1.6779999999999999</v>
      </c>
      <c r="E177" s="6">
        <v>130</v>
      </c>
      <c r="F177" s="6">
        <v>440</v>
      </c>
      <c r="G177" s="7">
        <v>1.8</v>
      </c>
      <c r="H177" s="7">
        <f>(E177+(F177*(D177^G177)))*I177/1000000</f>
        <v>2.4941287319809931E-3</v>
      </c>
      <c r="I177" s="30">
        <v>2</v>
      </c>
    </row>
    <row r="178" spans="1:9" x14ac:dyDescent="0.3">
      <c r="A178" s="3"/>
      <c r="B178" s="2" t="s">
        <v>141</v>
      </c>
      <c r="C178" s="3"/>
      <c r="D178" s="16"/>
      <c r="E178" s="6"/>
      <c r="F178" s="6"/>
      <c r="G178" s="7"/>
      <c r="H178" s="9">
        <f>SUM(H176:H177)</f>
        <v>3.9531548130267997E-2</v>
      </c>
    </row>
    <row r="179" spans="1:9" x14ac:dyDescent="0.3">
      <c r="A179" s="2"/>
      <c r="B179" s="2" t="s">
        <v>148</v>
      </c>
      <c r="C179" s="2"/>
      <c r="D179" s="8"/>
      <c r="E179" s="8"/>
      <c r="F179" s="8"/>
      <c r="G179" s="8"/>
      <c r="H179" s="9">
        <f>H30+H36+H144+H151+H162+H166+H170+H174+H178</f>
        <v>42.457096361094422</v>
      </c>
    </row>
    <row r="181" spans="1:9" x14ac:dyDescent="0.3">
      <c r="A181" s="18" t="s">
        <v>34</v>
      </c>
      <c r="B181" s="16">
        <v>532.9</v>
      </c>
    </row>
    <row r="182" spans="1:9" x14ac:dyDescent="0.3">
      <c r="A182" s="18" t="s">
        <v>230</v>
      </c>
      <c r="B182" s="16">
        <v>803.6</v>
      </c>
    </row>
    <row r="183" spans="1:9" x14ac:dyDescent="0.3">
      <c r="A183" s="18" t="s">
        <v>231</v>
      </c>
      <c r="B183" s="16">
        <f>H179*B182/B181</f>
        <v>64.024249644915528</v>
      </c>
    </row>
    <row r="184" spans="1:9" x14ac:dyDescent="0.3">
      <c r="A184" s="18" t="s">
        <v>60</v>
      </c>
      <c r="B184" s="16">
        <f>(B183)*((1+C3)+(C2+C5+C4+C6+C7+C8)/C9)*C9</f>
        <v>239.45069367198411</v>
      </c>
    </row>
    <row r="185" spans="1:9" x14ac:dyDescent="0.3">
      <c r="A185" s="18" t="s">
        <v>61</v>
      </c>
      <c r="B185" s="16">
        <f>0.3*B184</f>
        <v>71.835208101595228</v>
      </c>
    </row>
    <row r="186" spans="1:9" x14ac:dyDescent="0.3">
      <c r="A186" s="18" t="s">
        <v>62</v>
      </c>
      <c r="B186" s="16">
        <f>0.3*SUM(B184:B185)</f>
        <v>93.385770532073792</v>
      </c>
    </row>
    <row r="187" spans="1:9" x14ac:dyDescent="0.3">
      <c r="A187" s="18" t="s">
        <v>63</v>
      </c>
      <c r="B187" s="16">
        <f>0.1*SUM(B184:B185)</f>
        <v>31.128590177357935</v>
      </c>
      <c r="C187" s="22"/>
    </row>
    <row r="188" spans="1:9" x14ac:dyDescent="0.3">
      <c r="A188" s="18" t="s">
        <v>64</v>
      </c>
      <c r="B188" s="16">
        <f>B184*(1+0.3)*(1+0.3+0.1)</f>
        <v>435.80026248301118</v>
      </c>
      <c r="C188" s="23">
        <f>B188/B183</f>
        <v>6.8068000000000026</v>
      </c>
    </row>
    <row r="189" spans="1:9" x14ac:dyDescent="0.3">
      <c r="A189" s="18" t="s">
        <v>67</v>
      </c>
      <c r="B189" s="16">
        <f>B188*0.15</f>
        <v>65.370039372451672</v>
      </c>
    </row>
    <row r="190" spans="1:9" x14ac:dyDescent="0.3">
      <c r="A190" s="18" t="s">
        <v>65</v>
      </c>
      <c r="B190" s="21">
        <f>B188+B189</f>
        <v>501.17030185546287</v>
      </c>
    </row>
    <row r="191" spans="1:9" x14ac:dyDescent="0.3">
      <c r="A191" s="18" t="s">
        <v>27</v>
      </c>
      <c r="B191" s="10">
        <v>25</v>
      </c>
    </row>
    <row r="192" spans="1:9" x14ac:dyDescent="0.3">
      <c r="A192" s="18" t="s">
        <v>28</v>
      </c>
      <c r="B192" s="10">
        <v>0.12</v>
      </c>
    </row>
    <row r="193" spans="1:2" x14ac:dyDescent="0.3">
      <c r="A193" s="18" t="s">
        <v>29</v>
      </c>
      <c r="B193" s="12">
        <f>(B192*((1+B192)^B191))/(((1+B192)^B191)-1)</f>
        <v>0.12749996980950773</v>
      </c>
    </row>
    <row r="194" spans="1:2" x14ac:dyDescent="0.3">
      <c r="A194" s="18" t="s">
        <v>66</v>
      </c>
      <c r="B194" s="16">
        <f>B193*B190</f>
        <v>63.899198355993391</v>
      </c>
    </row>
    <row r="195" spans="1:2" x14ac:dyDescent="0.3">
      <c r="A195" s="19" t="s">
        <v>36</v>
      </c>
      <c r="B195" s="13">
        <f>B194</f>
        <v>63.899198355993391</v>
      </c>
    </row>
  </sheetData>
  <mergeCells count="9">
    <mergeCell ref="A163:H163"/>
    <mergeCell ref="A167:H167"/>
    <mergeCell ref="A171:H171"/>
    <mergeCell ref="A175:H175"/>
    <mergeCell ref="A13:H13"/>
    <mergeCell ref="A37:H37"/>
    <mergeCell ref="A145:H145"/>
    <mergeCell ref="A152:H152"/>
    <mergeCell ref="A31:H31"/>
  </mergeCells>
  <phoneticPr fontId="9" type="noConversion"/>
  <conditionalFormatting sqref="D38:D143">
    <cfRule type="cellIs" dxfId="0" priority="1" operator="greaterThan">
      <formula>1000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C20"/>
  <sheetViews>
    <sheetView zoomScale="120" zoomScaleNormal="120" workbookViewId="0">
      <selection activeCell="E16" sqref="E16"/>
    </sheetView>
  </sheetViews>
  <sheetFormatPr defaultRowHeight="14.4" x14ac:dyDescent="0.3"/>
  <cols>
    <col min="1" max="1" width="16" bestFit="1" customWidth="1"/>
    <col min="2" max="2" width="34.44140625" customWidth="1"/>
    <col min="3" max="3" width="8.6640625" bestFit="1" customWidth="1"/>
  </cols>
  <sheetData>
    <row r="4" spans="1:3" x14ac:dyDescent="0.3">
      <c r="A4" s="2" t="s">
        <v>71</v>
      </c>
      <c r="B4" s="2" t="s">
        <v>72</v>
      </c>
      <c r="C4" s="11" t="s">
        <v>37</v>
      </c>
    </row>
    <row r="5" spans="1:3" x14ac:dyDescent="0.3">
      <c r="A5" s="44" t="s">
        <v>68</v>
      </c>
      <c r="B5" s="44"/>
      <c r="C5" s="44"/>
    </row>
    <row r="6" spans="1:3" x14ac:dyDescent="0.3">
      <c r="A6" s="10" t="s">
        <v>81</v>
      </c>
      <c r="B6" s="10" t="s">
        <v>93</v>
      </c>
      <c r="C6" s="10">
        <f>50000*9*9/1000000</f>
        <v>4.05</v>
      </c>
    </row>
    <row r="7" spans="1:3" x14ac:dyDescent="0.3">
      <c r="A7" s="10" t="s">
        <v>69</v>
      </c>
      <c r="B7" s="10" t="s">
        <v>70</v>
      </c>
      <c r="C7" s="16">
        <f>0.25*C6</f>
        <v>1.0125</v>
      </c>
    </row>
    <row r="8" spans="1:3" x14ac:dyDescent="0.3">
      <c r="A8" s="10" t="s">
        <v>73</v>
      </c>
      <c r="B8" s="10" t="s">
        <v>74</v>
      </c>
      <c r="C8" s="16">
        <f>0.45*(C6+C7)</f>
        <v>2.2781250000000002</v>
      </c>
    </row>
    <row r="9" spans="1:3" x14ac:dyDescent="0.3">
      <c r="A9" s="38"/>
      <c r="B9" s="40"/>
      <c r="C9" s="13">
        <f>SUM(C6:C8)</f>
        <v>7.3406250000000002</v>
      </c>
    </row>
    <row r="10" spans="1:3" x14ac:dyDescent="0.3">
      <c r="A10" s="44" t="s">
        <v>75</v>
      </c>
      <c r="B10" s="44"/>
      <c r="C10" s="44"/>
    </row>
    <row r="11" spans="1:3" x14ac:dyDescent="0.3">
      <c r="A11" s="10" t="s">
        <v>76</v>
      </c>
      <c r="B11" s="10" t="s">
        <v>77</v>
      </c>
      <c r="C11" s="16">
        <f>0.03*CAPEX!B184</f>
        <v>7.1835208101595232</v>
      </c>
    </row>
    <row r="12" spans="1:3" x14ac:dyDescent="0.3">
      <c r="A12" s="44"/>
      <c r="B12" s="44"/>
      <c r="C12" s="20">
        <f>C11</f>
        <v>7.1835208101595232</v>
      </c>
    </row>
    <row r="13" spans="1:3" x14ac:dyDescent="0.3">
      <c r="A13" s="38" t="s">
        <v>79</v>
      </c>
      <c r="B13" s="39"/>
      <c r="C13" s="40"/>
    </row>
    <row r="14" spans="1:3" x14ac:dyDescent="0.3">
      <c r="A14" s="10" t="s">
        <v>80</v>
      </c>
      <c r="B14" s="10" t="s">
        <v>82</v>
      </c>
      <c r="C14" s="16">
        <f>0.65*(C6+C7+C8+C11)</f>
        <v>9.4406947766036904</v>
      </c>
    </row>
    <row r="15" spans="1:3" x14ac:dyDescent="0.3">
      <c r="A15" s="10" t="s">
        <v>83</v>
      </c>
      <c r="B15" s="10" t="s">
        <v>85</v>
      </c>
      <c r="C15" s="16">
        <f>0.02*(CAPEX!B184+CAPEX!B185)</f>
        <v>6.2257180354715871</v>
      </c>
    </row>
    <row r="16" spans="1:3" x14ac:dyDescent="0.3">
      <c r="A16" s="44"/>
      <c r="B16" s="44"/>
      <c r="C16" s="20">
        <f>SUM(C14:C15)</f>
        <v>15.666412812075277</v>
      </c>
    </row>
    <row r="17" spans="1:3" x14ac:dyDescent="0.3">
      <c r="A17" s="38" t="s">
        <v>86</v>
      </c>
      <c r="B17" s="39"/>
      <c r="C17" s="40"/>
    </row>
    <row r="18" spans="1:3" x14ac:dyDescent="0.3">
      <c r="A18" s="10" t="s">
        <v>87</v>
      </c>
      <c r="B18" s="10" t="s">
        <v>88</v>
      </c>
      <c r="C18" s="16">
        <f>0.06*CAPEX!B189</f>
        <v>3.9222023623471003</v>
      </c>
    </row>
    <row r="19" spans="1:3" x14ac:dyDescent="0.3">
      <c r="A19" s="44"/>
      <c r="B19" s="44"/>
      <c r="C19" s="13">
        <f>C18</f>
        <v>3.9222023623471003</v>
      </c>
    </row>
    <row r="20" spans="1:3" x14ac:dyDescent="0.3">
      <c r="A20" s="38" t="s">
        <v>91</v>
      </c>
      <c r="B20" s="40"/>
      <c r="C20" s="13">
        <f>C9+C12+C16+C19</f>
        <v>34.112760984581904</v>
      </c>
    </row>
  </sheetData>
  <mergeCells count="9">
    <mergeCell ref="A19:B19"/>
    <mergeCell ref="A20:B20"/>
    <mergeCell ref="A5:C5"/>
    <mergeCell ref="A10:C10"/>
    <mergeCell ref="A13:C13"/>
    <mergeCell ref="A17:C17"/>
    <mergeCell ref="A9:B9"/>
    <mergeCell ref="A16:B16"/>
    <mergeCell ref="A12:B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zoomScale="120" zoomScaleNormal="120" workbookViewId="0">
      <selection activeCell="E8" sqref="E8"/>
    </sheetView>
  </sheetViews>
  <sheetFormatPr defaultRowHeight="14.4" x14ac:dyDescent="0.3"/>
  <cols>
    <col min="1" max="1" width="17.88671875" bestFit="1" customWidth="1"/>
    <col min="2" max="2" width="13" bestFit="1" customWidth="1"/>
    <col min="3" max="3" width="8.33203125" bestFit="1" customWidth="1"/>
    <col min="4" max="4" width="10.33203125" bestFit="1" customWidth="1"/>
    <col min="5" max="5" width="8.109375" bestFit="1" customWidth="1"/>
  </cols>
  <sheetData>
    <row r="1" spans="1:7" x14ac:dyDescent="0.3">
      <c r="A1" s="45" t="s">
        <v>200</v>
      </c>
      <c r="B1" s="45"/>
      <c r="C1" s="45"/>
      <c r="D1" s="9">
        <v>56209.310925337799</v>
      </c>
      <c r="E1" s="11" t="s">
        <v>199</v>
      </c>
    </row>
    <row r="4" spans="1:7" x14ac:dyDescent="0.3">
      <c r="A4" s="2" t="s">
        <v>101</v>
      </c>
      <c r="B4" s="2" t="s">
        <v>102</v>
      </c>
      <c r="C4" s="2" t="s">
        <v>199</v>
      </c>
      <c r="D4" s="2" t="s">
        <v>103</v>
      </c>
      <c r="E4" s="2" t="s">
        <v>201</v>
      </c>
      <c r="F4" s="2" t="s">
        <v>37</v>
      </c>
    </row>
    <row r="5" spans="1:7" ht="15.6" x14ac:dyDescent="0.35">
      <c r="A5" s="3" t="s">
        <v>149</v>
      </c>
      <c r="B5" s="3" t="s">
        <v>198</v>
      </c>
      <c r="C5" s="26">
        <v>8.1000000000000013E-3</v>
      </c>
      <c r="D5" s="28">
        <v>286000</v>
      </c>
      <c r="E5" s="16">
        <f>C5*D5</f>
        <v>2316.6000000000004</v>
      </c>
      <c r="F5" s="15">
        <f>E5/10^6*8000</f>
        <v>18.532800000000002</v>
      </c>
      <c r="G5" t="s">
        <v>203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M34"/>
  <sheetViews>
    <sheetView zoomScale="120" zoomScaleNormal="120" workbookViewId="0">
      <selection activeCell="E6" sqref="E6"/>
    </sheetView>
  </sheetViews>
  <sheetFormatPr defaultColWidth="8.88671875" defaultRowHeight="14.4" x14ac:dyDescent="0.3"/>
  <cols>
    <col min="2" max="2" width="23.33203125" bestFit="1" customWidth="1"/>
    <col min="3" max="3" width="9.33203125" bestFit="1" customWidth="1"/>
    <col min="4" max="4" width="8.88671875" style="27" bestFit="1" customWidth="1"/>
    <col min="5" max="5" width="12.6640625" bestFit="1" customWidth="1"/>
    <col min="6" max="6" width="9.44140625" bestFit="1" customWidth="1"/>
    <col min="7" max="7" width="9.77734375" bestFit="1" customWidth="1"/>
    <col min="8" max="8" width="69.44140625" bestFit="1" customWidth="1"/>
    <col min="10" max="10" width="11.33203125" bestFit="1" customWidth="1"/>
    <col min="12" max="12" width="11" bestFit="1" customWidth="1"/>
  </cols>
  <sheetData>
    <row r="3" spans="2:13" x14ac:dyDescent="0.3">
      <c r="B3" s="2" t="s">
        <v>23</v>
      </c>
      <c r="C3" s="2" t="s">
        <v>30</v>
      </c>
      <c r="D3" s="2" t="s">
        <v>31</v>
      </c>
      <c r="E3" s="2" t="s">
        <v>32</v>
      </c>
      <c r="F3" s="2" t="s">
        <v>24</v>
      </c>
      <c r="G3" s="2" t="s">
        <v>235</v>
      </c>
      <c r="H3" s="2" t="s">
        <v>92</v>
      </c>
    </row>
    <row r="4" spans="2:13" x14ac:dyDescent="0.3">
      <c r="B4" s="38" t="s">
        <v>204</v>
      </c>
      <c r="C4" s="39"/>
      <c r="D4" s="39"/>
      <c r="E4" s="39"/>
      <c r="F4" s="39"/>
      <c r="G4" s="39"/>
      <c r="H4" s="40"/>
      <c r="I4" s="1"/>
      <c r="K4" s="3" t="s">
        <v>227</v>
      </c>
      <c r="L4" s="3" t="s">
        <v>226</v>
      </c>
      <c r="M4" s="3" t="s">
        <v>103</v>
      </c>
    </row>
    <row r="5" spans="2:13" x14ac:dyDescent="0.3">
      <c r="B5" s="3" t="s">
        <v>292</v>
      </c>
      <c r="C5" s="3" t="s">
        <v>33</v>
      </c>
      <c r="D5" s="28">
        <f>31276.7588356323/1000</f>
        <v>31.2767588356323</v>
      </c>
      <c r="E5" s="28">
        <v>150.86179999999999</v>
      </c>
      <c r="F5" s="28">
        <f t="shared" ref="F5" si="0">E5*D5</f>
        <v>4718.4681361093926</v>
      </c>
      <c r="G5" s="28">
        <f>F5*C31/C28</f>
        <v>6287.1182128627224</v>
      </c>
      <c r="H5" s="37" t="s">
        <v>293</v>
      </c>
      <c r="I5" s="1"/>
      <c r="J5" s="10" t="s">
        <v>225</v>
      </c>
      <c r="K5" s="3">
        <f>13.4/1000</f>
        <v>1.34E-2</v>
      </c>
      <c r="L5" s="26">
        <f>K5/1.06</f>
        <v>1.2641509433962264E-2</v>
      </c>
      <c r="M5" s="26">
        <f>L5*55</f>
        <v>0.69528301886792454</v>
      </c>
    </row>
    <row r="6" spans="2:13" x14ac:dyDescent="0.3">
      <c r="B6" s="32" t="s">
        <v>215</v>
      </c>
      <c r="C6" s="3" t="s">
        <v>33</v>
      </c>
      <c r="D6" s="28">
        <f>26577.1480907374/1000</f>
        <v>26.577148090737399</v>
      </c>
      <c r="E6" s="28">
        <v>2300</v>
      </c>
      <c r="F6" s="28">
        <f t="shared" ref="F6:F7" si="1">E6*D6</f>
        <v>61127.440608696015</v>
      </c>
      <c r="G6" s="28">
        <f>F6*C31/C29</f>
        <v>80859.27781588168</v>
      </c>
      <c r="H6" s="3" t="s">
        <v>221</v>
      </c>
    </row>
    <row r="7" spans="2:13" x14ac:dyDescent="0.3">
      <c r="B7" s="32" t="s">
        <v>96</v>
      </c>
      <c r="C7" s="3" t="s">
        <v>33</v>
      </c>
      <c r="D7" s="28">
        <v>0</v>
      </c>
      <c r="E7" s="28">
        <v>2090</v>
      </c>
      <c r="F7" s="28">
        <f t="shared" si="1"/>
        <v>0</v>
      </c>
      <c r="G7" s="28">
        <f>F7*C31/C29</f>
        <v>0</v>
      </c>
      <c r="H7" s="3" t="s">
        <v>221</v>
      </c>
    </row>
    <row r="8" spans="2:13" x14ac:dyDescent="0.3">
      <c r="B8" s="2" t="s">
        <v>216</v>
      </c>
      <c r="C8" s="2"/>
      <c r="D8" s="15"/>
      <c r="E8" s="15"/>
      <c r="F8" s="15"/>
      <c r="G8" s="15">
        <f>SUM(G5:G7)</f>
        <v>87146.396028744406</v>
      </c>
      <c r="H8" s="2"/>
    </row>
    <row r="9" spans="2:13" x14ac:dyDescent="0.3">
      <c r="B9" s="38" t="s">
        <v>205</v>
      </c>
      <c r="C9" s="39"/>
      <c r="D9" s="39"/>
      <c r="E9" s="39"/>
      <c r="F9" s="39"/>
      <c r="G9" s="39"/>
      <c r="H9" s="40"/>
    </row>
    <row r="10" spans="2:13" ht="16.2" x14ac:dyDescent="0.3">
      <c r="B10" s="3" t="s">
        <v>25</v>
      </c>
      <c r="C10" s="3" t="s">
        <v>222</v>
      </c>
      <c r="D10" s="28">
        <f>28159824.7608389/1000</f>
        <v>28159.824760838899</v>
      </c>
      <c r="E10" s="28">
        <f>3.6/100</f>
        <v>3.6000000000000004E-2</v>
      </c>
      <c r="F10" s="28">
        <f>E10*D10</f>
        <v>1013.7536913902005</v>
      </c>
      <c r="G10" s="28">
        <f>F10*C31/C29</f>
        <v>1340.9917142406009</v>
      </c>
      <c r="H10" s="3" t="s">
        <v>221</v>
      </c>
    </row>
    <row r="11" spans="2:13" x14ac:dyDescent="0.3">
      <c r="B11" s="3" t="s">
        <v>26</v>
      </c>
      <c r="C11" s="3" t="s">
        <v>223</v>
      </c>
      <c r="D11" s="28">
        <f>11410.0711778669/1000</f>
        <v>11.410071177866898</v>
      </c>
      <c r="E11" s="28">
        <v>69.599999999999994</v>
      </c>
      <c r="F11" s="28">
        <f>E11*D11</f>
        <v>794.14095397953611</v>
      </c>
      <c r="G11" s="28">
        <f>F11*C31/C29</f>
        <v>1050.4883466962226</v>
      </c>
      <c r="H11" s="3" t="s">
        <v>221</v>
      </c>
    </row>
    <row r="12" spans="2:13" x14ac:dyDescent="0.3">
      <c r="B12" s="3" t="s">
        <v>254</v>
      </c>
      <c r="C12" s="3" t="s">
        <v>33</v>
      </c>
      <c r="D12" s="28">
        <f>4093.31834950318/1000</f>
        <v>4.0933183495031802</v>
      </c>
      <c r="E12" s="28">
        <v>524</v>
      </c>
      <c r="F12" s="28">
        <f>E12*D12</f>
        <v>2144.8988151396666</v>
      </c>
      <c r="G12" s="28">
        <f>F12*C31/C30</f>
        <v>2220.328079152694</v>
      </c>
      <c r="H12" s="3" t="s">
        <v>259</v>
      </c>
    </row>
    <row r="13" spans="2:13" x14ac:dyDescent="0.3">
      <c r="B13" s="3" t="s">
        <v>220</v>
      </c>
      <c r="C13" s="3" t="s">
        <v>33</v>
      </c>
      <c r="D13" s="28">
        <f>195217.219541254/1000</f>
        <v>195.217219541254</v>
      </c>
      <c r="E13" s="28">
        <v>15.6</v>
      </c>
      <c r="F13" s="28">
        <f>E13*D13</f>
        <v>3045.3886248435624</v>
      </c>
      <c r="G13" s="28">
        <f>F13*C31/C29</f>
        <v>4028.4350599576737</v>
      </c>
      <c r="H13" s="3" t="s">
        <v>221</v>
      </c>
    </row>
    <row r="14" spans="2:13" x14ac:dyDescent="0.3">
      <c r="B14" s="2" t="s">
        <v>216</v>
      </c>
      <c r="C14" s="2"/>
      <c r="D14" s="15"/>
      <c r="E14" s="15"/>
      <c r="F14" s="15"/>
      <c r="G14" s="15">
        <f>SUM(G10:G13)</f>
        <v>8640.2432000471908</v>
      </c>
      <c r="H14" s="2"/>
    </row>
    <row r="15" spans="2:13" x14ac:dyDescent="0.3">
      <c r="B15" s="38" t="s">
        <v>206</v>
      </c>
      <c r="C15" s="39"/>
      <c r="D15" s="39"/>
      <c r="E15" s="39"/>
      <c r="F15" s="39"/>
      <c r="G15" s="39"/>
      <c r="H15" s="40"/>
    </row>
    <row r="16" spans="2:13" ht="15.6" x14ac:dyDescent="0.35">
      <c r="B16" s="3" t="s">
        <v>217</v>
      </c>
      <c r="C16" s="3" t="s">
        <v>33</v>
      </c>
      <c r="D16" s="28">
        <f>10324.7820425958/1000</f>
        <v>10.3247820425958</v>
      </c>
      <c r="E16" s="17">
        <v>15</v>
      </c>
      <c r="F16" s="28">
        <f>E16*D16</f>
        <v>154.87173063893698</v>
      </c>
      <c r="G16" s="28">
        <f>F16*C$31/C$27</f>
        <v>216.29287928649595</v>
      </c>
      <c r="H16" s="3" t="s">
        <v>229</v>
      </c>
    </row>
    <row r="17" spans="2:8" ht="16.2" x14ac:dyDescent="0.3">
      <c r="B17" s="3" t="s">
        <v>224</v>
      </c>
      <c r="C17" s="3" t="s">
        <v>222</v>
      </c>
      <c r="D17" s="28">
        <f>11289.3905274794/1000</f>
        <v>11.2893905274794</v>
      </c>
      <c r="E17" s="28">
        <v>1.6</v>
      </c>
      <c r="F17" s="28">
        <f t="shared" ref="F17:F18" si="2">E17*D17</f>
        <v>18.063024843967039</v>
      </c>
      <c r="G17" s="28">
        <f>F17*C31/C29</f>
        <v>23.893739530225371</v>
      </c>
      <c r="H17" s="3" t="s">
        <v>221</v>
      </c>
    </row>
    <row r="18" spans="2:8" x14ac:dyDescent="0.3">
      <c r="B18" s="3" t="s">
        <v>55</v>
      </c>
      <c r="C18" s="3" t="s">
        <v>33</v>
      </c>
      <c r="D18" s="28">
        <f>19.2402204614209/1000</f>
        <v>1.92402204614209E-2</v>
      </c>
      <c r="E18" s="28">
        <v>200</v>
      </c>
      <c r="F18" s="28">
        <f t="shared" si="2"/>
        <v>3.8480440922841801</v>
      </c>
      <c r="G18" s="28">
        <f>F18*C31/C28</f>
        <v>5.1273225544015375</v>
      </c>
      <c r="H18" s="3" t="s">
        <v>228</v>
      </c>
    </row>
    <row r="19" spans="2:8" x14ac:dyDescent="0.3">
      <c r="B19" s="2" t="s">
        <v>216</v>
      </c>
      <c r="C19" s="2"/>
      <c r="D19" s="15"/>
      <c r="E19" s="15"/>
      <c r="F19" s="15"/>
      <c r="G19" s="15">
        <f>SUM(G16:G18)</f>
        <v>245.31394137112284</v>
      </c>
      <c r="H19" s="2"/>
    </row>
    <row r="20" spans="2:8" x14ac:dyDescent="0.3">
      <c r="B20" s="38" t="s">
        <v>219</v>
      </c>
      <c r="C20" s="39"/>
      <c r="D20" s="39"/>
      <c r="E20" s="39"/>
      <c r="F20" s="39"/>
      <c r="G20" s="39"/>
      <c r="H20" s="40"/>
    </row>
    <row r="21" spans="2:8" x14ac:dyDescent="0.3">
      <c r="B21" s="2" t="s">
        <v>220</v>
      </c>
      <c r="C21" s="2" t="s">
        <v>33</v>
      </c>
      <c r="D21" s="15">
        <v>0</v>
      </c>
      <c r="E21" s="17">
        <v>15.6</v>
      </c>
      <c r="F21" s="28">
        <f>E21*D21</f>
        <v>0</v>
      </c>
      <c r="G21" s="28">
        <f>F21*C31/C29</f>
        <v>0</v>
      </c>
      <c r="H21" s="3" t="s">
        <v>221</v>
      </c>
    </row>
    <row r="22" spans="2:8" x14ac:dyDescent="0.3">
      <c r="B22" s="2" t="s">
        <v>216</v>
      </c>
      <c r="C22" s="2"/>
      <c r="D22" s="15"/>
      <c r="E22" s="15"/>
      <c r="F22" s="15"/>
      <c r="G22" s="15">
        <f>SUM(G21)</f>
        <v>0</v>
      </c>
      <c r="H22" s="2"/>
    </row>
    <row r="23" spans="2:8" x14ac:dyDescent="0.3">
      <c r="B23" s="2" t="s">
        <v>104</v>
      </c>
      <c r="C23" s="14" t="s">
        <v>37</v>
      </c>
      <c r="D23" s="28"/>
      <c r="E23" s="28"/>
      <c r="F23" s="28"/>
      <c r="G23" s="15">
        <f>SUM('Catalyst costs'!F5)</f>
        <v>18.532800000000002</v>
      </c>
      <c r="H23" s="3" t="s">
        <v>207</v>
      </c>
    </row>
    <row r="24" spans="2:8" x14ac:dyDescent="0.3">
      <c r="B24" s="2" t="s">
        <v>202</v>
      </c>
      <c r="C24" s="14" t="s">
        <v>37</v>
      </c>
      <c r="D24" s="3"/>
      <c r="E24" s="3"/>
      <c r="F24" s="15"/>
      <c r="G24" s="15">
        <f>(G8+G14+G19+G22)*8000/1000000+G$23</f>
        <v>786.78842536130162</v>
      </c>
      <c r="H24" s="3"/>
    </row>
    <row r="25" spans="2:8" x14ac:dyDescent="0.3">
      <c r="B25" s="17"/>
      <c r="C25" s="17"/>
      <c r="D25" s="17"/>
      <c r="E25" s="17"/>
      <c r="F25" s="17"/>
      <c r="G25" s="17"/>
      <c r="H25" s="17"/>
    </row>
    <row r="26" spans="2:8" x14ac:dyDescent="0.3">
      <c r="B26" s="11" t="s">
        <v>95</v>
      </c>
      <c r="D26" s="17"/>
      <c r="E26" s="17"/>
      <c r="F26" s="17"/>
      <c r="G26" s="17"/>
      <c r="H26" s="17"/>
    </row>
    <row r="27" spans="2:8" x14ac:dyDescent="0.3">
      <c r="B27" s="10" t="s">
        <v>218</v>
      </c>
      <c r="C27" s="16">
        <v>575.4</v>
      </c>
      <c r="D27" s="17"/>
      <c r="E27" s="17"/>
      <c r="F27" s="17"/>
      <c r="G27" s="17"/>
      <c r="H27" s="17"/>
    </row>
    <row r="28" spans="2:8" x14ac:dyDescent="0.3">
      <c r="B28" s="10" t="s">
        <v>94</v>
      </c>
      <c r="C28" s="16">
        <v>603.1</v>
      </c>
      <c r="D28" s="17"/>
      <c r="E28" s="17"/>
      <c r="F28" s="17"/>
      <c r="G28" s="17"/>
      <c r="H28" s="17"/>
    </row>
    <row r="29" spans="2:8" x14ac:dyDescent="0.3">
      <c r="B29" s="10" t="s">
        <v>35</v>
      </c>
      <c r="C29" s="16">
        <v>607.5</v>
      </c>
      <c r="D29" s="17"/>
      <c r="E29" s="17"/>
      <c r="F29" s="17"/>
      <c r="G29" s="17"/>
      <c r="H29" s="17"/>
    </row>
    <row r="30" spans="2:8" x14ac:dyDescent="0.3">
      <c r="B30" s="10" t="s">
        <v>233</v>
      </c>
      <c r="C30" s="16">
        <v>776.3</v>
      </c>
      <c r="D30" s="17"/>
      <c r="E30" s="17"/>
      <c r="F30" s="17"/>
      <c r="G30" s="17"/>
      <c r="H30" s="17"/>
    </row>
    <row r="31" spans="2:8" x14ac:dyDescent="0.3">
      <c r="B31" s="10" t="s">
        <v>230</v>
      </c>
      <c r="C31" s="16">
        <v>803.6</v>
      </c>
      <c r="D31" s="17"/>
      <c r="E31" s="17"/>
      <c r="F31" s="17"/>
      <c r="G31" s="17"/>
      <c r="H31" s="17"/>
    </row>
    <row r="32" spans="2:8" x14ac:dyDescent="0.3">
      <c r="B32" s="17"/>
      <c r="C32" s="17"/>
      <c r="D32" s="17"/>
      <c r="E32" s="17"/>
      <c r="F32" s="17"/>
      <c r="G32" s="17"/>
      <c r="H32" s="17"/>
    </row>
    <row r="33" spans="2:8" x14ac:dyDescent="0.3">
      <c r="B33" s="17"/>
      <c r="C33" s="17"/>
      <c r="D33" s="17"/>
      <c r="E33" s="17"/>
      <c r="F33" s="17"/>
      <c r="G33" s="17"/>
      <c r="H33" s="17"/>
    </row>
    <row r="34" spans="2:8" x14ac:dyDescent="0.3">
      <c r="B34" s="17"/>
      <c r="C34" s="17"/>
      <c r="D34" s="17"/>
      <c r="E34" s="17"/>
      <c r="F34" s="17"/>
      <c r="G34" s="17"/>
      <c r="H34" s="17"/>
    </row>
  </sheetData>
  <mergeCells count="4">
    <mergeCell ref="B20:H20"/>
    <mergeCell ref="B4:H4"/>
    <mergeCell ref="B9:H9"/>
    <mergeCell ref="B15:H15"/>
  </mergeCells>
  <hyperlinks>
    <hyperlink ref="H5" r:id="rId1" xr:uid="{3BC42788-EE7A-4682-B498-958F2D293028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K58"/>
  <sheetViews>
    <sheetView tabSelected="1" zoomScale="130" zoomScaleNormal="130" workbookViewId="0">
      <selection activeCell="D16" sqref="D16"/>
    </sheetView>
  </sheetViews>
  <sheetFormatPr defaultRowHeight="14.4" x14ac:dyDescent="0.3"/>
  <cols>
    <col min="2" max="2" width="39.109375" bestFit="1" customWidth="1"/>
    <col min="3" max="3" width="9.5546875" bestFit="1" customWidth="1"/>
    <col min="5" max="5" width="22.5546875" bestFit="1" customWidth="1"/>
    <col min="6" max="7" width="16.88671875" bestFit="1" customWidth="1"/>
    <col min="8" max="8" width="16.33203125" bestFit="1" customWidth="1"/>
    <col min="10" max="10" width="15.6640625" bestFit="1" customWidth="1"/>
    <col min="11" max="11" width="16.33203125" bestFit="1" customWidth="1"/>
  </cols>
  <sheetData>
    <row r="3" spans="2:11" x14ac:dyDescent="0.3">
      <c r="B3" s="10" t="s">
        <v>232</v>
      </c>
      <c r="C3" s="16">
        <f>SUM(CAPEX!B183)</f>
        <v>64.024249644915528</v>
      </c>
      <c r="E3" s="44" t="s">
        <v>236</v>
      </c>
      <c r="F3" s="44"/>
      <c r="G3" s="44"/>
      <c r="H3" s="44"/>
      <c r="J3" s="38" t="s">
        <v>237</v>
      </c>
      <c r="K3" s="40"/>
    </row>
    <row r="4" spans="2:11" x14ac:dyDescent="0.3">
      <c r="B4" s="18" t="s">
        <v>60</v>
      </c>
      <c r="C4" s="16">
        <f>SUM(CAPEX!B184)</f>
        <v>239.45069367198411</v>
      </c>
      <c r="E4" s="2" t="s">
        <v>101</v>
      </c>
      <c r="F4" s="2" t="s">
        <v>249</v>
      </c>
      <c r="G4" s="2" t="s">
        <v>238</v>
      </c>
      <c r="H4" s="2" t="s">
        <v>239</v>
      </c>
      <c r="J4" s="2" t="s">
        <v>101</v>
      </c>
      <c r="K4" s="35" t="s">
        <v>239</v>
      </c>
    </row>
    <row r="5" spans="2:11" x14ac:dyDescent="0.3">
      <c r="B5" s="18" t="s">
        <v>61</v>
      </c>
      <c r="C5" s="16">
        <f>SUM(CAPEX!B185)</f>
        <v>71.835208101595228</v>
      </c>
      <c r="E5" s="3" t="s">
        <v>57</v>
      </c>
      <c r="F5" s="28">
        <f>CAPEX!H30</f>
        <v>22.716179367757388</v>
      </c>
      <c r="G5" s="28">
        <f>F5*CAPEX!$B$182/CAPEX!$B$181</f>
        <v>34.255435803959166</v>
      </c>
      <c r="H5" s="28">
        <f>(G5*CAPEX!$C$188+Summary!G5*CAPEX!$C$188*0.15)*CAPEX!$B$193</f>
        <v>34.188528555164645</v>
      </c>
      <c r="J5" s="32" t="s">
        <v>57</v>
      </c>
      <c r="K5" s="28">
        <f>H5</f>
        <v>34.188528555164645</v>
      </c>
    </row>
    <row r="6" spans="2:11" x14ac:dyDescent="0.3">
      <c r="B6" s="18" t="s">
        <v>84</v>
      </c>
      <c r="C6" s="16">
        <f>SUM(CAPEX!B186)</f>
        <v>93.385770532073792</v>
      </c>
      <c r="E6" s="3" t="s">
        <v>158</v>
      </c>
      <c r="F6" s="28">
        <f>CAPEX!H36</f>
        <v>3.7654330432421515E-2</v>
      </c>
      <c r="G6" s="28">
        <f>F6*CAPEX!$B$182/CAPEX!$B$181</f>
        <v>5.6781797589592668E-2</v>
      </c>
      <c r="H6" s="28">
        <f>(G6*CAPEX!$C$188+Summary!G6*CAPEX!$C$188*0.15)*CAPEX!$B$193</f>
        <v>5.6670892158989808E-2</v>
      </c>
      <c r="J6" s="32" t="s">
        <v>158</v>
      </c>
      <c r="K6" s="28">
        <f t="shared" ref="K6:K10" si="0">H6</f>
        <v>5.6670892158989808E-2</v>
      </c>
    </row>
    <row r="7" spans="2:11" x14ac:dyDescent="0.3">
      <c r="B7" s="18" t="s">
        <v>63</v>
      </c>
      <c r="C7" s="16">
        <f>SUM(CAPEX!B187)</f>
        <v>31.128590177357935</v>
      </c>
      <c r="E7" s="3" t="s">
        <v>161</v>
      </c>
      <c r="F7" s="28">
        <f>CAPEX!H144</f>
        <v>13.323342425549461</v>
      </c>
      <c r="G7" s="28">
        <f>F7*CAPEX!$B$182/CAPEX!$B$181</f>
        <v>20.091270356861603</v>
      </c>
      <c r="H7" s="28">
        <f>(G7*CAPEX!$C$188+Summary!G7*CAPEX!$C$188*0.15)*CAPEX!$B$193</f>
        <v>20.052028362333861</v>
      </c>
      <c r="J7" s="32" t="s">
        <v>161</v>
      </c>
      <c r="K7" s="28">
        <f t="shared" si="0"/>
        <v>20.052028362333861</v>
      </c>
    </row>
    <row r="8" spans="2:11" x14ac:dyDescent="0.3">
      <c r="B8" s="18" t="s">
        <v>64</v>
      </c>
      <c r="C8" s="16">
        <f>SUM(CAPEX!B188)</f>
        <v>435.80026248301118</v>
      </c>
      <c r="E8" s="3" t="s">
        <v>58</v>
      </c>
      <c r="F8" s="28">
        <f>CAPEX!H151</f>
        <v>3.9335123212265257</v>
      </c>
      <c r="G8" s="28">
        <f>F8*CAPEX!$B$182/CAPEX!$B$181</f>
        <v>5.931639146814855</v>
      </c>
      <c r="H8" s="28">
        <f>(G8*CAPEX!$C$188+Summary!G8*CAPEX!$C$188*0.15)*CAPEX!$B$193</f>
        <v>5.9200535503440799</v>
      </c>
      <c r="J8" s="32" t="s">
        <v>58</v>
      </c>
      <c r="K8" s="28">
        <f t="shared" si="0"/>
        <v>5.9200535503440799</v>
      </c>
    </row>
    <row r="9" spans="2:11" x14ac:dyDescent="0.3">
      <c r="B9" s="18" t="s">
        <v>67</v>
      </c>
      <c r="C9" s="16">
        <f>SUM(CAPEX!B189)</f>
        <v>65.370039372451672</v>
      </c>
      <c r="E9" s="3" t="s">
        <v>160</v>
      </c>
      <c r="F9" s="28">
        <f>CAPEX!H162</f>
        <v>1.916699102084825</v>
      </c>
      <c r="G9" s="28">
        <f>F9*CAPEX!$B$182/CAPEX!$B$181</f>
        <v>2.8903347690661767</v>
      </c>
      <c r="H9" s="28">
        <f>(G9*CAPEX!$C$188+Summary!G9*CAPEX!$C$188*0.15)*CAPEX!$B$193</f>
        <v>2.8846894067184294</v>
      </c>
      <c r="J9" s="32" t="s">
        <v>160</v>
      </c>
      <c r="K9" s="28">
        <f t="shared" si="0"/>
        <v>2.8846894067184294</v>
      </c>
    </row>
    <row r="10" spans="2:11" x14ac:dyDescent="0.3">
      <c r="B10" s="10" t="s">
        <v>65</v>
      </c>
      <c r="C10" s="16">
        <f>SUM(CAPEX!B190)</f>
        <v>501.17030185546287</v>
      </c>
      <c r="E10" s="3" t="s">
        <v>240</v>
      </c>
      <c r="F10" s="28">
        <f>CAPEX!H166+CAPEX!H170+CAPEX!H174+CAPEX!H178</f>
        <v>0.52970881404380132</v>
      </c>
      <c r="G10" s="28">
        <f>F10*CAPEX!$B$182/CAPEX!$B$181</f>
        <v>0.79878777062412976</v>
      </c>
      <c r="H10" s="28">
        <f>(G10*CAPEX!$C$188+Summary!G10*CAPEX!$C$188*0.15)*CAPEX!$B$193</f>
        <v>0.79722758927337922</v>
      </c>
      <c r="J10" s="32" t="s">
        <v>240</v>
      </c>
      <c r="K10" s="28">
        <f t="shared" si="0"/>
        <v>0.79722758927337922</v>
      </c>
    </row>
    <row r="11" spans="2:11" x14ac:dyDescent="0.3">
      <c r="B11" s="10" t="s">
        <v>89</v>
      </c>
      <c r="C11" s="16">
        <f>SUM('Production costs'!C9)</f>
        <v>7.3406250000000002</v>
      </c>
      <c r="E11" s="2" t="s">
        <v>141</v>
      </c>
      <c r="F11" s="15">
        <f>SUM(F5:F10)</f>
        <v>42.457096361094422</v>
      </c>
      <c r="G11" s="15">
        <f>SUM(G5:G10)</f>
        <v>64.024249644915528</v>
      </c>
      <c r="H11" s="15">
        <f>SUM(H5:H10)</f>
        <v>63.899198355993384</v>
      </c>
      <c r="J11" s="34" t="s">
        <v>141</v>
      </c>
      <c r="K11" s="15">
        <f>SUM(K5:K10)</f>
        <v>63.899198355993384</v>
      </c>
    </row>
    <row r="12" spans="2:11" x14ac:dyDescent="0.3">
      <c r="B12" s="10" t="s">
        <v>90</v>
      </c>
      <c r="C12" s="16">
        <f>SUM('Production costs'!C12)</f>
        <v>7.1835208101595232</v>
      </c>
    </row>
    <row r="13" spans="2:11" x14ac:dyDescent="0.3">
      <c r="B13" s="10" t="s">
        <v>78</v>
      </c>
      <c r="C13" s="16">
        <f>SUM('Production costs'!C16)</f>
        <v>15.666412812075277</v>
      </c>
      <c r="E13" s="38" t="s">
        <v>241</v>
      </c>
      <c r="F13" s="40"/>
      <c r="J13" s="38" t="s">
        <v>242</v>
      </c>
      <c r="K13" s="40"/>
    </row>
    <row r="14" spans="2:11" x14ac:dyDescent="0.3">
      <c r="B14" s="10" t="s">
        <v>86</v>
      </c>
      <c r="C14" s="16">
        <f>SUM('Production costs'!C19)</f>
        <v>3.9222023623471003</v>
      </c>
      <c r="E14" s="2" t="s">
        <v>243</v>
      </c>
      <c r="F14" s="2" t="s">
        <v>37</v>
      </c>
      <c r="J14" s="2" t="s">
        <v>243</v>
      </c>
      <c r="K14" s="2" t="s">
        <v>37</v>
      </c>
    </row>
    <row r="15" spans="2:11" x14ac:dyDescent="0.3">
      <c r="B15" s="10" t="s">
        <v>27</v>
      </c>
      <c r="C15" s="16">
        <f>SUM(CAPEX!B191)</f>
        <v>25</v>
      </c>
      <c r="E15" s="3" t="s">
        <v>81</v>
      </c>
      <c r="F15" s="28">
        <f>'Production costs'!C6</f>
        <v>4.05</v>
      </c>
      <c r="J15" s="3" t="s">
        <v>244</v>
      </c>
      <c r="K15" s="28">
        <f>F15+F16+F17</f>
        <v>7.3406250000000002</v>
      </c>
    </row>
    <row r="16" spans="2:11" x14ac:dyDescent="0.3">
      <c r="B16" s="10" t="s">
        <v>28</v>
      </c>
      <c r="C16" s="16">
        <f>SUM(CAPEX!B192)</f>
        <v>0.12</v>
      </c>
      <c r="E16" s="3" t="s">
        <v>69</v>
      </c>
      <c r="F16" s="28">
        <f>'Production costs'!C7</f>
        <v>1.0125</v>
      </c>
      <c r="J16" s="3" t="s">
        <v>76</v>
      </c>
      <c r="K16" s="28">
        <f>F18</f>
        <v>7.1835208101595232</v>
      </c>
    </row>
    <row r="17" spans="2:11" x14ac:dyDescent="0.3">
      <c r="B17" s="10" t="s">
        <v>29</v>
      </c>
      <c r="C17" s="12">
        <f>SUM(CAPEX!B193)</f>
        <v>0.12749996980950773</v>
      </c>
      <c r="E17" s="3" t="s">
        <v>73</v>
      </c>
      <c r="F17" s="28">
        <f>'Production costs'!C8</f>
        <v>2.2781250000000002</v>
      </c>
      <c r="J17" s="3" t="s">
        <v>245</v>
      </c>
      <c r="K17" s="28">
        <f>F19+F20</f>
        <v>15.666412812075277</v>
      </c>
    </row>
    <row r="18" spans="2:11" x14ac:dyDescent="0.3">
      <c r="B18" s="11" t="s">
        <v>36</v>
      </c>
      <c r="C18" s="13">
        <f>SUM(CAPEX!B195)</f>
        <v>63.899198355993391</v>
      </c>
      <c r="E18" s="3" t="s">
        <v>76</v>
      </c>
      <c r="F18" s="28">
        <f>'Production costs'!C11</f>
        <v>7.1835208101595232</v>
      </c>
      <c r="J18" s="3" t="s">
        <v>86</v>
      </c>
      <c r="K18" s="28">
        <f>F21</f>
        <v>3.9222023623471003</v>
      </c>
    </row>
    <row r="19" spans="2:11" x14ac:dyDescent="0.3">
      <c r="B19" s="11" t="s">
        <v>209</v>
      </c>
      <c r="C19" s="13">
        <f>'Production costs'!C20</f>
        <v>34.112760984581904</v>
      </c>
      <c r="E19" s="3" t="s">
        <v>80</v>
      </c>
      <c r="F19" s="28">
        <f>'Production costs'!C14</f>
        <v>9.4406947766036904</v>
      </c>
      <c r="J19" s="2" t="s">
        <v>141</v>
      </c>
      <c r="K19" s="15">
        <f>SUM(K15:K18)</f>
        <v>34.112760984581904</v>
      </c>
    </row>
    <row r="20" spans="2:11" x14ac:dyDescent="0.3">
      <c r="B20" s="11" t="s">
        <v>56</v>
      </c>
      <c r="C20" s="13">
        <f>OPEX!G24</f>
        <v>786.78842536130162</v>
      </c>
      <c r="E20" s="3" t="s">
        <v>83</v>
      </c>
      <c r="F20" s="28">
        <f>'Production costs'!C15</f>
        <v>6.2257180354715871</v>
      </c>
    </row>
    <row r="21" spans="2:11" x14ac:dyDescent="0.3">
      <c r="B21" s="11" t="s">
        <v>210</v>
      </c>
      <c r="C21" s="13">
        <f>($C$18+$C$19+C20)</f>
        <v>884.80038470187696</v>
      </c>
      <c r="E21" s="3" t="s">
        <v>87</v>
      </c>
      <c r="F21" s="28">
        <f>'Production costs'!C18</f>
        <v>3.9222023623471003</v>
      </c>
    </row>
    <row r="22" spans="2:11" x14ac:dyDescent="0.3">
      <c r="B22" s="11" t="s">
        <v>211</v>
      </c>
      <c r="C22" s="13">
        <f>(C21)*1000000/8000</f>
        <v>110600.04808773463</v>
      </c>
      <c r="E22" s="2" t="s">
        <v>141</v>
      </c>
      <c r="F22" s="15">
        <f>SUM(F15:F21)</f>
        <v>34.112760984581904</v>
      </c>
    </row>
    <row r="23" spans="2:11" x14ac:dyDescent="0.3">
      <c r="B23" s="11" t="s">
        <v>212</v>
      </c>
      <c r="C23" s="13">
        <v>56724.823237051998</v>
      </c>
    </row>
    <row r="24" spans="2:11" x14ac:dyDescent="0.3">
      <c r="B24" s="25" t="s">
        <v>208</v>
      </c>
      <c r="C24" s="24">
        <f>C22/C23</f>
        <v>1.9497645259384775</v>
      </c>
      <c r="E24" s="38" t="s">
        <v>246</v>
      </c>
      <c r="F24" s="40"/>
    </row>
    <row r="25" spans="2:11" x14ac:dyDescent="0.3">
      <c r="B25" s="25" t="s">
        <v>234</v>
      </c>
      <c r="C25" s="33">
        <f>C24*1000</f>
        <v>1949.7645259384774</v>
      </c>
      <c r="E25" s="2" t="s">
        <v>243</v>
      </c>
      <c r="F25" s="2" t="s">
        <v>37</v>
      </c>
    </row>
    <row r="26" spans="2:11" x14ac:dyDescent="0.3">
      <c r="E26" s="3" t="s">
        <v>292</v>
      </c>
      <c r="F26" s="28">
        <f>OPEX!G5*8000/10^6</f>
        <v>50.29694570290178</v>
      </c>
      <c r="I26" s="36"/>
    </row>
    <row r="27" spans="2:11" x14ac:dyDescent="0.3">
      <c r="E27" s="3" t="s">
        <v>214</v>
      </c>
      <c r="F27" s="28">
        <v>0</v>
      </c>
    </row>
    <row r="28" spans="2:11" x14ac:dyDescent="0.3">
      <c r="E28" s="3" t="s">
        <v>215</v>
      </c>
      <c r="F28" s="28">
        <f>OPEX!G6*8000/10^6</f>
        <v>646.87422252705346</v>
      </c>
    </row>
    <row r="29" spans="2:11" x14ac:dyDescent="0.3">
      <c r="E29" s="3" t="s">
        <v>96</v>
      </c>
      <c r="F29" s="28">
        <f>OPEX!G7*8000/10^6</f>
        <v>0</v>
      </c>
    </row>
    <row r="30" spans="2:11" x14ac:dyDescent="0.3">
      <c r="E30" s="3" t="s">
        <v>25</v>
      </c>
      <c r="F30" s="28">
        <f>OPEX!G10*8000/10^6</f>
        <v>10.727933713924807</v>
      </c>
    </row>
    <row r="31" spans="2:11" x14ac:dyDescent="0.3">
      <c r="E31" s="3" t="s">
        <v>26</v>
      </c>
      <c r="F31" s="28">
        <f>OPEX!G11*8000/10^6</f>
        <v>8.4039067735697817</v>
      </c>
    </row>
    <row r="32" spans="2:11" ht="15.6" x14ac:dyDescent="0.35">
      <c r="E32" s="3" t="s">
        <v>254</v>
      </c>
      <c r="F32" s="28">
        <f>OPEX!G12*8000/10^6</f>
        <v>17.762624633221552</v>
      </c>
    </row>
    <row r="33" spans="5:8" ht="15.6" x14ac:dyDescent="0.35">
      <c r="E33" s="3" t="s">
        <v>247</v>
      </c>
      <c r="F33" s="28">
        <f>OPEX!G16*8000/10^6</f>
        <v>1.7303430342919675</v>
      </c>
    </row>
    <row r="34" spans="5:8" x14ac:dyDescent="0.3">
      <c r="E34" s="3" t="s">
        <v>224</v>
      </c>
      <c r="F34" s="28">
        <f>OPEX!G17*8000/10^6</f>
        <v>0.19114991624180297</v>
      </c>
    </row>
    <row r="35" spans="5:8" x14ac:dyDescent="0.3">
      <c r="E35" s="3" t="s">
        <v>55</v>
      </c>
      <c r="F35" s="28">
        <f>OPEX!G18*8000/10^6</f>
        <v>4.1018580435212303E-2</v>
      </c>
    </row>
    <row r="36" spans="5:8" x14ac:dyDescent="0.3">
      <c r="E36" s="3" t="s">
        <v>220</v>
      </c>
      <c r="F36" s="28">
        <f>OPEX!G13*8000/10^6</f>
        <v>32.227480479661388</v>
      </c>
    </row>
    <row r="37" spans="5:8" x14ac:dyDescent="0.3">
      <c r="E37" s="3" t="s">
        <v>248</v>
      </c>
      <c r="F37" s="28">
        <f>OPEX!G23</f>
        <v>18.532800000000002</v>
      </c>
    </row>
    <row r="38" spans="5:8" x14ac:dyDescent="0.3">
      <c r="E38" s="2" t="s">
        <v>141</v>
      </c>
      <c r="F38" s="15">
        <f>SUM(F26:F37)</f>
        <v>786.78842536130173</v>
      </c>
    </row>
    <row r="40" spans="5:8" x14ac:dyDescent="0.3">
      <c r="E40" s="44" t="s">
        <v>250</v>
      </c>
      <c r="F40" s="44"/>
      <c r="G40" s="44"/>
      <c r="H40" s="44"/>
    </row>
    <row r="41" spans="5:8" x14ac:dyDescent="0.3">
      <c r="E41" s="2" t="s">
        <v>243</v>
      </c>
      <c r="F41" s="2" t="s">
        <v>258</v>
      </c>
      <c r="G41" s="2" t="s">
        <v>256</v>
      </c>
      <c r="H41" s="2" t="s">
        <v>30</v>
      </c>
    </row>
    <row r="42" spans="5:8" x14ac:dyDescent="0.3">
      <c r="E42" s="3" t="s">
        <v>213</v>
      </c>
      <c r="F42" s="26">
        <v>0</v>
      </c>
      <c r="G42" s="26">
        <v>0</v>
      </c>
      <c r="H42" s="3" t="s">
        <v>33</v>
      </c>
    </row>
    <row r="43" spans="5:8" x14ac:dyDescent="0.3">
      <c r="E43" s="3" t="s">
        <v>253</v>
      </c>
      <c r="F43" s="26">
        <v>0</v>
      </c>
      <c r="G43" s="26">
        <v>0</v>
      </c>
      <c r="H43" s="3" t="s">
        <v>33</v>
      </c>
    </row>
    <row r="44" spans="5:8" x14ac:dyDescent="0.3">
      <c r="E44" s="3" t="s">
        <v>292</v>
      </c>
      <c r="F44" s="26">
        <f>F26*10^9/8000/$C$23</f>
        <v>110.8353954068569</v>
      </c>
      <c r="G44" s="26">
        <f>SUM(OPEX!D5)</f>
        <v>31.2767588356323</v>
      </c>
      <c r="H44" s="3" t="s">
        <v>33</v>
      </c>
    </row>
    <row r="45" spans="5:8" x14ac:dyDescent="0.3">
      <c r="E45" s="3" t="s">
        <v>214</v>
      </c>
      <c r="F45" s="26">
        <v>0</v>
      </c>
      <c r="G45" s="26">
        <v>0</v>
      </c>
      <c r="H45" s="3" t="s">
        <v>33</v>
      </c>
    </row>
    <row r="46" spans="5:8" x14ac:dyDescent="0.3">
      <c r="E46" s="3" t="s">
        <v>96</v>
      </c>
      <c r="F46" s="26">
        <v>0</v>
      </c>
      <c r="G46" s="26">
        <v>0</v>
      </c>
      <c r="H46" s="3" t="s">
        <v>33</v>
      </c>
    </row>
    <row r="47" spans="5:8" x14ac:dyDescent="0.3">
      <c r="E47" s="3" t="s">
        <v>215</v>
      </c>
      <c r="F47" s="26">
        <f>F28*10^9/8000/$C$23</f>
        <v>1425.4654876220986</v>
      </c>
      <c r="G47" s="26">
        <f>SUM(OPEX!D6)</f>
        <v>26.577148090737399</v>
      </c>
      <c r="H47" s="3" t="s">
        <v>33</v>
      </c>
    </row>
    <row r="48" spans="5:8" ht="16.2" x14ac:dyDescent="0.3">
      <c r="E48" s="3" t="s">
        <v>25</v>
      </c>
      <c r="F48" s="26">
        <f t="shared" ref="F48:F55" si="1">F30*10^9/8000/$C$23</f>
        <v>23.640297804659891</v>
      </c>
      <c r="G48" s="26">
        <f>SUM(OPEX!D10)</f>
        <v>28159.824760838899</v>
      </c>
      <c r="H48" s="3" t="s">
        <v>222</v>
      </c>
    </row>
    <row r="49" spans="5:8" x14ac:dyDescent="0.3">
      <c r="E49" s="3" t="s">
        <v>26</v>
      </c>
      <c r="F49" s="26">
        <f t="shared" si="1"/>
        <v>18.519023713943561</v>
      </c>
      <c r="G49" s="26">
        <f>SUM(OPEX!D11)</f>
        <v>11.410071177866898</v>
      </c>
      <c r="H49" s="3" t="s">
        <v>223</v>
      </c>
    </row>
    <row r="50" spans="5:8" x14ac:dyDescent="0.3">
      <c r="E50" s="3" t="s">
        <v>254</v>
      </c>
      <c r="F50" s="26">
        <f t="shared" si="1"/>
        <v>39.142088991163249</v>
      </c>
      <c r="G50" s="26">
        <f>SUM(OPEX!D12)</f>
        <v>4.0933183495031802</v>
      </c>
      <c r="H50" s="3" t="s">
        <v>33</v>
      </c>
    </row>
    <row r="51" spans="5:8" x14ac:dyDescent="0.3">
      <c r="E51" s="3" t="s">
        <v>255</v>
      </c>
      <c r="F51" s="26">
        <f t="shared" si="1"/>
        <v>3.8130198904739099</v>
      </c>
      <c r="G51" s="26">
        <f>SUM(OPEX!D16)</f>
        <v>10.3247820425958</v>
      </c>
      <c r="H51" s="3" t="s">
        <v>33</v>
      </c>
    </row>
    <row r="52" spans="5:8" ht="16.2" x14ac:dyDescent="0.3">
      <c r="E52" s="3" t="s">
        <v>224</v>
      </c>
      <c r="F52" s="26">
        <f t="shared" si="1"/>
        <v>0.42122193013055098</v>
      </c>
      <c r="G52" s="26">
        <f>SUM(OPEX!D17)</f>
        <v>11.2893905274794</v>
      </c>
      <c r="H52" s="3" t="s">
        <v>222</v>
      </c>
    </row>
    <row r="53" spans="5:8" x14ac:dyDescent="0.3">
      <c r="E53" s="3" t="s">
        <v>55</v>
      </c>
      <c r="F53" s="26">
        <f t="shared" si="1"/>
        <v>9.0389396772107167E-2</v>
      </c>
      <c r="G53" s="26">
        <f>SUM(OPEX!D18)</f>
        <v>1.92402204614209E-2</v>
      </c>
      <c r="H53" s="3" t="s">
        <v>33</v>
      </c>
    </row>
    <row r="54" spans="5:8" x14ac:dyDescent="0.3">
      <c r="E54" s="3" t="s">
        <v>220</v>
      </c>
      <c r="F54" s="26">
        <f t="shared" si="1"/>
        <v>71.017146111199281</v>
      </c>
      <c r="G54" s="26">
        <f>SUM(OPEX!D13)</f>
        <v>195.217219541254</v>
      </c>
      <c r="H54" s="3" t="s">
        <v>33</v>
      </c>
    </row>
    <row r="55" spans="5:8" x14ac:dyDescent="0.3">
      <c r="E55" s="3" t="s">
        <v>248</v>
      </c>
      <c r="F55" s="26">
        <f t="shared" si="1"/>
        <v>40.839263444135753</v>
      </c>
      <c r="G55" s="26">
        <v>0</v>
      </c>
      <c r="H55" s="3" t="s">
        <v>257</v>
      </c>
    </row>
    <row r="56" spans="5:8" x14ac:dyDescent="0.3">
      <c r="E56" s="3" t="s">
        <v>252</v>
      </c>
      <c r="F56" s="26">
        <f>F22*10^9/8000/$C$23</f>
        <v>75.171589433662263</v>
      </c>
      <c r="G56" s="26">
        <v>0</v>
      </c>
      <c r="H56" s="3" t="s">
        <v>257</v>
      </c>
    </row>
    <row r="57" spans="5:8" x14ac:dyDescent="0.3">
      <c r="E57" s="3" t="s">
        <v>251</v>
      </c>
      <c r="F57" s="26">
        <f>H11*10^9/8000/$C$23</f>
        <v>140.80960219338147</v>
      </c>
      <c r="G57" s="26">
        <v>0</v>
      </c>
      <c r="H57" s="3" t="s">
        <v>257</v>
      </c>
    </row>
    <row r="58" spans="5:8" x14ac:dyDescent="0.3">
      <c r="E58" s="2" t="s">
        <v>141</v>
      </c>
      <c r="F58" s="14">
        <f>SUM(F42:F57)</f>
        <v>1949.7645259384776</v>
      </c>
      <c r="G58" s="10"/>
      <c r="H58" s="10"/>
    </row>
  </sheetData>
  <mergeCells count="6">
    <mergeCell ref="E40:H40"/>
    <mergeCell ref="E3:H3"/>
    <mergeCell ref="J3:K3"/>
    <mergeCell ref="E13:F13"/>
    <mergeCell ref="J13:K13"/>
    <mergeCell ref="E24:F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CAPEX</vt:lpstr>
      <vt:lpstr>Production costs</vt:lpstr>
      <vt:lpstr>Catalyst costs</vt:lpstr>
      <vt:lpstr>OPEX</vt:lpstr>
      <vt:lpstr>Summary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2022-09-06T13:57:35Z</dcterms:modified>
</cp:coreProperties>
</file>