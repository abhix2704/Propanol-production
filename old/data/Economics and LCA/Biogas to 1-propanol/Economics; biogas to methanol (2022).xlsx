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/>
  <mc:AlternateContent xmlns:mc="http://schemas.openxmlformats.org/markup-compatibility/2006">
    <mc:Choice Requires="x15">
      <x15ac:absPath xmlns:x15ac="http://schemas.microsoft.com/office/spreadsheetml/2010/11/ac" url="C:\Users\anabera\Desktop\Propanol production\Data\Economics and LCA\Biogas to 1-propanol\"/>
    </mc:Choice>
  </mc:AlternateContent>
  <xr:revisionPtr revIDLastSave="0" documentId="13_ncr:1_{C1C774AA-77CA-488B-A818-A0617B708B8A}" xr6:coauthVersionLast="36" xr6:coauthVersionMax="47" xr10:uidLastSave="{00000000-0000-0000-0000-000000000000}"/>
  <bookViews>
    <workbookView xWindow="-108" yWindow="-108" windowWidth="30936" windowHeight="16896" activeTab="3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3" i="7" l="1"/>
  <c r="H323" i="7" s="1"/>
  <c r="D322" i="7"/>
  <c r="H322" i="7" s="1"/>
  <c r="D18" i="8"/>
  <c r="D14" i="8"/>
  <c r="D13" i="8"/>
  <c r="D12" i="8"/>
  <c r="D11" i="8"/>
  <c r="D6" i="8"/>
  <c r="F6" i="8" s="1"/>
  <c r="G6" i="8" s="1"/>
  <c r="F27" i="11" s="1"/>
  <c r="F43" i="11" s="1"/>
  <c r="D5" i="8" l="1"/>
  <c r="D335" i="7"/>
  <c r="H335" i="7" s="1"/>
  <c r="L17" i="7"/>
  <c r="D321" i="7"/>
  <c r="H321" i="7" s="1"/>
  <c r="D320" i="7"/>
  <c r="H320" i="7" s="1"/>
  <c r="D319" i="7"/>
  <c r="D315" i="7"/>
  <c r="H315" i="7" s="1"/>
  <c r="D314" i="7"/>
  <c r="H314" i="7" s="1"/>
  <c r="D313" i="7"/>
  <c r="H313" i="7" s="1"/>
  <c r="D312" i="7"/>
  <c r="H312" i="7" s="1"/>
  <c r="D311" i="7"/>
  <c r="H311" i="7" s="1"/>
  <c r="D310" i="7"/>
  <c r="H310" i="7" s="1"/>
  <c r="D309" i="7"/>
  <c r="H309" i="7" s="1"/>
  <c r="D308" i="7"/>
  <c r="H308" i="7" s="1"/>
  <c r="D307" i="7"/>
  <c r="H307" i="7" s="1"/>
  <c r="D306" i="7"/>
  <c r="H306" i="7" s="1"/>
  <c r="D305" i="7"/>
  <c r="H305" i="7" s="1"/>
  <c r="D304" i="7"/>
  <c r="H304" i="7" s="1"/>
  <c r="D303" i="7"/>
  <c r="D302" i="7"/>
  <c r="H302" i="7" s="1"/>
  <c r="D301" i="7"/>
  <c r="D300" i="7"/>
  <c r="H300" i="7" s="1"/>
  <c r="D299" i="7"/>
  <c r="H299" i="7" s="1"/>
  <c r="D298" i="7"/>
  <c r="H298" i="7" s="1"/>
  <c r="D297" i="7"/>
  <c r="H297" i="7" s="1"/>
  <c r="D296" i="7"/>
  <c r="H296" i="7" s="1"/>
  <c r="D295" i="7"/>
  <c r="D292" i="7"/>
  <c r="H292" i="7" s="1"/>
  <c r="D291" i="7"/>
  <c r="D288" i="7"/>
  <c r="H288" i="7" s="1"/>
  <c r="D287" i="7"/>
  <c r="D286" i="7"/>
  <c r="H286" i="7" s="1"/>
  <c r="D285" i="7"/>
  <c r="D283" i="7"/>
  <c r="H283" i="7" s="1"/>
  <c r="D282" i="7"/>
  <c r="H282" i="7" s="1"/>
  <c r="D281" i="7"/>
  <c r="H281" i="7" s="1"/>
  <c r="D280" i="7"/>
  <c r="H280" i="7" s="1"/>
  <c r="D279" i="7"/>
  <c r="D277" i="7"/>
  <c r="H277" i="7" s="1"/>
  <c r="D276" i="7"/>
  <c r="D275" i="7"/>
  <c r="H275" i="7" s="1"/>
  <c r="D274" i="7"/>
  <c r="H274" i="7" s="1"/>
  <c r="D273" i="7"/>
  <c r="H273" i="7" s="1"/>
  <c r="D272" i="7"/>
  <c r="H272" i="7" s="1"/>
  <c r="D271" i="7"/>
  <c r="H271" i="7" s="1"/>
  <c r="D270" i="7"/>
  <c r="H270" i="7" s="1"/>
  <c r="D269" i="7"/>
  <c r="H269" i="7" s="1"/>
  <c r="D268" i="7"/>
  <c r="H268" i="7" s="1"/>
  <c r="D267" i="7"/>
  <c r="H267" i="7" s="1"/>
  <c r="D266" i="7"/>
  <c r="H266" i="7" s="1"/>
  <c r="D265" i="7"/>
  <c r="H265" i="7" s="1"/>
  <c r="D264" i="7"/>
  <c r="H264" i="7" s="1"/>
  <c r="D263" i="7"/>
  <c r="H263" i="7" s="1"/>
  <c r="D262" i="7"/>
  <c r="H262" i="7" s="1"/>
  <c r="D261" i="7"/>
  <c r="H261" i="7" s="1"/>
  <c r="D260" i="7"/>
  <c r="H260" i="7" s="1"/>
  <c r="D259" i="7"/>
  <c r="H259" i="7" s="1"/>
  <c r="D258" i="7"/>
  <c r="H258" i="7" s="1"/>
  <c r="D257" i="7"/>
  <c r="H257" i="7" s="1"/>
  <c r="D256" i="7"/>
  <c r="H256" i="7" s="1"/>
  <c r="D255" i="7"/>
  <c r="H255" i="7" s="1"/>
  <c r="D254" i="7"/>
  <c r="H254" i="7" s="1"/>
  <c r="D253" i="7"/>
  <c r="H253" i="7" s="1"/>
  <c r="D252" i="7"/>
  <c r="H252" i="7" s="1"/>
  <c r="D251" i="7"/>
  <c r="H251" i="7" s="1"/>
  <c r="D250" i="7"/>
  <c r="H250" i="7" s="1"/>
  <c r="D249" i="7"/>
  <c r="H249" i="7" s="1"/>
  <c r="D248" i="7"/>
  <c r="H248" i="7" s="1"/>
  <c r="D247" i="7"/>
  <c r="H247" i="7" s="1"/>
  <c r="D246" i="7"/>
  <c r="H246" i="7" s="1"/>
  <c r="D245" i="7"/>
  <c r="H245" i="7" s="1"/>
  <c r="D244" i="7"/>
  <c r="H244" i="7" s="1"/>
  <c r="D243" i="7"/>
  <c r="H243" i="7" s="1"/>
  <c r="D242" i="7"/>
  <c r="H242" i="7" s="1"/>
  <c r="D241" i="7"/>
  <c r="H241" i="7" s="1"/>
  <c r="D240" i="7"/>
  <c r="H240" i="7" s="1"/>
  <c r="D239" i="7"/>
  <c r="H239" i="7" s="1"/>
  <c r="D238" i="7"/>
  <c r="H238" i="7" s="1"/>
  <c r="D237" i="7"/>
  <c r="H237" i="7" s="1"/>
  <c r="D236" i="7"/>
  <c r="H236" i="7" s="1"/>
  <c r="D235" i="7"/>
  <c r="H235" i="7" s="1"/>
  <c r="D234" i="7"/>
  <c r="H234" i="7" s="1"/>
  <c r="D233" i="7"/>
  <c r="H233" i="7" s="1"/>
  <c r="D232" i="7"/>
  <c r="H232" i="7" s="1"/>
  <c r="D231" i="7"/>
  <c r="H231" i="7" s="1"/>
  <c r="D230" i="7"/>
  <c r="H230" i="7" s="1"/>
  <c r="D229" i="7"/>
  <c r="H229" i="7" s="1"/>
  <c r="D228" i="7"/>
  <c r="H228" i="7" s="1"/>
  <c r="D227" i="7"/>
  <c r="H227" i="7" s="1"/>
  <c r="D226" i="7"/>
  <c r="H226" i="7" s="1"/>
  <c r="D225" i="7"/>
  <c r="H225" i="7" s="1"/>
  <c r="D224" i="7"/>
  <c r="D221" i="7"/>
  <c r="H221" i="7" s="1"/>
  <c r="D220" i="7"/>
  <c r="H220" i="7" s="1"/>
  <c r="D219" i="7"/>
  <c r="H219" i="7" s="1"/>
  <c r="D218" i="7"/>
  <c r="H218" i="7" s="1"/>
  <c r="D217" i="7"/>
  <c r="H217" i="7" s="1"/>
  <c r="D216" i="7"/>
  <c r="H216" i="7" s="1"/>
  <c r="D215" i="7"/>
  <c r="D214" i="7"/>
  <c r="H214" i="7" s="1"/>
  <c r="D213" i="7"/>
  <c r="H213" i="7" s="1"/>
  <c r="D212" i="7"/>
  <c r="H212" i="7" s="1"/>
  <c r="D211" i="7"/>
  <c r="D210" i="7"/>
  <c r="H210" i="7" s="1"/>
  <c r="D209" i="7"/>
  <c r="D208" i="7"/>
  <c r="H208" i="7" s="1"/>
  <c r="D207" i="7"/>
  <c r="H207" i="7" s="1"/>
  <c r="D206" i="7"/>
  <c r="H206" i="7" s="1"/>
  <c r="D205" i="7"/>
  <c r="H205" i="7" s="1"/>
  <c r="D204" i="7"/>
  <c r="H204" i="7" s="1"/>
  <c r="D203" i="7"/>
  <c r="H203" i="7" s="1"/>
  <c r="D202" i="7"/>
  <c r="H202" i="7" s="1"/>
  <c r="D201" i="7"/>
  <c r="H201" i="7" s="1"/>
  <c r="D200" i="7"/>
  <c r="H200" i="7" s="1"/>
  <c r="D199" i="7"/>
  <c r="H199" i="7" s="1"/>
  <c r="D198" i="7"/>
  <c r="H198" i="7" s="1"/>
  <c r="D197" i="7"/>
  <c r="H197" i="7" s="1"/>
  <c r="D196" i="7"/>
  <c r="H196" i="7" s="1"/>
  <c r="D195" i="7"/>
  <c r="H195" i="7" s="1"/>
  <c r="D194" i="7"/>
  <c r="H194" i="7" s="1"/>
  <c r="D193" i="7"/>
  <c r="H193" i="7" s="1"/>
  <c r="D192" i="7"/>
  <c r="H192" i="7" s="1"/>
  <c r="D191" i="7"/>
  <c r="H191" i="7" s="1"/>
  <c r="D190" i="7"/>
  <c r="H190" i="7" s="1"/>
  <c r="D189" i="7"/>
  <c r="H189" i="7" s="1"/>
  <c r="D188" i="7"/>
  <c r="H188" i="7" s="1"/>
  <c r="D187" i="7"/>
  <c r="H187" i="7" s="1"/>
  <c r="D186" i="7"/>
  <c r="H186" i="7" s="1"/>
  <c r="D185" i="7"/>
  <c r="H185" i="7" s="1"/>
  <c r="D184" i="7"/>
  <c r="H184" i="7" s="1"/>
  <c r="D183" i="7"/>
  <c r="H183" i="7" s="1"/>
  <c r="D182" i="7"/>
  <c r="H182" i="7" s="1"/>
  <c r="D181" i="7"/>
  <c r="H181" i="7" s="1"/>
  <c r="D180" i="7"/>
  <c r="H180" i="7" s="1"/>
  <c r="D179" i="7"/>
  <c r="H179" i="7" s="1"/>
  <c r="D178" i="7"/>
  <c r="H178" i="7" s="1"/>
  <c r="D177" i="7"/>
  <c r="H177" i="7" s="1"/>
  <c r="D176" i="7"/>
  <c r="H176" i="7" s="1"/>
  <c r="D175" i="7"/>
  <c r="H175" i="7" s="1"/>
  <c r="D174" i="7"/>
  <c r="H174" i="7" s="1"/>
  <c r="D173" i="7"/>
  <c r="H173" i="7" s="1"/>
  <c r="D172" i="7"/>
  <c r="H172" i="7" s="1"/>
  <c r="D171" i="7"/>
  <c r="H171" i="7" s="1"/>
  <c r="D170" i="7"/>
  <c r="H170" i="7" s="1"/>
  <c r="D169" i="7"/>
  <c r="H169" i="7" s="1"/>
  <c r="D168" i="7"/>
  <c r="H168" i="7" s="1"/>
  <c r="D167" i="7"/>
  <c r="H167" i="7" s="1"/>
  <c r="D166" i="7"/>
  <c r="H166" i="7" s="1"/>
  <c r="D165" i="7"/>
  <c r="H165" i="7" s="1"/>
  <c r="D164" i="7"/>
  <c r="H164" i="7" s="1"/>
  <c r="D163" i="7"/>
  <c r="H163" i="7" s="1"/>
  <c r="D162" i="7"/>
  <c r="H162" i="7" s="1"/>
  <c r="D161" i="7"/>
  <c r="H161" i="7" s="1"/>
  <c r="D160" i="7"/>
  <c r="H160" i="7" s="1"/>
  <c r="D159" i="7"/>
  <c r="H159" i="7" s="1"/>
  <c r="D158" i="7"/>
  <c r="H158" i="7" s="1"/>
  <c r="D157" i="7"/>
  <c r="H157" i="7" s="1"/>
  <c r="D156" i="7"/>
  <c r="H156" i="7" s="1"/>
  <c r="D155" i="7"/>
  <c r="H155" i="7" s="1"/>
  <c r="D154" i="7"/>
  <c r="H154" i="7" s="1"/>
  <c r="D153" i="7"/>
  <c r="H153" i="7" s="1"/>
  <c r="D152" i="7"/>
  <c r="H152" i="7" s="1"/>
  <c r="D151" i="7"/>
  <c r="H151" i="7" s="1"/>
  <c r="D150" i="7"/>
  <c r="H150" i="7" s="1"/>
  <c r="D149" i="7"/>
  <c r="H149" i="7" s="1"/>
  <c r="D148" i="7"/>
  <c r="H148" i="7" s="1"/>
  <c r="D147" i="7"/>
  <c r="H147" i="7" s="1"/>
  <c r="D146" i="7"/>
  <c r="H146" i="7" s="1"/>
  <c r="D145" i="7"/>
  <c r="H145" i="7" s="1"/>
  <c r="D144" i="7"/>
  <c r="H144" i="7" s="1"/>
  <c r="D143" i="7"/>
  <c r="H143" i="7" s="1"/>
  <c r="D142" i="7"/>
  <c r="H142" i="7" s="1"/>
  <c r="D141" i="7"/>
  <c r="H141" i="7" s="1"/>
  <c r="D140" i="7"/>
  <c r="H140" i="7" s="1"/>
  <c r="D139" i="7"/>
  <c r="H139" i="7" s="1"/>
  <c r="D138" i="7"/>
  <c r="H138" i="7" s="1"/>
  <c r="D137" i="7"/>
  <c r="H137" i="7" s="1"/>
  <c r="D136" i="7"/>
  <c r="H136" i="7" s="1"/>
  <c r="D135" i="7"/>
  <c r="H135" i="7" s="1"/>
  <c r="D134" i="7"/>
  <c r="H134" i="7" s="1"/>
  <c r="D133" i="7"/>
  <c r="H133" i="7" s="1"/>
  <c r="D132" i="7"/>
  <c r="H132" i="7" s="1"/>
  <c r="D131" i="7"/>
  <c r="H131" i="7" s="1"/>
  <c r="D130" i="7"/>
  <c r="H130" i="7" s="1"/>
  <c r="D129" i="7"/>
  <c r="H129" i="7" s="1"/>
  <c r="D128" i="7"/>
  <c r="H128" i="7" s="1"/>
  <c r="D127" i="7"/>
  <c r="H127" i="7" s="1"/>
  <c r="D126" i="7"/>
  <c r="H126" i="7" s="1"/>
  <c r="D125" i="7"/>
  <c r="H125" i="7" s="1"/>
  <c r="D124" i="7"/>
  <c r="D123" i="7"/>
  <c r="H123" i="7" s="1"/>
  <c r="D122" i="7"/>
  <c r="H122" i="7" s="1"/>
  <c r="D121" i="7"/>
  <c r="H121" i="7" s="1"/>
  <c r="D120" i="7"/>
  <c r="H120" i="7" s="1"/>
  <c r="D119" i="7"/>
  <c r="H119" i="7" s="1"/>
  <c r="D118" i="7"/>
  <c r="H118" i="7" s="1"/>
  <c r="D117" i="7"/>
  <c r="H117" i="7" s="1"/>
  <c r="D116" i="7"/>
  <c r="H116" i="7" s="1"/>
  <c r="D115" i="7"/>
  <c r="H115" i="7" s="1"/>
  <c r="D114" i="7"/>
  <c r="H114" i="7" s="1"/>
  <c r="D113" i="7"/>
  <c r="H113" i="7" s="1"/>
  <c r="D112" i="7"/>
  <c r="H112" i="7" s="1"/>
  <c r="D111" i="7"/>
  <c r="H111" i="7" s="1"/>
  <c r="D110" i="7"/>
  <c r="H110" i="7" s="1"/>
  <c r="D109" i="7"/>
  <c r="H109" i="7" s="1"/>
  <c r="D108" i="7"/>
  <c r="H108" i="7" s="1"/>
  <c r="D107" i="7"/>
  <c r="H107" i="7" s="1"/>
  <c r="D106" i="7"/>
  <c r="H106" i="7" s="1"/>
  <c r="D105" i="7"/>
  <c r="H105" i="7" s="1"/>
  <c r="D104" i="7"/>
  <c r="H104" i="7" s="1"/>
  <c r="D103" i="7"/>
  <c r="H103" i="7" s="1"/>
  <c r="D102" i="7"/>
  <c r="H102" i="7" s="1"/>
  <c r="D101" i="7"/>
  <c r="H101" i="7" s="1"/>
  <c r="D100" i="7"/>
  <c r="H100" i="7" s="1"/>
  <c r="D99" i="7"/>
  <c r="H99" i="7" s="1"/>
  <c r="D98" i="7"/>
  <c r="H98" i="7" s="1"/>
  <c r="D97" i="7"/>
  <c r="H97" i="7" s="1"/>
  <c r="D96" i="7"/>
  <c r="H96" i="7" s="1"/>
  <c r="D95" i="7"/>
  <c r="H95" i="7" s="1"/>
  <c r="D94" i="7"/>
  <c r="H94" i="7" s="1"/>
  <c r="D93" i="7"/>
  <c r="D92" i="7"/>
  <c r="H92" i="7" s="1"/>
  <c r="D91" i="7"/>
  <c r="H91" i="7" s="1"/>
  <c r="D90" i="7"/>
  <c r="D89" i="7"/>
  <c r="H89" i="7" s="1"/>
  <c r="D88" i="7"/>
  <c r="H88" i="7" s="1"/>
  <c r="D87" i="7"/>
  <c r="H87" i="7" s="1"/>
  <c r="D86" i="7"/>
  <c r="H86" i="7" s="1"/>
  <c r="D85" i="7"/>
  <c r="D83" i="7"/>
  <c r="H83" i="7" s="1"/>
  <c r="D82" i="7"/>
  <c r="H82" i="7" s="1"/>
  <c r="D81" i="7"/>
  <c r="H81" i="7" s="1"/>
  <c r="D80" i="7"/>
  <c r="H80" i="7" s="1"/>
  <c r="D79" i="7"/>
  <c r="D78" i="7"/>
  <c r="H78" i="7" s="1"/>
  <c r="D77" i="7"/>
  <c r="H77" i="7" s="1"/>
  <c r="D76" i="7"/>
  <c r="H76" i="7" s="1"/>
  <c r="D75" i="7"/>
  <c r="H75" i="7" s="1"/>
  <c r="D74" i="7"/>
  <c r="H74" i="7" s="1"/>
  <c r="D73" i="7"/>
  <c r="H73" i="7" s="1"/>
  <c r="D72" i="7"/>
  <c r="H72" i="7" s="1"/>
  <c r="D71" i="7"/>
  <c r="H71" i="7" s="1"/>
  <c r="D70" i="7"/>
  <c r="D67" i="7"/>
  <c r="H67" i="7" s="1"/>
  <c r="D66" i="7"/>
  <c r="H66" i="7" s="1"/>
  <c r="D65" i="7"/>
  <c r="H65" i="7" s="1"/>
  <c r="D64" i="7"/>
  <c r="H64" i="7" s="1"/>
  <c r="D63" i="7"/>
  <c r="H63" i="7" s="1"/>
  <c r="D62" i="7"/>
  <c r="H62" i="7" s="1"/>
  <c r="D61" i="7"/>
  <c r="H61" i="7" s="1"/>
  <c r="D60" i="7"/>
  <c r="H60" i="7" s="1"/>
  <c r="D59" i="7"/>
  <c r="H59" i="7" s="1"/>
  <c r="D58" i="7"/>
  <c r="H58" i="7" s="1"/>
  <c r="D57" i="7"/>
  <c r="H57" i="7" s="1"/>
  <c r="D56" i="7"/>
  <c r="H56" i="7" s="1"/>
  <c r="D55" i="7"/>
  <c r="H55" i="7" s="1"/>
  <c r="D54" i="7"/>
  <c r="H54" i="7" s="1"/>
  <c r="D53" i="7"/>
  <c r="H53" i="7" s="1"/>
  <c r="D52" i="7"/>
  <c r="H52" i="7" s="1"/>
  <c r="D51" i="7"/>
  <c r="H51" i="7" s="1"/>
  <c r="D50" i="7"/>
  <c r="H50" i="7" s="1"/>
  <c r="D49" i="7"/>
  <c r="H49" i="7" s="1"/>
  <c r="D48" i="7"/>
  <c r="H48" i="7" s="1"/>
  <c r="D47" i="7"/>
  <c r="H47" i="7" s="1"/>
  <c r="D46" i="7"/>
  <c r="H46" i="7" s="1"/>
  <c r="D45" i="7"/>
  <c r="H45" i="7" s="1"/>
  <c r="D44" i="7"/>
  <c r="H44" i="7" s="1"/>
  <c r="D43" i="7"/>
  <c r="D42" i="7"/>
  <c r="H42" i="7" s="1"/>
  <c r="D41" i="7"/>
  <c r="H41" i="7" s="1"/>
  <c r="D40" i="7"/>
  <c r="H40" i="7" s="1"/>
  <c r="D39" i="7"/>
  <c r="D37" i="7"/>
  <c r="H37" i="7" s="1"/>
  <c r="D36" i="7"/>
  <c r="D35" i="7"/>
  <c r="H35" i="7" s="1"/>
  <c r="D34" i="7"/>
  <c r="H34" i="7" s="1"/>
  <c r="D33" i="7"/>
  <c r="H33" i="7" s="1"/>
  <c r="D32" i="7"/>
  <c r="H32" i="7" s="1"/>
  <c r="D31" i="7"/>
  <c r="H31" i="7" s="1"/>
  <c r="D30" i="7"/>
  <c r="F13" i="8"/>
  <c r="G13" i="8" s="1"/>
  <c r="F32" i="11" s="1"/>
  <c r="F50" i="11" s="1"/>
  <c r="G50" i="11" l="1"/>
  <c r="G53" i="11"/>
  <c r="G52" i="11"/>
  <c r="G51" i="11"/>
  <c r="G49" i="11"/>
  <c r="G48" i="11"/>
  <c r="G47" i="11"/>
  <c r="G44" i="11"/>
  <c r="F14" i="8" l="1"/>
  <c r="G14" i="8" s="1"/>
  <c r="F36" i="11" s="1"/>
  <c r="F54" i="11" s="1"/>
  <c r="G54" i="11"/>
  <c r="H316" i="7" l="1"/>
  <c r="H303" i="7"/>
  <c r="H301" i="7"/>
  <c r="H295" i="7"/>
  <c r="H284" i="7"/>
  <c r="H278" i="7"/>
  <c r="H276" i="7"/>
  <c r="H319" i="7"/>
  <c r="H324" i="7" s="1"/>
  <c r="H223" i="7"/>
  <c r="H84" i="7"/>
  <c r="H38" i="7"/>
  <c r="M13" i="7"/>
  <c r="N13" i="7" s="1"/>
  <c r="M14" i="7"/>
  <c r="N14" i="7" s="1"/>
  <c r="M15" i="7"/>
  <c r="N15" i="7" s="1"/>
  <c r="M16" i="7"/>
  <c r="N16" i="7" s="1"/>
  <c r="M17" i="7"/>
  <c r="N17" i="7" s="1"/>
  <c r="H289" i="7" l="1"/>
  <c r="H70" i="7"/>
  <c r="H69" i="7"/>
  <c r="K5" i="8"/>
  <c r="F22" i="8" l="1"/>
  <c r="G22" i="8" s="1"/>
  <c r="L5" i="8"/>
  <c r="M5" i="8" s="1"/>
  <c r="F19" i="8"/>
  <c r="G19" i="8" s="1"/>
  <c r="F35" i="11" s="1"/>
  <c r="F53" i="11" s="1"/>
  <c r="F18" i="8"/>
  <c r="G18" i="8" s="1"/>
  <c r="F34" i="11" s="1"/>
  <c r="F52" i="11" s="1"/>
  <c r="E11" i="8"/>
  <c r="F17" i="8"/>
  <c r="G17" i="8" s="1"/>
  <c r="F33" i="11" s="1"/>
  <c r="F51" i="11" s="1"/>
  <c r="F8" i="8"/>
  <c r="G8" i="8" s="1"/>
  <c r="F29" i="11" s="1"/>
  <c r="F7" i="8"/>
  <c r="G7" i="8" s="1"/>
  <c r="F28" i="11" s="1"/>
  <c r="F47" i="11" s="1"/>
  <c r="G20" i="8" l="1"/>
  <c r="G23" i="8"/>
  <c r="H23" i="7" l="1"/>
  <c r="H22" i="7"/>
  <c r="H21" i="7"/>
  <c r="H20" i="7"/>
  <c r="H26" i="7"/>
  <c r="H294" i="7"/>
  <c r="H293" i="7"/>
  <c r="H291" i="7"/>
  <c r="H290" i="7"/>
  <c r="H287" i="7"/>
  <c r="H285" i="7"/>
  <c r="H279" i="7"/>
  <c r="H224" i="7"/>
  <c r="H27" i="7" l="1"/>
  <c r="F6" i="11" s="1"/>
  <c r="G6" i="11" s="1"/>
  <c r="O17" i="7"/>
  <c r="Q17" i="7" s="1"/>
  <c r="D334" i="7" s="1"/>
  <c r="F5" i="8"/>
  <c r="G5" i="8" s="1"/>
  <c r="F26" i="11" l="1"/>
  <c r="F44" i="11" s="1"/>
  <c r="H334" i="7"/>
  <c r="H336" i="7" s="1"/>
  <c r="F10" i="11" s="1"/>
  <c r="F37" i="11"/>
  <c r="F55" i="11" s="1"/>
  <c r="G9" i="8" l="1"/>
  <c r="G10" i="11"/>
  <c r="H222" i="7"/>
  <c r="H215" i="7"/>
  <c r="H211" i="7"/>
  <c r="H209" i="7"/>
  <c r="H124" i="7"/>
  <c r="H93" i="7"/>
  <c r="H90" i="7"/>
  <c r="H85" i="7"/>
  <c r="H79" i="7"/>
  <c r="H17" i="7"/>
  <c r="H16" i="7"/>
  <c r="H15" i="7"/>
  <c r="H14" i="7"/>
  <c r="C6" i="12" l="1"/>
  <c r="F15" i="11" s="1"/>
  <c r="C7" i="12" l="1"/>
  <c r="F16" i="11" s="1"/>
  <c r="C8" i="12" l="1"/>
  <c r="C9" i="12" l="1"/>
  <c r="C11" i="11" s="1"/>
  <c r="F17" i="11"/>
  <c r="C16" i="11"/>
  <c r="C15" i="11"/>
  <c r="O16" i="7"/>
  <c r="Q16" i="7" s="1"/>
  <c r="H68" i="7"/>
  <c r="H19" i="7"/>
  <c r="H18" i="7"/>
  <c r="H24" i="7" l="1"/>
  <c r="D331" i="7"/>
  <c r="H331" i="7" s="1"/>
  <c r="H43" i="7"/>
  <c r="H39" i="7"/>
  <c r="H36" i="7"/>
  <c r="H30" i="7"/>
  <c r="H29" i="7"/>
  <c r="F5" i="11" l="1"/>
  <c r="G5" i="11" s="1"/>
  <c r="H317" i="7"/>
  <c r="F7" i="11" s="1"/>
  <c r="G7" i="11" s="1"/>
  <c r="F12" i="8"/>
  <c r="G12" i="8" s="1"/>
  <c r="F31" i="11" s="1"/>
  <c r="F49" i="11" s="1"/>
  <c r="F11" i="8"/>
  <c r="G11" i="8" s="1"/>
  <c r="B351" i="7"/>
  <c r="C17" i="11" s="1"/>
  <c r="F30" i="11" l="1"/>
  <c r="F48" i="11" s="1"/>
  <c r="G15" i="8"/>
  <c r="G25" i="8" s="1"/>
  <c r="C20" i="11" s="1"/>
  <c r="O15" i="7"/>
  <c r="Q15" i="7" s="1"/>
  <c r="D329" i="7" s="1"/>
  <c r="D330" i="7" s="1"/>
  <c r="H330" i="7" s="1"/>
  <c r="O14" i="7"/>
  <c r="Q14" i="7" s="1"/>
  <c r="D327" i="7" s="1"/>
  <c r="D328" i="7" s="1"/>
  <c r="H328" i="7" s="1"/>
  <c r="O13" i="7"/>
  <c r="Q13" i="7" s="1"/>
  <c r="D326" i="7" s="1"/>
  <c r="H326" i="7" s="1"/>
  <c r="H327" i="7" l="1"/>
  <c r="H329" i="7"/>
  <c r="H332" i="7" l="1"/>
  <c r="F9" i="11" s="1"/>
  <c r="G9" i="11" s="1"/>
  <c r="F8" i="11" l="1"/>
  <c r="G8" i="11" s="1"/>
  <c r="H337" i="7"/>
  <c r="B341" i="7" s="1"/>
  <c r="C3" i="11" s="1"/>
  <c r="B342" i="7" l="1"/>
  <c r="B343" i="7" s="1"/>
  <c r="C5" i="11" s="1"/>
  <c r="C4" i="11" l="1"/>
  <c r="B344" i="7"/>
  <c r="C6" i="11" s="1"/>
  <c r="C11" i="12"/>
  <c r="C14" i="12" s="1"/>
  <c r="B346" i="7"/>
  <c r="B347" i="7" s="1"/>
  <c r="C18" i="12" s="1"/>
  <c r="C19" i="12" s="1"/>
  <c r="C14" i="11" s="1"/>
  <c r="C15" i="12"/>
  <c r="F20" i="11" s="1"/>
  <c r="B345" i="7"/>
  <c r="C7" i="11" s="1"/>
  <c r="C12" i="12" l="1"/>
  <c r="C12" i="11" s="1"/>
  <c r="F18" i="11"/>
  <c r="F21" i="11"/>
  <c r="B348" i="7"/>
  <c r="C10" i="11" s="1"/>
  <c r="C9" i="11"/>
  <c r="C8" i="11"/>
  <c r="C346" i="7"/>
  <c r="H5" i="11" s="1"/>
  <c r="C16" i="12"/>
  <c r="C13" i="11" s="1"/>
  <c r="F19" i="11"/>
  <c r="B352" i="7" l="1"/>
  <c r="B353" i="7" s="1"/>
  <c r="C18" i="11" s="1"/>
  <c r="H6" i="11"/>
  <c r="H10" i="11"/>
  <c r="H9" i="11"/>
  <c r="H8" i="11"/>
  <c r="H7" i="11"/>
  <c r="C20" i="12"/>
  <c r="C19" i="11" s="1"/>
  <c r="C21" i="11" l="1"/>
  <c r="C22" i="11" s="1"/>
  <c r="C24" i="11" s="1"/>
  <c r="C25" i="11" s="1"/>
  <c r="K15" i="11"/>
  <c r="F38" i="11" l="1"/>
  <c r="F11" i="11" l="1"/>
  <c r="G11" i="11" l="1"/>
  <c r="K18" i="11" l="1"/>
  <c r="K17" i="11" l="1"/>
  <c r="K6" i="11"/>
  <c r="K10" i="11"/>
  <c r="K7" i="11"/>
  <c r="K9" i="11"/>
  <c r="K8" i="11"/>
  <c r="K16" i="11"/>
  <c r="F22" i="11"/>
  <c r="F56" i="11" s="1"/>
  <c r="K19" i="11" l="1"/>
  <c r="H11" i="11"/>
  <c r="F57" i="11" s="1"/>
  <c r="K5" i="11"/>
  <c r="K11" i="11" s="1"/>
  <c r="F58" i="11" l="1"/>
  <c r="I45" i="11" l="1"/>
  <c r="I46" i="11"/>
  <c r="I42" i="11"/>
  <c r="I43" i="11"/>
  <c r="I50" i="11"/>
  <c r="I54" i="11"/>
  <c r="I51" i="11"/>
  <c r="I53" i="11"/>
  <c r="I52" i="11"/>
  <c r="I47" i="11"/>
  <c r="I55" i="11"/>
  <c r="I44" i="11"/>
  <c r="I49" i="11"/>
  <c r="I48" i="11"/>
  <c r="I56" i="11"/>
  <c r="I57" i="11"/>
</calcChain>
</file>

<file path=xl/sharedStrings.xml><?xml version="1.0" encoding="utf-8"?>
<sst xmlns="http://schemas.openxmlformats.org/spreadsheetml/2006/main" count="1214" uniqueCount="230">
  <si>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</si>
  <si>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</si>
  <si>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</si>
  <si>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</si>
  <si>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</si>
  <si>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</si>
  <si>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</si>
  <si>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</si>
  <si>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</si>
  <si>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</si>
  <si>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</si>
  <si>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</si>
  <si>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</si>
  <si>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</si>
  <si>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</si>
  <si>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</si>
  <si>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</si>
  <si>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</si>
  <si>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</si>
  <si>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</si>
  <si>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</si>
  <si>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</si>
  <si>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</si>
  <si>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</si>
  <si>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Total cost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</si>
  <si>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</si>
  <si>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</si>
  <si>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</si>
  <si>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</si>
  <si>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</si>
  <si>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</si>
  <si>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</si>
  <si>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Price ($/unit)</t>
  </si>
  <si>
    <t>ton/hr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</si>
  <si>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</si>
  <si>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</si>
  <si>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</si>
  <si>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</si>
  <si>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</si>
  <si>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</si>
  <si>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</si>
  <si>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</si>
  <si>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</si>
  <si>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</si>
  <si>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</si>
  <si>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</si>
  <si>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K-100</t>
  </si>
  <si>
    <t>K-101</t>
  </si>
  <si>
    <t>K-109</t>
  </si>
  <si>
    <t>V-100</t>
  </si>
  <si>
    <t>V-101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</si>
  <si>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</si>
  <si>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</si>
  <si>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Power, kW</t>
  </si>
  <si>
    <t xml:space="preserve">Area </t>
  </si>
  <si>
    <t>Flue gas emissions</t>
  </si>
  <si>
    <t>OPEX (M$/year)</t>
  </si>
  <si>
    <t>Compressors</t>
  </si>
  <si>
    <t>Reactors</t>
  </si>
  <si>
    <t>Shell mass, kg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</si>
  <si>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</si>
  <si>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</si>
  <si>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</si>
  <si>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</si>
  <si>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</si>
  <si>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</si>
  <si>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</si>
  <si>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</si>
  <si>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Labor Costs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</si>
  <si>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</si>
  <si>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</si>
  <si>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</si>
  <si>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</si>
  <si>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</si>
  <si>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</si>
  <si>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>Maintanance Costs</t>
  </si>
  <si>
    <t xml:space="preserve">Maintanance </t>
  </si>
  <si>
    <t>3% of the installed capital cost</t>
  </si>
  <si>
    <t>Overhead expenses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</si>
  <si>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</si>
  <si>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</si>
  <si>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</si>
  <si>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</si>
  <si>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</si>
  <si>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</si>
  <si>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</si>
  <si>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</si>
  <si>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</si>
  <si>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</si>
  <si>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</si>
  <si>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</si>
  <si>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</si>
  <si>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Reference</t>
  </si>
  <si>
    <t>9 shift positions, 9 operators/shift</t>
  </si>
  <si>
    <t>CEPCI 2018</t>
  </si>
  <si>
    <t>Reference Data</t>
  </si>
  <si>
    <t>Hydrogen</t>
  </si>
  <si>
    <t>K-102</t>
  </si>
  <si>
    <t>K-103</t>
  </si>
  <si>
    <t>K-104</t>
  </si>
  <si>
    <t>K-105</t>
  </si>
  <si>
    <t>Unit operation</t>
  </si>
  <si>
    <t>$/kg</t>
  </si>
  <si>
    <t>Catalyst costs</t>
  </si>
  <si>
    <t>E-161</t>
  </si>
  <si>
    <t>E-163</t>
  </si>
  <si>
    <t>E-154</t>
  </si>
  <si>
    <t>E-156</t>
  </si>
  <si>
    <t>E-146</t>
  </si>
  <si>
    <t>E-152</t>
  </si>
  <si>
    <t>E-162</t>
  </si>
  <si>
    <t>E-164</t>
  </si>
  <si>
    <t>E-166</t>
  </si>
  <si>
    <t>E-151</t>
  </si>
  <si>
    <t>E-153</t>
  </si>
  <si>
    <t>E-159</t>
  </si>
  <si>
    <t>E-157</t>
  </si>
  <si>
    <t>E-165</t>
  </si>
  <si>
    <t>E-144</t>
  </si>
  <si>
    <t>E-148</t>
  </si>
  <si>
    <t>E-150</t>
  </si>
  <si>
    <t>E-142</t>
  </si>
  <si>
    <t>E-160</t>
  </si>
  <si>
    <t>E-158</t>
  </si>
  <si>
    <t>E-155</t>
  </si>
  <si>
    <t>E-143</t>
  </si>
  <si>
    <t>E-145</t>
  </si>
  <si>
    <t>E-147</t>
  </si>
  <si>
    <t>E-149</t>
  </si>
  <si>
    <t>Total</t>
  </si>
  <si>
    <t>V-102</t>
  </si>
  <si>
    <t>V-103</t>
  </si>
  <si>
    <t>Grand Total</t>
  </si>
  <si>
    <t>Furnace</t>
  </si>
  <si>
    <t>Duty, MW</t>
  </si>
  <si>
    <t>P-100</t>
  </si>
  <si>
    <t>Flow, litres/s</t>
  </si>
  <si>
    <t>Pumps</t>
  </si>
  <si>
    <t>Flash separators</t>
  </si>
  <si>
    <t>Heat exchangers</t>
  </si>
  <si>
    <t>Structure</t>
  </si>
  <si>
    <t>Tray</t>
  </si>
  <si>
    <t>diameter, m</t>
  </si>
  <si>
    <t>Sieve trays</t>
  </si>
  <si>
    <t xml:space="preserve">Centrifugal compressor </t>
  </si>
  <si>
    <t>Centrifugal pump</t>
  </si>
  <si>
    <t>U tube HEX</t>
  </si>
  <si>
    <t>Pressure vessel</t>
  </si>
  <si>
    <t>n-stages</t>
  </si>
  <si>
    <t>T-101</t>
  </si>
  <si>
    <t>K-106</t>
  </si>
  <si>
    <t>K-107</t>
  </si>
  <si>
    <t>K-108</t>
  </si>
  <si>
    <t>Total OPEX</t>
  </si>
  <si>
    <t>Raw material costs</t>
  </si>
  <si>
    <t>Utility costs</t>
  </si>
  <si>
    <t>Additional costs (purge,etc)</t>
  </si>
  <si>
    <t>Refer catalyst costs sheet</t>
  </si>
  <si>
    <t>Fixed production costs (M$/year)</t>
  </si>
  <si>
    <t>Total expenses (M$/year)</t>
  </si>
  <si>
    <t>Total expenses ($/hr)</t>
  </si>
  <si>
    <t>Natural gas</t>
  </si>
  <si>
    <t>Oxygen</t>
  </si>
  <si>
    <t>Ethylene</t>
  </si>
  <si>
    <t xml:space="preserve">Total  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</si>
  <si>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capture and storage</t>
    </r>
  </si>
  <si>
    <t>CEPCI 2008</t>
  </si>
  <si>
    <t>Products sold</t>
  </si>
  <si>
    <t>Steam</t>
  </si>
  <si>
    <t xml:space="preserve">Iasonas 2020 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</si>
  <si>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</si>
  <si>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MWh</t>
  </si>
  <si>
    <t>Wastewater treatment</t>
  </si>
  <si>
    <t xml:space="preserve">Natural gas </t>
  </si>
  <si>
    <t>$/MJ</t>
  </si>
  <si>
    <t>$/cu. ft</t>
  </si>
  <si>
    <t>Turton 2018 (pg. 246)</t>
  </si>
  <si>
    <t>Dooley 2008 (pg. 5)</t>
  </si>
  <si>
    <t>CEPCI 2022</t>
  </si>
  <si>
    <t>Purchased equipment cost 2022</t>
  </si>
  <si>
    <t>Purchased equipment cost 2022 (M$/year)</t>
  </si>
  <si>
    <t>CEPCI 2021</t>
  </si>
  <si>
    <t>2022 costs</t>
  </si>
  <si>
    <t>CAPEX summary</t>
  </si>
  <si>
    <t>CAPEX short summary</t>
  </si>
  <si>
    <t>Contribution 2022</t>
  </si>
  <si>
    <t>CAPEX [M$/year]</t>
  </si>
  <si>
    <t>Columns</t>
  </si>
  <si>
    <t>Production costs summary</t>
  </si>
  <si>
    <t>Production costs  short summary</t>
  </si>
  <si>
    <t>Category</t>
  </si>
  <si>
    <t>Labor</t>
  </si>
  <si>
    <t>Overhead</t>
  </si>
  <si>
    <t>OPEX short summary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</si>
  <si>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capture and storage</t>
    </r>
  </si>
  <si>
    <t>Catalyst</t>
  </si>
  <si>
    <t>Contribution 2010</t>
  </si>
  <si>
    <t>Overall</t>
  </si>
  <si>
    <t>CAPEX</t>
  </si>
  <si>
    <t>Fixed Costs</t>
  </si>
  <si>
    <t>Carbon dioxide</t>
  </si>
  <si>
    <t>Fired heat - natural gas</t>
  </si>
  <si>
    <t>Carbon dioxide storage</t>
  </si>
  <si>
    <t>Required (unit/hr)</t>
  </si>
  <si>
    <t>-</t>
  </si>
  <si>
    <t>Contribution $/t</t>
  </si>
  <si>
    <t>Europa 2021</t>
  </si>
  <si>
    <t>Biogas</t>
  </si>
  <si>
    <t>IEA 2018</t>
  </si>
  <si>
    <t>E-131</t>
  </si>
  <si>
    <t>E-132</t>
  </si>
  <si>
    <t>E-133</t>
  </si>
  <si>
    <t>E-134</t>
  </si>
  <si>
    <t>E-135</t>
  </si>
  <si>
    <t>E-136</t>
  </si>
  <si>
    <t>E-137</t>
  </si>
  <si>
    <t>E-138</t>
  </si>
  <si>
    <t>E-139</t>
  </si>
  <si>
    <t>E-140</t>
  </si>
  <si>
    <t>E-141</t>
  </si>
  <si>
    <t>Bi-reformer</t>
  </si>
  <si>
    <t>Distillation column</t>
  </si>
  <si>
    <t>Number of stages</t>
  </si>
  <si>
    <t>Carbon dioxide - NG CCU</t>
  </si>
  <si>
    <t>Iasonas 2020</t>
  </si>
  <si>
    <t>Total methanol produced (kg/hr)</t>
  </si>
  <si>
    <t>Cost of methanol per kg</t>
  </si>
  <si>
    <t>Cost of methanol per ton</t>
  </si>
  <si>
    <t>Methanol synthesis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</si>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</sst>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3" borderId="5" applyNumberFormat="0" applyAlignment="0" applyProtection="0"/>
    <xf numFmtId="0" fontId="1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2" fontId="1" fillId="0" borderId="4" xfId="0" applyNumberFormat="1" applyFont="1" applyBorder="1"/>
    <xf numFmtId="2" fontId="0" fillId="4" borderId="1" xfId="0" applyNumberFormat="1" applyFill="1" applyBorder="1"/>
    <xf numFmtId="0" fontId="8" fillId="0" borderId="0" xfId="2" applyFill="1" applyBorder="1"/>
    <xf numFmtId="0" fontId="8" fillId="3" borderId="1" xfId="2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4" fillId="0" borderId="1" xfId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1" fontId="0" fillId="0" borderId="0" xfId="0" applyNumberFormat="1"/>
    <xf numFmtId="1" fontId="0" fillId="0" borderId="1" xfId="0" applyNumberForma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0" borderId="0" xfId="0" applyNumberFormat="1"/>
    <xf numFmtId="0" fontId="3" fillId="0" borderId="1" xfId="1" applyBorder="1" applyAlignment="1">
      <alignment horizontal="center"/>
    </xf>
    <xf numFmtId="2" fontId="0" fillId="0" borderId="7" xfId="0" applyNumberFormat="1" applyBorder="1" applyAlignment="1">
      <alignment horizontal="right"/>
    </xf>
    <xf numFmtId="164" fontId="0" fillId="0" borderId="0" xfId="0" applyNumberFormat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4">
    <cellStyle name="Check Cell" xfId="2" builtinId="23"/>
    <cellStyle name="Hyperlink" xfId="1" builtinId="8"/>
    <cellStyle name="Normal" xfId="0" builtinId="0"/>
    <cellStyle name="Normal 2" xfId="3" xr:uid="{3CBD245A-C44E-4E3A-BBEE-B22BCB5D367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iea.blob.core.windows.net/assets/03aeb10c-c38c-4d10-bcec-de92e9ab815f/Outlook_for_biogas_and_biomethane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4"/>
  <sheetViews>
    <sheetView topLeftCell="A307" zoomScale="120" zoomScaleNormal="120" workbookViewId="0">
      <selection activeCell="K323" sqref="K323"/>
    </sheetView>
  </sheetViews>
  <sheetFormatPr defaultRowHeight="14.4" x14ac:dyDescent="0.3"/>
  <cols>
    <col min="1" max="1" width="29.44140625" bestFit="1" customWidth="1"/>
    <col min="2" max="2" width="22.6640625" bestFit="1" customWidth="1"/>
    <col min="3" max="3" width="16.33203125" bestFit="1" customWidth="1"/>
    <col min="4" max="4" width="9.5546875" bestFit="1" customWidth="1"/>
    <col min="5" max="6" width="7.5546875" bestFit="1" customWidth="1"/>
    <col min="7" max="7" width="4.88671875" bestFit="1" customWidth="1"/>
    <col min="8" max="8" width="9.33203125" bestFit="1" customWidth="1"/>
    <col min="10" max="10" width="11.109375" bestFit="1" customWidth="1"/>
    <col min="11" max="11" width="11.44140625" bestFit="1" customWidth="1"/>
    <col min="12" max="12" width="6" bestFit="1" customWidth="1"/>
    <col min="14" max="14" width="8.44140625" bestFit="1" customWidth="1"/>
    <col min="15" max="15" width="9" customWidth="1"/>
    <col min="17" max="17" width="9.33203125" bestFit="1" customWidth="1"/>
  </cols>
  <sheetData>
    <row r="1" spans="1:18" x14ac:dyDescent="0.3">
      <c r="A1" s="2" t="s">
        <v>0</v>
      </c>
      <c r="B1" s="3"/>
      <c r="C1" s="3"/>
    </row>
    <row r="2" spans="1:18" ht="15.6" x14ac:dyDescent="0.35">
      <c r="A2" s="3" t="s">
        <v>1</v>
      </c>
      <c r="B2" s="3" t="s">
        <v>38</v>
      </c>
      <c r="C2" s="3">
        <v>0.3</v>
      </c>
    </row>
    <row r="3" spans="1:18" ht="15.6" x14ac:dyDescent="0.35">
      <c r="A3" s="3" t="s">
        <v>2</v>
      </c>
      <c r="B3" s="3" t="s">
        <v>39</v>
      </c>
      <c r="C3" s="3">
        <v>0.8</v>
      </c>
    </row>
    <row r="4" spans="1:18" ht="15.6" x14ac:dyDescent="0.35">
      <c r="A4" s="3" t="s">
        <v>3</v>
      </c>
      <c r="B4" s="3" t="s">
        <v>40</v>
      </c>
      <c r="C4" s="3">
        <v>0.3</v>
      </c>
    </row>
    <row r="5" spans="1:18" ht="15.6" x14ac:dyDescent="0.35">
      <c r="A5" s="3" t="s">
        <v>4</v>
      </c>
      <c r="B5" s="3" t="s">
        <v>41</v>
      </c>
      <c r="C5" s="3">
        <v>0.2</v>
      </c>
    </row>
    <row r="6" spans="1:18" ht="15.6" x14ac:dyDescent="0.35">
      <c r="A6" s="3" t="s">
        <v>5</v>
      </c>
      <c r="B6" s="3" t="s">
        <v>42</v>
      </c>
      <c r="C6" s="3">
        <v>0.3</v>
      </c>
    </row>
    <row r="7" spans="1:18" ht="15.6" x14ac:dyDescent="0.35">
      <c r="A7" s="3" t="s">
        <v>6</v>
      </c>
      <c r="B7" s="3" t="s">
        <v>43</v>
      </c>
      <c r="C7" s="3">
        <v>0.2</v>
      </c>
    </row>
    <row r="8" spans="1:18" ht="15.6" x14ac:dyDescent="0.35">
      <c r="A8" s="3" t="s">
        <v>7</v>
      </c>
      <c r="B8" s="3" t="s">
        <v>44</v>
      </c>
      <c r="C8" s="3">
        <v>0.1</v>
      </c>
    </row>
    <row r="9" spans="1:18" ht="15.6" x14ac:dyDescent="0.35">
      <c r="A9" s="3" t="s">
        <v>8</v>
      </c>
      <c r="B9" s="3" t="s">
        <v>45</v>
      </c>
      <c r="C9" s="3">
        <v>1.3</v>
      </c>
    </row>
    <row r="10" spans="1:18" x14ac:dyDescent="0.3">
      <c r="A10" s="16"/>
      <c r="B10" s="16"/>
      <c r="C10" s="16"/>
    </row>
    <row r="12" spans="1:18" ht="45.6" x14ac:dyDescent="0.35">
      <c r="A12" s="2" t="s">
        <v>9</v>
      </c>
      <c r="B12" s="4" t="s">
        <v>13</v>
      </c>
      <c r="C12" s="4" t="s">
        <v>14</v>
      </c>
      <c r="D12" s="2" t="s">
        <v>15</v>
      </c>
      <c r="E12" s="2" t="s">
        <v>10</v>
      </c>
      <c r="F12" s="2" t="s">
        <v>11</v>
      </c>
      <c r="G12" s="2" t="s">
        <v>12</v>
      </c>
      <c r="H12" s="4" t="s">
        <v>19</v>
      </c>
      <c r="J12" s="2" t="s">
        <v>22</v>
      </c>
      <c r="K12" s="4" t="s">
        <v>20</v>
      </c>
      <c r="L12" s="4" t="s">
        <v>17</v>
      </c>
      <c r="M12" s="4" t="s">
        <v>21</v>
      </c>
      <c r="N12" s="4" t="s">
        <v>51</v>
      </c>
      <c r="O12" s="4" t="s">
        <v>16</v>
      </c>
      <c r="P12" s="4" t="s">
        <v>52</v>
      </c>
      <c r="Q12" s="4" t="s">
        <v>18</v>
      </c>
    </row>
    <row r="13" spans="1:18" x14ac:dyDescent="0.3">
      <c r="A13" s="41" t="s">
        <v>57</v>
      </c>
      <c r="B13" s="42"/>
      <c r="C13" s="42"/>
      <c r="D13" s="42"/>
      <c r="E13" s="42"/>
      <c r="F13" s="42"/>
      <c r="G13" s="42"/>
      <c r="H13" s="43"/>
      <c r="J13" s="26" t="s">
        <v>49</v>
      </c>
      <c r="K13" s="27">
        <v>3.81</v>
      </c>
      <c r="L13" s="27">
        <v>13.33</v>
      </c>
      <c r="M13" s="24">
        <f t="shared" ref="M13:M16" si="0">K13+0.0254</f>
        <v>3.8353999999999999</v>
      </c>
      <c r="N13" s="24">
        <f t="shared" ref="N13:N16" si="1">PI()*(M13*M13-K13*K13)/4</f>
        <v>0.15251895120834627</v>
      </c>
      <c r="O13" s="24">
        <f t="shared" ref="O13:O17" si="2">N13*L13</f>
        <v>2.0330776196072557</v>
      </c>
      <c r="P13" s="3">
        <v>8000</v>
      </c>
      <c r="Q13" s="27">
        <f t="shared" ref="Q13:Q16" si="3">P13*O13</f>
        <v>16264.620956858045</v>
      </c>
      <c r="R13" s="16"/>
    </row>
    <row r="14" spans="1:18" x14ac:dyDescent="0.3">
      <c r="A14" s="3" t="s">
        <v>46</v>
      </c>
      <c r="B14" s="3" t="s">
        <v>144</v>
      </c>
      <c r="C14" s="3" t="s">
        <v>53</v>
      </c>
      <c r="D14" s="6">
        <v>3888.73497775442</v>
      </c>
      <c r="E14" s="5">
        <v>580000</v>
      </c>
      <c r="F14" s="5">
        <v>20000</v>
      </c>
      <c r="G14" s="6">
        <v>0.6</v>
      </c>
      <c r="H14" s="6">
        <f t="shared" ref="H14:H17" si="4">(E14+(F14*(D14^G14)))/1000000</f>
        <v>3.4304603447022433</v>
      </c>
      <c r="J14" s="26" t="s">
        <v>50</v>
      </c>
      <c r="K14" s="27">
        <v>16.309999999999999</v>
      </c>
      <c r="L14" s="27">
        <v>57.07</v>
      </c>
      <c r="M14" s="24">
        <f t="shared" si="0"/>
        <v>16.3354</v>
      </c>
      <c r="N14" s="24">
        <f t="shared" si="1"/>
        <v>0.65124678496576205</v>
      </c>
      <c r="O14" s="24">
        <f t="shared" si="2"/>
        <v>37.166654017996038</v>
      </c>
      <c r="P14" s="3">
        <v>8000</v>
      </c>
      <c r="Q14" s="27">
        <f t="shared" si="3"/>
        <v>297333.23214396829</v>
      </c>
      <c r="R14" s="16"/>
    </row>
    <row r="15" spans="1:18" x14ac:dyDescent="0.3">
      <c r="A15" s="3" t="s">
        <v>47</v>
      </c>
      <c r="B15" s="3" t="s">
        <v>144</v>
      </c>
      <c r="C15" s="3" t="s">
        <v>53</v>
      </c>
      <c r="D15" s="6">
        <v>4195.0303404911501</v>
      </c>
      <c r="E15" s="5">
        <v>580000</v>
      </c>
      <c r="F15" s="5">
        <v>20000</v>
      </c>
      <c r="G15" s="6">
        <v>0.6</v>
      </c>
      <c r="H15" s="6">
        <f t="shared" si="4"/>
        <v>3.5631223051680947</v>
      </c>
      <c r="J15" s="26" t="s">
        <v>130</v>
      </c>
      <c r="K15" s="27">
        <v>16.154399999999999</v>
      </c>
      <c r="L15" s="27">
        <v>56.540399999999998</v>
      </c>
      <c r="M15" s="24">
        <f t="shared" si="0"/>
        <v>16.1798</v>
      </c>
      <c r="N15" s="24">
        <f t="shared" si="1"/>
        <v>0.64503862089112185</v>
      </c>
      <c r="O15" s="24">
        <f t="shared" si="2"/>
        <v>36.470741640632383</v>
      </c>
      <c r="P15" s="3">
        <v>8000</v>
      </c>
      <c r="Q15" s="27">
        <f t="shared" si="3"/>
        <v>291765.93312505906</v>
      </c>
      <c r="R15" s="16"/>
    </row>
    <row r="16" spans="1:18" x14ac:dyDescent="0.3">
      <c r="A16" s="3" t="s">
        <v>97</v>
      </c>
      <c r="B16" s="3" t="s">
        <v>144</v>
      </c>
      <c r="C16" s="3" t="s">
        <v>53</v>
      </c>
      <c r="D16" s="6">
        <v>471.47947894190997</v>
      </c>
      <c r="E16" s="5">
        <v>580000</v>
      </c>
      <c r="F16" s="5">
        <v>20000</v>
      </c>
      <c r="G16" s="6">
        <v>0.6</v>
      </c>
      <c r="H16" s="6">
        <f t="shared" si="4"/>
        <v>1.3837253613605671</v>
      </c>
      <c r="J16" s="26" t="s">
        <v>131</v>
      </c>
      <c r="K16" s="27">
        <v>1.524</v>
      </c>
      <c r="L16" s="27">
        <v>8.3819999999999997</v>
      </c>
      <c r="M16" s="24">
        <f t="shared" si="0"/>
        <v>1.5494000000000001</v>
      </c>
      <c r="N16" s="24">
        <f t="shared" si="1"/>
        <v>6.1311604970797184E-2</v>
      </c>
      <c r="O16" s="24">
        <f t="shared" si="2"/>
        <v>0.51391387286522194</v>
      </c>
      <c r="P16" s="3">
        <v>8000</v>
      </c>
      <c r="Q16" s="27">
        <f t="shared" si="3"/>
        <v>4111.3109829217756</v>
      </c>
      <c r="R16" s="16"/>
    </row>
    <row r="17" spans="1:18" x14ac:dyDescent="0.3">
      <c r="A17" s="3" t="s">
        <v>98</v>
      </c>
      <c r="B17" s="3" t="s">
        <v>144</v>
      </c>
      <c r="C17" s="3" t="s">
        <v>53</v>
      </c>
      <c r="D17" s="6">
        <v>9549.5532402276895</v>
      </c>
      <c r="E17" s="5">
        <v>580000</v>
      </c>
      <c r="F17" s="5">
        <v>20000</v>
      </c>
      <c r="G17" s="6">
        <v>0.6</v>
      </c>
      <c r="H17" s="6">
        <f t="shared" si="4"/>
        <v>5.4667466988664595</v>
      </c>
      <c r="J17" s="30" t="s">
        <v>149</v>
      </c>
      <c r="K17" s="27">
        <v>5.234</v>
      </c>
      <c r="L17" s="27">
        <f>0.6096*42</f>
        <v>25.603200000000001</v>
      </c>
      <c r="M17" s="24">
        <f t="shared" ref="M17" si="5">K17+0.0254</f>
        <v>5.2594000000000003</v>
      </c>
      <c r="N17" s="24">
        <f t="shared" ref="N17" si="6">PI()*(M17*M17-K17*K17)/4</f>
        <v>0.20933402602998979</v>
      </c>
      <c r="O17" s="24">
        <f t="shared" si="2"/>
        <v>5.3596209352510353</v>
      </c>
      <c r="P17" s="3">
        <v>8000</v>
      </c>
      <c r="Q17" s="27">
        <f t="shared" ref="Q17" si="7">P17*O17</f>
        <v>42876.96748200828</v>
      </c>
      <c r="R17" s="16"/>
    </row>
    <row r="18" spans="1:18" x14ac:dyDescent="0.3">
      <c r="A18" s="3" t="s">
        <v>99</v>
      </c>
      <c r="B18" s="3" t="s">
        <v>144</v>
      </c>
      <c r="C18" s="3" t="s">
        <v>53</v>
      </c>
      <c r="D18" s="6">
        <v>11235.7544792808</v>
      </c>
      <c r="E18" s="5">
        <v>580000</v>
      </c>
      <c r="F18" s="5">
        <v>20000</v>
      </c>
      <c r="G18" s="6">
        <v>0.6</v>
      </c>
      <c r="H18" s="6">
        <f t="shared" ref="H18:H19" si="8">(E18+(F18*(D18^G18)))/1000000</f>
        <v>5.9675503258383182</v>
      </c>
      <c r="R18" s="16"/>
    </row>
    <row r="19" spans="1:18" x14ac:dyDescent="0.3">
      <c r="A19" s="3" t="s">
        <v>100</v>
      </c>
      <c r="B19" s="3" t="s">
        <v>144</v>
      </c>
      <c r="C19" s="3" t="s">
        <v>53</v>
      </c>
      <c r="D19" s="6">
        <v>3270.2764542885102</v>
      </c>
      <c r="E19" s="5">
        <v>580000</v>
      </c>
      <c r="F19" s="5">
        <v>20000</v>
      </c>
      <c r="G19" s="6">
        <v>0.6</v>
      </c>
      <c r="H19" s="6">
        <f t="shared" si="8"/>
        <v>3.1490980302663298</v>
      </c>
      <c r="R19" s="16"/>
    </row>
    <row r="20" spans="1:18" x14ac:dyDescent="0.3">
      <c r="A20" s="3" t="s">
        <v>150</v>
      </c>
      <c r="B20" s="3" t="s">
        <v>144</v>
      </c>
      <c r="C20" s="3" t="s">
        <v>53</v>
      </c>
      <c r="D20" s="6">
        <v>282.66402753039398</v>
      </c>
      <c r="E20" s="5">
        <v>580000</v>
      </c>
      <c r="F20" s="5">
        <v>20000</v>
      </c>
      <c r="G20" s="6">
        <v>0.6</v>
      </c>
      <c r="H20" s="6">
        <f t="shared" ref="H20:H23" si="9">(E20+(F20*(D20^G20)))/1000000</f>
        <v>1.1712788182602711</v>
      </c>
      <c r="R20" s="16"/>
    </row>
    <row r="21" spans="1:18" x14ac:dyDescent="0.3">
      <c r="A21" s="3" t="s">
        <v>151</v>
      </c>
      <c r="B21" s="3" t="s">
        <v>144</v>
      </c>
      <c r="C21" s="3" t="s">
        <v>53</v>
      </c>
      <c r="D21" s="6">
        <v>293.20057355966901</v>
      </c>
      <c r="E21" s="5">
        <v>580000</v>
      </c>
      <c r="F21" s="5">
        <v>20000</v>
      </c>
      <c r="G21" s="6">
        <v>0.6</v>
      </c>
      <c r="H21" s="6">
        <f t="shared" si="9"/>
        <v>1.1844061642378299</v>
      </c>
      <c r="R21" s="16"/>
    </row>
    <row r="22" spans="1:18" x14ac:dyDescent="0.3">
      <c r="A22" s="3" t="s">
        <v>152</v>
      </c>
      <c r="B22" s="3" t="s">
        <v>144</v>
      </c>
      <c r="C22" s="3" t="s">
        <v>53</v>
      </c>
      <c r="D22" s="6">
        <v>303.70040368295298</v>
      </c>
      <c r="E22" s="5">
        <v>580000</v>
      </c>
      <c r="F22" s="5">
        <v>20000</v>
      </c>
      <c r="G22" s="6">
        <v>0.6</v>
      </c>
      <c r="H22" s="6">
        <f t="shared" si="9"/>
        <v>1.1973013364030682</v>
      </c>
      <c r="R22" s="16"/>
    </row>
    <row r="23" spans="1:18" x14ac:dyDescent="0.3">
      <c r="A23" s="3" t="s">
        <v>48</v>
      </c>
      <c r="B23" s="3" t="s">
        <v>144</v>
      </c>
      <c r="C23" s="3" t="s">
        <v>53</v>
      </c>
      <c r="D23" s="6">
        <v>227.45810740975901</v>
      </c>
      <c r="E23" s="5">
        <v>580000</v>
      </c>
      <c r="F23" s="5">
        <v>20000</v>
      </c>
      <c r="G23" s="6">
        <v>0.6</v>
      </c>
      <c r="H23" s="6">
        <f t="shared" si="9"/>
        <v>1.0990041713736736</v>
      </c>
      <c r="R23" s="16"/>
    </row>
    <row r="24" spans="1:18" x14ac:dyDescent="0.3">
      <c r="A24" s="3"/>
      <c r="B24" s="2" t="s">
        <v>129</v>
      </c>
      <c r="C24" s="3"/>
      <c r="D24" s="6"/>
      <c r="E24" s="5"/>
      <c r="F24" s="5"/>
      <c r="G24" s="6"/>
      <c r="H24" s="8">
        <f>SUM(H14:H23)</f>
        <v>27.612693556476859</v>
      </c>
      <c r="R24" s="16"/>
    </row>
    <row r="25" spans="1:18" x14ac:dyDescent="0.3">
      <c r="A25" s="41" t="s">
        <v>137</v>
      </c>
      <c r="B25" s="42"/>
      <c r="C25" s="42"/>
      <c r="D25" s="42"/>
      <c r="E25" s="42"/>
      <c r="F25" s="42"/>
      <c r="G25" s="42"/>
      <c r="H25" s="43"/>
      <c r="R25" s="16"/>
    </row>
    <row r="26" spans="1:18" x14ac:dyDescent="0.3">
      <c r="A26" s="3" t="s">
        <v>135</v>
      </c>
      <c r="B26" s="3" t="s">
        <v>145</v>
      </c>
      <c r="C26" s="3" t="s">
        <v>136</v>
      </c>
      <c r="D26" s="6">
        <v>18.64</v>
      </c>
      <c r="E26" s="5">
        <v>8000</v>
      </c>
      <c r="F26" s="5">
        <v>240</v>
      </c>
      <c r="G26" s="6">
        <v>0.9</v>
      </c>
      <c r="H26" s="6">
        <f t="shared" ref="H26" si="10">(E26+(F26*(D26^G26)))/1000000</f>
        <v>1.1338970322198487E-2</v>
      </c>
      <c r="R26" s="16"/>
    </row>
    <row r="27" spans="1:18" x14ac:dyDescent="0.3">
      <c r="A27" s="3"/>
      <c r="B27" s="2" t="s">
        <v>129</v>
      </c>
      <c r="C27" s="3"/>
      <c r="D27" s="6"/>
      <c r="E27" s="5"/>
      <c r="F27" s="5"/>
      <c r="G27" s="6"/>
      <c r="H27" s="8">
        <f>SUM(H26:H26)</f>
        <v>1.1338970322198487E-2</v>
      </c>
    </row>
    <row r="28" spans="1:18" x14ac:dyDescent="0.3">
      <c r="A28" s="41" t="s">
        <v>139</v>
      </c>
      <c r="B28" s="42"/>
      <c r="C28" s="42"/>
      <c r="D28" s="42"/>
      <c r="E28" s="42"/>
      <c r="F28" s="42"/>
      <c r="G28" s="42"/>
      <c r="H28" s="43"/>
    </row>
    <row r="29" spans="1:18" x14ac:dyDescent="0.3">
      <c r="A29" s="3" t="s">
        <v>209</v>
      </c>
      <c r="B29" s="3" t="s">
        <v>146</v>
      </c>
      <c r="C29" s="3" t="s">
        <v>54</v>
      </c>
      <c r="D29" s="15">
        <v>443.23625612716302</v>
      </c>
      <c r="E29" s="5">
        <v>28000</v>
      </c>
      <c r="F29" s="5">
        <v>54</v>
      </c>
      <c r="G29" s="6">
        <v>1.2</v>
      </c>
      <c r="H29" s="6">
        <f t="shared" ref="H29:H329" si="11">(E29+(F29*(D29^G29)))/1000000</f>
        <v>0.10897595773251002</v>
      </c>
    </row>
    <row r="30" spans="1:18" x14ac:dyDescent="0.3">
      <c r="A30" s="3" t="s">
        <v>210</v>
      </c>
      <c r="B30" s="3" t="s">
        <v>146</v>
      </c>
      <c r="C30" s="3" t="s">
        <v>54</v>
      </c>
      <c r="D30" s="15">
        <f>5272.74583311151/6</f>
        <v>878.79097218525169</v>
      </c>
      <c r="E30" s="5">
        <v>28000</v>
      </c>
      <c r="F30" s="5">
        <v>54</v>
      </c>
      <c r="G30" s="6">
        <v>1.2</v>
      </c>
      <c r="H30" s="6">
        <f t="shared" si="11"/>
        <v>0.21210113413786019</v>
      </c>
    </row>
    <row r="31" spans="1:18" x14ac:dyDescent="0.3">
      <c r="A31" s="3" t="s">
        <v>210</v>
      </c>
      <c r="B31" s="3" t="s">
        <v>146</v>
      </c>
      <c r="C31" s="3" t="s">
        <v>54</v>
      </c>
      <c r="D31" s="15">
        <f t="shared" ref="D31:D35" si="12">5272.74583311151/6</f>
        <v>878.79097218525169</v>
      </c>
      <c r="E31" s="5">
        <v>28000</v>
      </c>
      <c r="F31" s="5">
        <v>54</v>
      </c>
      <c r="G31" s="6">
        <v>1.2</v>
      </c>
      <c r="H31" s="6">
        <f t="shared" ref="H31:H35" si="13">(E31+(F31*(D31^G31)))/1000000</f>
        <v>0.21210113413786019</v>
      </c>
    </row>
    <row r="32" spans="1:18" x14ac:dyDescent="0.3">
      <c r="A32" s="3" t="s">
        <v>210</v>
      </c>
      <c r="B32" s="3" t="s">
        <v>146</v>
      </c>
      <c r="C32" s="3" t="s">
        <v>54</v>
      </c>
      <c r="D32" s="15">
        <f t="shared" si="12"/>
        <v>878.79097218525169</v>
      </c>
      <c r="E32" s="5">
        <v>28000</v>
      </c>
      <c r="F32" s="5">
        <v>54</v>
      </c>
      <c r="G32" s="6">
        <v>1.2</v>
      </c>
      <c r="H32" s="6">
        <f t="shared" si="13"/>
        <v>0.21210113413786019</v>
      </c>
    </row>
    <row r="33" spans="1:8" x14ac:dyDescent="0.3">
      <c r="A33" s="3" t="s">
        <v>210</v>
      </c>
      <c r="B33" s="3" t="s">
        <v>146</v>
      </c>
      <c r="C33" s="3" t="s">
        <v>54</v>
      </c>
      <c r="D33" s="15">
        <f t="shared" si="12"/>
        <v>878.79097218525169</v>
      </c>
      <c r="E33" s="5">
        <v>28000</v>
      </c>
      <c r="F33" s="5">
        <v>54</v>
      </c>
      <c r="G33" s="6">
        <v>1.2</v>
      </c>
      <c r="H33" s="6">
        <f t="shared" si="13"/>
        <v>0.21210113413786019</v>
      </c>
    </row>
    <row r="34" spans="1:8" x14ac:dyDescent="0.3">
      <c r="A34" s="3" t="s">
        <v>210</v>
      </c>
      <c r="B34" s="3" t="s">
        <v>146</v>
      </c>
      <c r="C34" s="3" t="s">
        <v>54</v>
      </c>
      <c r="D34" s="15">
        <f t="shared" si="12"/>
        <v>878.79097218525169</v>
      </c>
      <c r="E34" s="5">
        <v>28000</v>
      </c>
      <c r="F34" s="5">
        <v>54</v>
      </c>
      <c r="G34" s="6">
        <v>1.2</v>
      </c>
      <c r="H34" s="6">
        <f t="shared" si="13"/>
        <v>0.21210113413786019</v>
      </c>
    </row>
    <row r="35" spans="1:8" x14ac:dyDescent="0.3">
      <c r="A35" s="3" t="s">
        <v>210</v>
      </c>
      <c r="B35" s="3" t="s">
        <v>146</v>
      </c>
      <c r="C35" s="3" t="s">
        <v>54</v>
      </c>
      <c r="D35" s="15">
        <f t="shared" si="12"/>
        <v>878.79097218525169</v>
      </c>
      <c r="E35" s="5">
        <v>28000</v>
      </c>
      <c r="F35" s="5">
        <v>54</v>
      </c>
      <c r="G35" s="6">
        <v>1.2</v>
      </c>
      <c r="H35" s="6">
        <f t="shared" si="13"/>
        <v>0.21210113413786019</v>
      </c>
    </row>
    <row r="36" spans="1:8" x14ac:dyDescent="0.3">
      <c r="A36" s="3" t="s">
        <v>211</v>
      </c>
      <c r="B36" s="3" t="s">
        <v>146</v>
      </c>
      <c r="C36" s="3" t="s">
        <v>54</v>
      </c>
      <c r="D36" s="15">
        <f>1292.9121037104/2</f>
        <v>646.45605185520003</v>
      </c>
      <c r="E36" s="5">
        <v>28000</v>
      </c>
      <c r="F36" s="5">
        <v>54</v>
      </c>
      <c r="G36" s="6">
        <v>1.2</v>
      </c>
      <c r="H36" s="6">
        <f t="shared" si="11"/>
        <v>0.15536220414751634</v>
      </c>
    </row>
    <row r="37" spans="1:8" x14ac:dyDescent="0.3">
      <c r="A37" s="3" t="s">
        <v>211</v>
      </c>
      <c r="B37" s="3" t="s">
        <v>146</v>
      </c>
      <c r="C37" s="3" t="s">
        <v>54</v>
      </c>
      <c r="D37" s="15">
        <f t="shared" ref="D37" si="14">1292.9121037104/2</f>
        <v>646.45605185520003</v>
      </c>
      <c r="E37" s="5">
        <v>28000</v>
      </c>
      <c r="F37" s="5">
        <v>54</v>
      </c>
      <c r="G37" s="6">
        <v>1.2</v>
      </c>
      <c r="H37" s="6">
        <f t="shared" ref="H37" si="15">(E37+(F37*(D37^G37)))/1000000</f>
        <v>0.15536220414751634</v>
      </c>
    </row>
    <row r="38" spans="1:8" x14ac:dyDescent="0.3">
      <c r="A38" s="3" t="s">
        <v>212</v>
      </c>
      <c r="B38" s="3" t="s">
        <v>146</v>
      </c>
      <c r="C38" s="3" t="s">
        <v>54</v>
      </c>
      <c r="D38" s="15">
        <v>765.73161586242895</v>
      </c>
      <c r="E38" s="5">
        <v>28000</v>
      </c>
      <c r="F38" s="5">
        <v>54</v>
      </c>
      <c r="G38" s="6">
        <v>1.2</v>
      </c>
      <c r="H38" s="6">
        <f t="shared" ref="H38" si="16">(E38+(F38*(D38^G38)))/1000000</f>
        <v>0.18405786258332646</v>
      </c>
    </row>
    <row r="39" spans="1:8" x14ac:dyDescent="0.3">
      <c r="A39" s="3" t="s">
        <v>213</v>
      </c>
      <c r="B39" s="3" t="s">
        <v>146</v>
      </c>
      <c r="C39" s="3" t="s">
        <v>54</v>
      </c>
      <c r="D39" s="15">
        <f>3110.28839969224/4</f>
        <v>777.57209992306002</v>
      </c>
      <c r="E39" s="5">
        <v>28000</v>
      </c>
      <c r="F39" s="5">
        <v>54</v>
      </c>
      <c r="G39" s="6">
        <v>1.2</v>
      </c>
      <c r="H39" s="6">
        <f t="shared" si="11"/>
        <v>0.18695806334923606</v>
      </c>
    </row>
    <row r="40" spans="1:8" x14ac:dyDescent="0.3">
      <c r="A40" s="3" t="s">
        <v>213</v>
      </c>
      <c r="B40" s="3" t="s">
        <v>146</v>
      </c>
      <c r="C40" s="3" t="s">
        <v>54</v>
      </c>
      <c r="D40" s="15">
        <f t="shared" ref="D40:D42" si="17">3110.28839969224/4</f>
        <v>777.57209992306002</v>
      </c>
      <c r="E40" s="5">
        <v>28000</v>
      </c>
      <c r="F40" s="5">
        <v>54</v>
      </c>
      <c r="G40" s="6">
        <v>1.2</v>
      </c>
      <c r="H40" s="6">
        <f t="shared" ref="H40:H42" si="18">(E40+(F40*(D40^G40)))/1000000</f>
        <v>0.18695806334923606</v>
      </c>
    </row>
    <row r="41" spans="1:8" x14ac:dyDescent="0.3">
      <c r="A41" s="3" t="s">
        <v>213</v>
      </c>
      <c r="B41" s="3" t="s">
        <v>146</v>
      </c>
      <c r="C41" s="3" t="s">
        <v>54</v>
      </c>
      <c r="D41" s="15">
        <f t="shared" si="17"/>
        <v>777.57209992306002</v>
      </c>
      <c r="E41" s="5">
        <v>28000</v>
      </c>
      <c r="F41" s="5">
        <v>54</v>
      </c>
      <c r="G41" s="6">
        <v>1.2</v>
      </c>
      <c r="H41" s="6">
        <f t="shared" si="18"/>
        <v>0.18695806334923606</v>
      </c>
    </row>
    <row r="42" spans="1:8" x14ac:dyDescent="0.3">
      <c r="A42" s="3" t="s">
        <v>213</v>
      </c>
      <c r="B42" s="3" t="s">
        <v>146</v>
      </c>
      <c r="C42" s="3" t="s">
        <v>54</v>
      </c>
      <c r="D42" s="15">
        <f t="shared" si="17"/>
        <v>777.57209992306002</v>
      </c>
      <c r="E42" s="5">
        <v>28000</v>
      </c>
      <c r="F42" s="5">
        <v>54</v>
      </c>
      <c r="G42" s="6">
        <v>1.2</v>
      </c>
      <c r="H42" s="6">
        <f t="shared" si="18"/>
        <v>0.18695806334923606</v>
      </c>
    </row>
    <row r="43" spans="1:8" x14ac:dyDescent="0.3">
      <c r="A43" s="3" t="s">
        <v>214</v>
      </c>
      <c r="B43" s="3" t="s">
        <v>146</v>
      </c>
      <c r="C43" s="3" t="s">
        <v>54</v>
      </c>
      <c r="D43" s="15">
        <f>24397.2284454778/25</f>
        <v>975.88913781911197</v>
      </c>
      <c r="E43" s="5">
        <v>28000</v>
      </c>
      <c r="F43" s="5">
        <v>54</v>
      </c>
      <c r="G43" s="6">
        <v>1.2</v>
      </c>
      <c r="H43" s="6">
        <f t="shared" si="11"/>
        <v>0.2367730042325428</v>
      </c>
    </row>
    <row r="44" spans="1:8" x14ac:dyDescent="0.3">
      <c r="A44" s="3" t="s">
        <v>214</v>
      </c>
      <c r="B44" s="3" t="s">
        <v>146</v>
      </c>
      <c r="C44" s="3" t="s">
        <v>54</v>
      </c>
      <c r="D44" s="15">
        <f t="shared" ref="D44:D67" si="19">24397.2284454778/25</f>
        <v>975.88913781911197</v>
      </c>
      <c r="E44" s="5">
        <v>28000</v>
      </c>
      <c r="F44" s="5">
        <v>54</v>
      </c>
      <c r="G44" s="6">
        <v>1.2</v>
      </c>
      <c r="H44" s="6">
        <f t="shared" ref="H44:H67" si="20">(E44+(F44*(D44^G44)))/1000000</f>
        <v>0.2367730042325428</v>
      </c>
    </row>
    <row r="45" spans="1:8" x14ac:dyDescent="0.3">
      <c r="A45" s="3" t="s">
        <v>214</v>
      </c>
      <c r="B45" s="3" t="s">
        <v>146</v>
      </c>
      <c r="C45" s="3" t="s">
        <v>54</v>
      </c>
      <c r="D45" s="15">
        <f t="shared" si="19"/>
        <v>975.88913781911197</v>
      </c>
      <c r="E45" s="5">
        <v>28000</v>
      </c>
      <c r="F45" s="5">
        <v>54</v>
      </c>
      <c r="G45" s="6">
        <v>1.2</v>
      </c>
      <c r="H45" s="6">
        <f t="shared" si="20"/>
        <v>0.2367730042325428</v>
      </c>
    </row>
    <row r="46" spans="1:8" x14ac:dyDescent="0.3">
      <c r="A46" s="3" t="s">
        <v>214</v>
      </c>
      <c r="B46" s="3" t="s">
        <v>146</v>
      </c>
      <c r="C46" s="3" t="s">
        <v>54</v>
      </c>
      <c r="D46" s="15">
        <f t="shared" si="19"/>
        <v>975.88913781911197</v>
      </c>
      <c r="E46" s="5">
        <v>28000</v>
      </c>
      <c r="F46" s="5">
        <v>54</v>
      </c>
      <c r="G46" s="6">
        <v>1.2</v>
      </c>
      <c r="H46" s="6">
        <f t="shared" si="20"/>
        <v>0.2367730042325428</v>
      </c>
    </row>
    <row r="47" spans="1:8" x14ac:dyDescent="0.3">
      <c r="A47" s="3" t="s">
        <v>214</v>
      </c>
      <c r="B47" s="3" t="s">
        <v>146</v>
      </c>
      <c r="C47" s="3" t="s">
        <v>54</v>
      </c>
      <c r="D47" s="15">
        <f t="shared" si="19"/>
        <v>975.88913781911197</v>
      </c>
      <c r="E47" s="5">
        <v>28000</v>
      </c>
      <c r="F47" s="5">
        <v>54</v>
      </c>
      <c r="G47" s="6">
        <v>1.2</v>
      </c>
      <c r="H47" s="6">
        <f t="shared" si="20"/>
        <v>0.2367730042325428</v>
      </c>
    </row>
    <row r="48" spans="1:8" x14ac:dyDescent="0.3">
      <c r="A48" s="3" t="s">
        <v>214</v>
      </c>
      <c r="B48" s="3" t="s">
        <v>146</v>
      </c>
      <c r="C48" s="3" t="s">
        <v>54</v>
      </c>
      <c r="D48" s="15">
        <f t="shared" si="19"/>
        <v>975.88913781911197</v>
      </c>
      <c r="E48" s="5">
        <v>28000</v>
      </c>
      <c r="F48" s="5">
        <v>54</v>
      </c>
      <c r="G48" s="6">
        <v>1.2</v>
      </c>
      <c r="H48" s="6">
        <f t="shared" si="20"/>
        <v>0.2367730042325428</v>
      </c>
    </row>
    <row r="49" spans="1:8" x14ac:dyDescent="0.3">
      <c r="A49" s="3" t="s">
        <v>214</v>
      </c>
      <c r="B49" s="3" t="s">
        <v>146</v>
      </c>
      <c r="C49" s="3" t="s">
        <v>54</v>
      </c>
      <c r="D49" s="15">
        <f t="shared" si="19"/>
        <v>975.88913781911197</v>
      </c>
      <c r="E49" s="5">
        <v>28000</v>
      </c>
      <c r="F49" s="5">
        <v>54</v>
      </c>
      <c r="G49" s="6">
        <v>1.2</v>
      </c>
      <c r="H49" s="6">
        <f t="shared" si="20"/>
        <v>0.2367730042325428</v>
      </c>
    </row>
    <row r="50" spans="1:8" x14ac:dyDescent="0.3">
      <c r="A50" s="3" t="s">
        <v>214</v>
      </c>
      <c r="B50" s="3" t="s">
        <v>146</v>
      </c>
      <c r="C50" s="3" t="s">
        <v>54</v>
      </c>
      <c r="D50" s="15">
        <f t="shared" si="19"/>
        <v>975.88913781911197</v>
      </c>
      <c r="E50" s="5">
        <v>28000</v>
      </c>
      <c r="F50" s="5">
        <v>54</v>
      </c>
      <c r="G50" s="6">
        <v>1.2</v>
      </c>
      <c r="H50" s="6">
        <f t="shared" si="20"/>
        <v>0.2367730042325428</v>
      </c>
    </row>
    <row r="51" spans="1:8" x14ac:dyDescent="0.3">
      <c r="A51" s="3" t="s">
        <v>214</v>
      </c>
      <c r="B51" s="3" t="s">
        <v>146</v>
      </c>
      <c r="C51" s="3" t="s">
        <v>54</v>
      </c>
      <c r="D51" s="15">
        <f t="shared" si="19"/>
        <v>975.88913781911197</v>
      </c>
      <c r="E51" s="5">
        <v>28000</v>
      </c>
      <c r="F51" s="5">
        <v>54</v>
      </c>
      <c r="G51" s="6">
        <v>1.2</v>
      </c>
      <c r="H51" s="6">
        <f t="shared" si="20"/>
        <v>0.2367730042325428</v>
      </c>
    </row>
    <row r="52" spans="1:8" x14ac:dyDescent="0.3">
      <c r="A52" s="3" t="s">
        <v>214</v>
      </c>
      <c r="B52" s="3" t="s">
        <v>146</v>
      </c>
      <c r="C52" s="3" t="s">
        <v>54</v>
      </c>
      <c r="D52" s="15">
        <f t="shared" si="19"/>
        <v>975.88913781911197</v>
      </c>
      <c r="E52" s="5">
        <v>28000</v>
      </c>
      <c r="F52" s="5">
        <v>54</v>
      </c>
      <c r="G52" s="6">
        <v>1.2</v>
      </c>
      <c r="H52" s="6">
        <f t="shared" si="20"/>
        <v>0.2367730042325428</v>
      </c>
    </row>
    <row r="53" spans="1:8" x14ac:dyDescent="0.3">
      <c r="A53" s="3" t="s">
        <v>214</v>
      </c>
      <c r="B53" s="3" t="s">
        <v>146</v>
      </c>
      <c r="C53" s="3" t="s">
        <v>54</v>
      </c>
      <c r="D53" s="15">
        <f t="shared" si="19"/>
        <v>975.88913781911197</v>
      </c>
      <c r="E53" s="5">
        <v>28000</v>
      </c>
      <c r="F53" s="5">
        <v>54</v>
      </c>
      <c r="G53" s="6">
        <v>1.2</v>
      </c>
      <c r="H53" s="6">
        <f t="shared" si="20"/>
        <v>0.2367730042325428</v>
      </c>
    </row>
    <row r="54" spans="1:8" x14ac:dyDescent="0.3">
      <c r="A54" s="3" t="s">
        <v>214</v>
      </c>
      <c r="B54" s="3" t="s">
        <v>146</v>
      </c>
      <c r="C54" s="3" t="s">
        <v>54</v>
      </c>
      <c r="D54" s="15">
        <f t="shared" si="19"/>
        <v>975.88913781911197</v>
      </c>
      <c r="E54" s="5">
        <v>28000</v>
      </c>
      <c r="F54" s="5">
        <v>54</v>
      </c>
      <c r="G54" s="6">
        <v>1.2</v>
      </c>
      <c r="H54" s="6">
        <f t="shared" si="20"/>
        <v>0.2367730042325428</v>
      </c>
    </row>
    <row r="55" spans="1:8" x14ac:dyDescent="0.3">
      <c r="A55" s="3" t="s">
        <v>214</v>
      </c>
      <c r="B55" s="3" t="s">
        <v>146</v>
      </c>
      <c r="C55" s="3" t="s">
        <v>54</v>
      </c>
      <c r="D55" s="15">
        <f t="shared" si="19"/>
        <v>975.88913781911197</v>
      </c>
      <c r="E55" s="5">
        <v>28000</v>
      </c>
      <c r="F55" s="5">
        <v>54</v>
      </c>
      <c r="G55" s="6">
        <v>1.2</v>
      </c>
      <c r="H55" s="6">
        <f t="shared" si="20"/>
        <v>0.2367730042325428</v>
      </c>
    </row>
    <row r="56" spans="1:8" x14ac:dyDescent="0.3">
      <c r="A56" s="3" t="s">
        <v>214</v>
      </c>
      <c r="B56" s="3" t="s">
        <v>146</v>
      </c>
      <c r="C56" s="3" t="s">
        <v>54</v>
      </c>
      <c r="D56" s="15">
        <f t="shared" si="19"/>
        <v>975.88913781911197</v>
      </c>
      <c r="E56" s="5">
        <v>28000</v>
      </c>
      <c r="F56" s="5">
        <v>54</v>
      </c>
      <c r="G56" s="6">
        <v>1.2</v>
      </c>
      <c r="H56" s="6">
        <f t="shared" si="20"/>
        <v>0.2367730042325428</v>
      </c>
    </row>
    <row r="57" spans="1:8" x14ac:dyDescent="0.3">
      <c r="A57" s="3" t="s">
        <v>214</v>
      </c>
      <c r="B57" s="3" t="s">
        <v>146</v>
      </c>
      <c r="C57" s="3" t="s">
        <v>54</v>
      </c>
      <c r="D57" s="15">
        <f t="shared" si="19"/>
        <v>975.88913781911197</v>
      </c>
      <c r="E57" s="5">
        <v>28000</v>
      </c>
      <c r="F57" s="5">
        <v>54</v>
      </c>
      <c r="G57" s="6">
        <v>1.2</v>
      </c>
      <c r="H57" s="6">
        <f t="shared" si="20"/>
        <v>0.2367730042325428</v>
      </c>
    </row>
    <row r="58" spans="1:8" x14ac:dyDescent="0.3">
      <c r="A58" s="3" t="s">
        <v>214</v>
      </c>
      <c r="B58" s="3" t="s">
        <v>146</v>
      </c>
      <c r="C58" s="3" t="s">
        <v>54</v>
      </c>
      <c r="D58" s="15">
        <f t="shared" si="19"/>
        <v>975.88913781911197</v>
      </c>
      <c r="E58" s="5">
        <v>28000</v>
      </c>
      <c r="F58" s="5">
        <v>54</v>
      </c>
      <c r="G58" s="6">
        <v>1.2</v>
      </c>
      <c r="H58" s="6">
        <f t="shared" si="20"/>
        <v>0.2367730042325428</v>
      </c>
    </row>
    <row r="59" spans="1:8" x14ac:dyDescent="0.3">
      <c r="A59" s="3" t="s">
        <v>214</v>
      </c>
      <c r="B59" s="3" t="s">
        <v>146</v>
      </c>
      <c r="C59" s="3" t="s">
        <v>54</v>
      </c>
      <c r="D59" s="15">
        <f t="shared" si="19"/>
        <v>975.88913781911197</v>
      </c>
      <c r="E59" s="5">
        <v>28000</v>
      </c>
      <c r="F59" s="5">
        <v>54</v>
      </c>
      <c r="G59" s="6">
        <v>1.2</v>
      </c>
      <c r="H59" s="6">
        <f t="shared" si="20"/>
        <v>0.2367730042325428</v>
      </c>
    </row>
    <row r="60" spans="1:8" x14ac:dyDescent="0.3">
      <c r="A60" s="3" t="s">
        <v>214</v>
      </c>
      <c r="B60" s="3" t="s">
        <v>146</v>
      </c>
      <c r="C60" s="3" t="s">
        <v>54</v>
      </c>
      <c r="D60" s="15">
        <f t="shared" si="19"/>
        <v>975.88913781911197</v>
      </c>
      <c r="E60" s="5">
        <v>28000</v>
      </c>
      <c r="F60" s="5">
        <v>54</v>
      </c>
      <c r="G60" s="6">
        <v>1.2</v>
      </c>
      <c r="H60" s="6">
        <f t="shared" si="20"/>
        <v>0.2367730042325428</v>
      </c>
    </row>
    <row r="61" spans="1:8" x14ac:dyDescent="0.3">
      <c r="A61" s="3" t="s">
        <v>214</v>
      </c>
      <c r="B61" s="3" t="s">
        <v>146</v>
      </c>
      <c r="C61" s="3" t="s">
        <v>54</v>
      </c>
      <c r="D61" s="15">
        <f t="shared" si="19"/>
        <v>975.88913781911197</v>
      </c>
      <c r="E61" s="5">
        <v>28000</v>
      </c>
      <c r="F61" s="5">
        <v>54</v>
      </c>
      <c r="G61" s="6">
        <v>1.2</v>
      </c>
      <c r="H61" s="6">
        <f t="shared" si="20"/>
        <v>0.2367730042325428</v>
      </c>
    </row>
    <row r="62" spans="1:8" x14ac:dyDescent="0.3">
      <c r="A62" s="3" t="s">
        <v>214</v>
      </c>
      <c r="B62" s="3" t="s">
        <v>146</v>
      </c>
      <c r="C62" s="3" t="s">
        <v>54</v>
      </c>
      <c r="D62" s="15">
        <f t="shared" si="19"/>
        <v>975.88913781911197</v>
      </c>
      <c r="E62" s="5">
        <v>28000</v>
      </c>
      <c r="F62" s="5">
        <v>54</v>
      </c>
      <c r="G62" s="6">
        <v>1.2</v>
      </c>
      <c r="H62" s="6">
        <f t="shared" si="20"/>
        <v>0.2367730042325428</v>
      </c>
    </row>
    <row r="63" spans="1:8" x14ac:dyDescent="0.3">
      <c r="A63" s="3" t="s">
        <v>214</v>
      </c>
      <c r="B63" s="3" t="s">
        <v>146</v>
      </c>
      <c r="C63" s="3" t="s">
        <v>54</v>
      </c>
      <c r="D63" s="15">
        <f t="shared" si="19"/>
        <v>975.88913781911197</v>
      </c>
      <c r="E63" s="5">
        <v>28000</v>
      </c>
      <c r="F63" s="5">
        <v>54</v>
      </c>
      <c r="G63" s="6">
        <v>1.2</v>
      </c>
      <c r="H63" s="6">
        <f t="shared" si="20"/>
        <v>0.2367730042325428</v>
      </c>
    </row>
    <row r="64" spans="1:8" x14ac:dyDescent="0.3">
      <c r="A64" s="3" t="s">
        <v>214</v>
      </c>
      <c r="B64" s="3" t="s">
        <v>146</v>
      </c>
      <c r="C64" s="3" t="s">
        <v>54</v>
      </c>
      <c r="D64" s="15">
        <f t="shared" si="19"/>
        <v>975.88913781911197</v>
      </c>
      <c r="E64" s="5">
        <v>28000</v>
      </c>
      <c r="F64" s="5">
        <v>54</v>
      </c>
      <c r="G64" s="6">
        <v>1.2</v>
      </c>
      <c r="H64" s="6">
        <f t="shared" si="20"/>
        <v>0.2367730042325428</v>
      </c>
    </row>
    <row r="65" spans="1:11" x14ac:dyDescent="0.3">
      <c r="A65" s="3" t="s">
        <v>214</v>
      </c>
      <c r="B65" s="3" t="s">
        <v>146</v>
      </c>
      <c r="C65" s="3" t="s">
        <v>54</v>
      </c>
      <c r="D65" s="15">
        <f t="shared" si="19"/>
        <v>975.88913781911197</v>
      </c>
      <c r="E65" s="5">
        <v>28000</v>
      </c>
      <c r="F65" s="5">
        <v>54</v>
      </c>
      <c r="G65" s="6">
        <v>1.2</v>
      </c>
      <c r="H65" s="6">
        <f t="shared" si="20"/>
        <v>0.2367730042325428</v>
      </c>
    </row>
    <row r="66" spans="1:11" x14ac:dyDescent="0.3">
      <c r="A66" s="3" t="s">
        <v>214</v>
      </c>
      <c r="B66" s="3" t="s">
        <v>146</v>
      </c>
      <c r="C66" s="3" t="s">
        <v>54</v>
      </c>
      <c r="D66" s="15">
        <f t="shared" si="19"/>
        <v>975.88913781911197</v>
      </c>
      <c r="E66" s="5">
        <v>28000</v>
      </c>
      <c r="F66" s="5">
        <v>54</v>
      </c>
      <c r="G66" s="6">
        <v>1.2</v>
      </c>
      <c r="H66" s="6">
        <f t="shared" si="20"/>
        <v>0.2367730042325428</v>
      </c>
    </row>
    <row r="67" spans="1:11" x14ac:dyDescent="0.3">
      <c r="A67" s="3" t="s">
        <v>214</v>
      </c>
      <c r="B67" s="3" t="s">
        <v>146</v>
      </c>
      <c r="C67" s="3" t="s">
        <v>54</v>
      </c>
      <c r="D67" s="15">
        <f t="shared" si="19"/>
        <v>975.88913781911197</v>
      </c>
      <c r="E67" s="5">
        <v>28000</v>
      </c>
      <c r="F67" s="5">
        <v>54</v>
      </c>
      <c r="G67" s="6">
        <v>1.2</v>
      </c>
      <c r="H67" s="6">
        <f t="shared" si="20"/>
        <v>0.2367730042325428</v>
      </c>
    </row>
    <row r="68" spans="1:11" x14ac:dyDescent="0.3">
      <c r="A68" s="3" t="s">
        <v>215</v>
      </c>
      <c r="B68" s="3" t="s">
        <v>146</v>
      </c>
      <c r="C68" s="3" t="s">
        <v>54</v>
      </c>
      <c r="D68" s="15">
        <v>41.282345665512302</v>
      </c>
      <c r="E68" s="5">
        <v>28000</v>
      </c>
      <c r="F68" s="5">
        <v>54</v>
      </c>
      <c r="G68" s="6">
        <v>1.2</v>
      </c>
      <c r="H68" s="6">
        <f t="shared" ref="H68" si="21">(E68+(F68*(D68^G68)))/1000000</f>
        <v>3.269149220393365E-2</v>
      </c>
    </row>
    <row r="69" spans="1:11" x14ac:dyDescent="0.3">
      <c r="A69" s="3" t="s">
        <v>216</v>
      </c>
      <c r="B69" s="3" t="s">
        <v>146</v>
      </c>
      <c r="C69" s="3" t="s">
        <v>54</v>
      </c>
      <c r="D69" s="15">
        <v>570.79951851732994</v>
      </c>
      <c r="E69" s="5">
        <v>28000</v>
      </c>
      <c r="F69" s="5">
        <v>54</v>
      </c>
      <c r="G69" s="6">
        <v>1.2</v>
      </c>
      <c r="H69" s="6">
        <f t="shared" ref="H69" si="22">(E69+(F69*(D69^G69)))/1000000</f>
        <v>0.13769177838050226</v>
      </c>
    </row>
    <row r="70" spans="1:11" x14ac:dyDescent="0.3">
      <c r="A70" s="3" t="s">
        <v>217</v>
      </c>
      <c r="B70" s="3" t="s">
        <v>146</v>
      </c>
      <c r="C70" s="3" t="s">
        <v>54</v>
      </c>
      <c r="D70" s="15">
        <f>8635.73132280229/9</f>
        <v>959.52570253358783</v>
      </c>
      <c r="E70" s="5">
        <v>28000</v>
      </c>
      <c r="F70" s="5">
        <v>54</v>
      </c>
      <c r="G70" s="6">
        <v>1.2</v>
      </c>
      <c r="H70" s="6">
        <f t="shared" ref="H70" si="23">(E70+(F70*(D70^G70)))/1000000</f>
        <v>0.23257930311356886</v>
      </c>
    </row>
    <row r="71" spans="1:11" x14ac:dyDescent="0.3">
      <c r="A71" s="3" t="s">
        <v>217</v>
      </c>
      <c r="B71" s="3" t="s">
        <v>146</v>
      </c>
      <c r="C71" s="3" t="s">
        <v>54</v>
      </c>
      <c r="D71" s="15">
        <f t="shared" ref="D71:D78" si="24">8635.73132280229/9</f>
        <v>959.52570253358783</v>
      </c>
      <c r="E71" s="5">
        <v>28000</v>
      </c>
      <c r="F71" s="5">
        <v>54</v>
      </c>
      <c r="G71" s="6">
        <v>1.2</v>
      </c>
      <c r="H71" s="6">
        <f t="shared" ref="H71:H78" si="25">(E71+(F71*(D71^G71)))/1000000</f>
        <v>0.23257930311356886</v>
      </c>
    </row>
    <row r="72" spans="1:11" x14ac:dyDescent="0.3">
      <c r="A72" s="3" t="s">
        <v>217</v>
      </c>
      <c r="B72" s="3" t="s">
        <v>146</v>
      </c>
      <c r="C72" s="3" t="s">
        <v>54</v>
      </c>
      <c r="D72" s="15">
        <f t="shared" si="24"/>
        <v>959.52570253358783</v>
      </c>
      <c r="E72" s="5">
        <v>28000</v>
      </c>
      <c r="F72" s="5">
        <v>54</v>
      </c>
      <c r="G72" s="6">
        <v>1.2</v>
      </c>
      <c r="H72" s="6">
        <f t="shared" si="25"/>
        <v>0.23257930311356886</v>
      </c>
    </row>
    <row r="73" spans="1:11" x14ac:dyDescent="0.3">
      <c r="A73" s="3" t="s">
        <v>217</v>
      </c>
      <c r="B73" s="3" t="s">
        <v>146</v>
      </c>
      <c r="C73" s="3" t="s">
        <v>54</v>
      </c>
      <c r="D73" s="15">
        <f t="shared" si="24"/>
        <v>959.52570253358783</v>
      </c>
      <c r="E73" s="5">
        <v>28000</v>
      </c>
      <c r="F73" s="5">
        <v>54</v>
      </c>
      <c r="G73" s="6">
        <v>1.2</v>
      </c>
      <c r="H73" s="6">
        <f t="shared" si="25"/>
        <v>0.23257930311356886</v>
      </c>
    </row>
    <row r="74" spans="1:11" x14ac:dyDescent="0.3">
      <c r="A74" s="3" t="s">
        <v>217</v>
      </c>
      <c r="B74" s="3" t="s">
        <v>146</v>
      </c>
      <c r="C74" s="3" t="s">
        <v>54</v>
      </c>
      <c r="D74" s="15">
        <f t="shared" si="24"/>
        <v>959.52570253358783</v>
      </c>
      <c r="E74" s="5">
        <v>28000</v>
      </c>
      <c r="F74" s="5">
        <v>54</v>
      </c>
      <c r="G74" s="6">
        <v>1.2</v>
      </c>
      <c r="H74" s="6">
        <f t="shared" si="25"/>
        <v>0.23257930311356886</v>
      </c>
    </row>
    <row r="75" spans="1:11" x14ac:dyDescent="0.3">
      <c r="A75" s="3" t="s">
        <v>217</v>
      </c>
      <c r="B75" s="3" t="s">
        <v>146</v>
      </c>
      <c r="C75" s="3" t="s">
        <v>54</v>
      </c>
      <c r="D75" s="15">
        <f t="shared" si="24"/>
        <v>959.52570253358783</v>
      </c>
      <c r="E75" s="5">
        <v>28000</v>
      </c>
      <c r="F75" s="5">
        <v>54</v>
      </c>
      <c r="G75" s="6">
        <v>1.2</v>
      </c>
      <c r="H75" s="6">
        <f t="shared" si="25"/>
        <v>0.23257930311356886</v>
      </c>
      <c r="K75" s="28"/>
    </row>
    <row r="76" spans="1:11" x14ac:dyDescent="0.3">
      <c r="A76" s="3" t="s">
        <v>217</v>
      </c>
      <c r="B76" s="3" t="s">
        <v>146</v>
      </c>
      <c r="C76" s="3" t="s">
        <v>54</v>
      </c>
      <c r="D76" s="15">
        <f t="shared" si="24"/>
        <v>959.52570253358783</v>
      </c>
      <c r="E76" s="5">
        <v>28000</v>
      </c>
      <c r="F76" s="5">
        <v>54</v>
      </c>
      <c r="G76" s="6">
        <v>1.2</v>
      </c>
      <c r="H76" s="6">
        <f t="shared" si="25"/>
        <v>0.23257930311356886</v>
      </c>
    </row>
    <row r="77" spans="1:11" x14ac:dyDescent="0.3">
      <c r="A77" s="3" t="s">
        <v>217</v>
      </c>
      <c r="B77" s="3" t="s">
        <v>146</v>
      </c>
      <c r="C77" s="3" t="s">
        <v>54</v>
      </c>
      <c r="D77" s="15">
        <f t="shared" si="24"/>
        <v>959.52570253358783</v>
      </c>
      <c r="E77" s="5">
        <v>28000</v>
      </c>
      <c r="F77" s="5">
        <v>54</v>
      </c>
      <c r="G77" s="6">
        <v>1.2</v>
      </c>
      <c r="H77" s="6">
        <f t="shared" si="25"/>
        <v>0.23257930311356886</v>
      </c>
    </row>
    <row r="78" spans="1:11" x14ac:dyDescent="0.3">
      <c r="A78" s="3" t="s">
        <v>217</v>
      </c>
      <c r="B78" s="3" t="s">
        <v>146</v>
      </c>
      <c r="C78" s="3" t="s">
        <v>54</v>
      </c>
      <c r="D78" s="15">
        <f t="shared" si="24"/>
        <v>959.52570253358783</v>
      </c>
      <c r="E78" s="5">
        <v>28000</v>
      </c>
      <c r="F78" s="5">
        <v>54</v>
      </c>
      <c r="G78" s="6">
        <v>1.2</v>
      </c>
      <c r="H78" s="6">
        <f t="shared" si="25"/>
        <v>0.23257930311356886</v>
      </c>
    </row>
    <row r="79" spans="1:11" x14ac:dyDescent="0.3">
      <c r="A79" s="3" t="s">
        <v>218</v>
      </c>
      <c r="B79" s="3" t="s">
        <v>146</v>
      </c>
      <c r="C79" s="3" t="s">
        <v>54</v>
      </c>
      <c r="D79" s="15">
        <f>4206.91823304758/5</f>
        <v>841.38364660951595</v>
      </c>
      <c r="E79" s="5">
        <v>28000</v>
      </c>
      <c r="F79" s="5">
        <v>54</v>
      </c>
      <c r="G79" s="6">
        <v>1.2</v>
      </c>
      <c r="H79" s="6">
        <f t="shared" ref="H79:H222" si="26">(E79+(F79*(D79^G79)))/1000000</f>
        <v>0.20273771000513888</v>
      </c>
    </row>
    <row r="80" spans="1:11" x14ac:dyDescent="0.3">
      <c r="A80" s="3" t="s">
        <v>218</v>
      </c>
      <c r="B80" s="3" t="s">
        <v>146</v>
      </c>
      <c r="C80" s="3" t="s">
        <v>54</v>
      </c>
      <c r="D80" s="15">
        <f t="shared" ref="D80:D83" si="27">4206.91823304758/5</f>
        <v>841.38364660951595</v>
      </c>
      <c r="E80" s="5">
        <v>28000</v>
      </c>
      <c r="F80" s="5">
        <v>54</v>
      </c>
      <c r="G80" s="6">
        <v>1.2</v>
      </c>
      <c r="H80" s="6">
        <f t="shared" ref="H80:H83" si="28">(E80+(F80*(D80^G80)))/1000000</f>
        <v>0.20273771000513888</v>
      </c>
    </row>
    <row r="81" spans="1:8" x14ac:dyDescent="0.3">
      <c r="A81" s="3" t="s">
        <v>218</v>
      </c>
      <c r="B81" s="3" t="s">
        <v>146</v>
      </c>
      <c r="C81" s="3" t="s">
        <v>54</v>
      </c>
      <c r="D81" s="15">
        <f t="shared" si="27"/>
        <v>841.38364660951595</v>
      </c>
      <c r="E81" s="5">
        <v>28000</v>
      </c>
      <c r="F81" s="5">
        <v>54</v>
      </c>
      <c r="G81" s="6">
        <v>1.2</v>
      </c>
      <c r="H81" s="6">
        <f t="shared" si="28"/>
        <v>0.20273771000513888</v>
      </c>
    </row>
    <row r="82" spans="1:8" x14ac:dyDescent="0.3">
      <c r="A82" s="3" t="s">
        <v>218</v>
      </c>
      <c r="B82" s="3" t="s">
        <v>146</v>
      </c>
      <c r="C82" s="3" t="s">
        <v>54</v>
      </c>
      <c r="D82" s="15">
        <f t="shared" si="27"/>
        <v>841.38364660951595</v>
      </c>
      <c r="E82" s="5">
        <v>28000</v>
      </c>
      <c r="F82" s="5">
        <v>54</v>
      </c>
      <c r="G82" s="6">
        <v>1.2</v>
      </c>
      <c r="H82" s="6">
        <f t="shared" si="28"/>
        <v>0.20273771000513888</v>
      </c>
    </row>
    <row r="83" spans="1:8" x14ac:dyDescent="0.3">
      <c r="A83" s="3" t="s">
        <v>218</v>
      </c>
      <c r="B83" s="3" t="s">
        <v>146</v>
      </c>
      <c r="C83" s="3" t="s">
        <v>54</v>
      </c>
      <c r="D83" s="15">
        <f t="shared" si="27"/>
        <v>841.38364660951595</v>
      </c>
      <c r="E83" s="5">
        <v>28000</v>
      </c>
      <c r="F83" s="5">
        <v>54</v>
      </c>
      <c r="G83" s="6">
        <v>1.2</v>
      </c>
      <c r="H83" s="6">
        <f t="shared" si="28"/>
        <v>0.20273771000513888</v>
      </c>
    </row>
    <row r="84" spans="1:8" x14ac:dyDescent="0.3">
      <c r="A84" s="3" t="s">
        <v>219</v>
      </c>
      <c r="B84" s="3" t="s">
        <v>146</v>
      </c>
      <c r="C84" s="3" t="s">
        <v>54</v>
      </c>
      <c r="D84" s="15">
        <v>278.39059612069502</v>
      </c>
      <c r="E84" s="5">
        <v>28000</v>
      </c>
      <c r="F84" s="5">
        <v>54</v>
      </c>
      <c r="G84" s="6">
        <v>1.2</v>
      </c>
      <c r="H84" s="6">
        <f t="shared" ref="H84" si="29">(E84+(F84*(D84^G84)))/1000000</f>
        <v>7.4342475923512313E-2</v>
      </c>
    </row>
    <row r="85" spans="1:8" x14ac:dyDescent="0.3">
      <c r="A85" s="3" t="s">
        <v>121</v>
      </c>
      <c r="B85" s="3" t="s">
        <v>146</v>
      </c>
      <c r="C85" s="3" t="s">
        <v>54</v>
      </c>
      <c r="D85" s="15">
        <f>4494.01534030649/5</f>
        <v>898.80306806129795</v>
      </c>
      <c r="E85" s="5">
        <v>28000</v>
      </c>
      <c r="F85" s="5">
        <v>54</v>
      </c>
      <c r="G85" s="6">
        <v>1.2</v>
      </c>
      <c r="H85" s="6">
        <f t="shared" si="26"/>
        <v>0.21714341033298165</v>
      </c>
    </row>
    <row r="86" spans="1:8" x14ac:dyDescent="0.3">
      <c r="A86" s="3" t="s">
        <v>121</v>
      </c>
      <c r="B86" s="3" t="s">
        <v>146</v>
      </c>
      <c r="C86" s="3" t="s">
        <v>54</v>
      </c>
      <c r="D86" s="15">
        <f t="shared" ref="D86:D89" si="30">4494.01534030649/5</f>
        <v>898.80306806129795</v>
      </c>
      <c r="E86" s="5">
        <v>28000</v>
      </c>
      <c r="F86" s="5">
        <v>54</v>
      </c>
      <c r="G86" s="6">
        <v>1.2</v>
      </c>
      <c r="H86" s="6">
        <f t="shared" ref="H86:H89" si="31">(E86+(F86*(D86^G86)))/1000000</f>
        <v>0.21714341033298165</v>
      </c>
    </row>
    <row r="87" spans="1:8" x14ac:dyDescent="0.3">
      <c r="A87" s="3" t="s">
        <v>121</v>
      </c>
      <c r="B87" s="3" t="s">
        <v>146</v>
      </c>
      <c r="C87" s="3" t="s">
        <v>54</v>
      </c>
      <c r="D87" s="15">
        <f t="shared" si="30"/>
        <v>898.80306806129795</v>
      </c>
      <c r="E87" s="5">
        <v>28000</v>
      </c>
      <c r="F87" s="5">
        <v>54</v>
      </c>
      <c r="G87" s="6">
        <v>1.2</v>
      </c>
      <c r="H87" s="6">
        <f t="shared" si="31"/>
        <v>0.21714341033298165</v>
      </c>
    </row>
    <row r="88" spans="1:8" x14ac:dyDescent="0.3">
      <c r="A88" s="3" t="s">
        <v>121</v>
      </c>
      <c r="B88" s="3" t="s">
        <v>146</v>
      </c>
      <c r="C88" s="3" t="s">
        <v>54</v>
      </c>
      <c r="D88" s="15">
        <f t="shared" si="30"/>
        <v>898.80306806129795</v>
      </c>
      <c r="E88" s="5">
        <v>28000</v>
      </c>
      <c r="F88" s="5">
        <v>54</v>
      </c>
      <c r="G88" s="6">
        <v>1.2</v>
      </c>
      <c r="H88" s="6">
        <f t="shared" si="31"/>
        <v>0.21714341033298165</v>
      </c>
    </row>
    <row r="89" spans="1:8" x14ac:dyDescent="0.3">
      <c r="A89" s="3" t="s">
        <v>121</v>
      </c>
      <c r="B89" s="3" t="s">
        <v>146</v>
      </c>
      <c r="C89" s="3" t="s">
        <v>54</v>
      </c>
      <c r="D89" s="15">
        <f t="shared" si="30"/>
        <v>898.80306806129795</v>
      </c>
      <c r="E89" s="5">
        <v>28000</v>
      </c>
      <c r="F89" s="5">
        <v>54</v>
      </c>
      <c r="G89" s="6">
        <v>1.2</v>
      </c>
      <c r="H89" s="6">
        <f t="shared" si="31"/>
        <v>0.21714341033298165</v>
      </c>
    </row>
    <row r="90" spans="1:8" x14ac:dyDescent="0.3">
      <c r="A90" s="3" t="s">
        <v>125</v>
      </c>
      <c r="B90" s="3" t="s">
        <v>146</v>
      </c>
      <c r="C90" s="3" t="s">
        <v>54</v>
      </c>
      <c r="D90" s="15">
        <f>2288.41320375264/3</f>
        <v>762.80440125088001</v>
      </c>
      <c r="E90" s="5">
        <v>28000</v>
      </c>
      <c r="F90" s="5">
        <v>54</v>
      </c>
      <c r="G90" s="6">
        <v>1.2</v>
      </c>
      <c r="H90" s="6">
        <f t="shared" si="26"/>
        <v>0.18334224885432154</v>
      </c>
    </row>
    <row r="91" spans="1:8" x14ac:dyDescent="0.3">
      <c r="A91" s="3" t="s">
        <v>125</v>
      </c>
      <c r="B91" s="3" t="s">
        <v>146</v>
      </c>
      <c r="C91" s="3" t="s">
        <v>54</v>
      </c>
      <c r="D91" s="15">
        <f t="shared" ref="D91:D92" si="32">2288.41320375264/3</f>
        <v>762.80440125088001</v>
      </c>
      <c r="E91" s="5">
        <v>28000</v>
      </c>
      <c r="F91" s="5">
        <v>54</v>
      </c>
      <c r="G91" s="6">
        <v>1.2</v>
      </c>
      <c r="H91" s="6">
        <f t="shared" ref="H91:H92" si="33">(E91+(F91*(D91^G91)))/1000000</f>
        <v>0.18334224885432154</v>
      </c>
    </row>
    <row r="92" spans="1:8" x14ac:dyDescent="0.3">
      <c r="A92" s="3" t="s">
        <v>125</v>
      </c>
      <c r="B92" s="3" t="s">
        <v>146</v>
      </c>
      <c r="C92" s="3" t="s">
        <v>54</v>
      </c>
      <c r="D92" s="15">
        <f t="shared" si="32"/>
        <v>762.80440125088001</v>
      </c>
      <c r="E92" s="5">
        <v>28000</v>
      </c>
      <c r="F92" s="5">
        <v>54</v>
      </c>
      <c r="G92" s="6">
        <v>1.2</v>
      </c>
      <c r="H92" s="6">
        <f t="shared" si="33"/>
        <v>0.18334224885432154</v>
      </c>
    </row>
    <row r="93" spans="1:8" x14ac:dyDescent="0.3">
      <c r="A93" s="3" t="s">
        <v>118</v>
      </c>
      <c r="B93" s="3" t="s">
        <v>146</v>
      </c>
      <c r="C93" s="3" t="s">
        <v>54</v>
      </c>
      <c r="D93" s="15">
        <f>30296.3335308232/31</f>
        <v>977.30108163945818</v>
      </c>
      <c r="E93" s="5">
        <v>28000</v>
      </c>
      <c r="F93" s="5">
        <v>54</v>
      </c>
      <c r="G93" s="6">
        <v>1.2</v>
      </c>
      <c r="H93" s="6">
        <f t="shared" si="26"/>
        <v>0.23713552703267954</v>
      </c>
    </row>
    <row r="94" spans="1:8" x14ac:dyDescent="0.3">
      <c r="A94" s="3" t="s">
        <v>118</v>
      </c>
      <c r="B94" s="3" t="s">
        <v>146</v>
      </c>
      <c r="C94" s="3" t="s">
        <v>54</v>
      </c>
      <c r="D94" s="15">
        <f t="shared" ref="D94:D123" si="34">30296.3335308232/31</f>
        <v>977.30108163945818</v>
      </c>
      <c r="E94" s="5">
        <v>28000</v>
      </c>
      <c r="F94" s="5">
        <v>54</v>
      </c>
      <c r="G94" s="6">
        <v>1.2</v>
      </c>
      <c r="H94" s="6">
        <f t="shared" ref="H94:H123" si="35">(E94+(F94*(D94^G94)))/1000000</f>
        <v>0.23713552703267954</v>
      </c>
    </row>
    <row r="95" spans="1:8" x14ac:dyDescent="0.3">
      <c r="A95" s="3" t="s">
        <v>118</v>
      </c>
      <c r="B95" s="3" t="s">
        <v>146</v>
      </c>
      <c r="C95" s="3" t="s">
        <v>54</v>
      </c>
      <c r="D95" s="15">
        <f t="shared" si="34"/>
        <v>977.30108163945818</v>
      </c>
      <c r="E95" s="5">
        <v>28000</v>
      </c>
      <c r="F95" s="5">
        <v>54</v>
      </c>
      <c r="G95" s="6">
        <v>1.2</v>
      </c>
      <c r="H95" s="6">
        <f t="shared" si="35"/>
        <v>0.23713552703267954</v>
      </c>
    </row>
    <row r="96" spans="1:8" x14ac:dyDescent="0.3">
      <c r="A96" s="3" t="s">
        <v>118</v>
      </c>
      <c r="B96" s="3" t="s">
        <v>146</v>
      </c>
      <c r="C96" s="3" t="s">
        <v>54</v>
      </c>
      <c r="D96" s="15">
        <f t="shared" si="34"/>
        <v>977.30108163945818</v>
      </c>
      <c r="E96" s="5">
        <v>28000</v>
      </c>
      <c r="F96" s="5">
        <v>54</v>
      </c>
      <c r="G96" s="6">
        <v>1.2</v>
      </c>
      <c r="H96" s="6">
        <f t="shared" si="35"/>
        <v>0.23713552703267954</v>
      </c>
    </row>
    <row r="97" spans="1:8" x14ac:dyDescent="0.3">
      <c r="A97" s="3" t="s">
        <v>118</v>
      </c>
      <c r="B97" s="3" t="s">
        <v>146</v>
      </c>
      <c r="C97" s="3" t="s">
        <v>54</v>
      </c>
      <c r="D97" s="15">
        <f t="shared" si="34"/>
        <v>977.30108163945818</v>
      </c>
      <c r="E97" s="5">
        <v>28000</v>
      </c>
      <c r="F97" s="5">
        <v>54</v>
      </c>
      <c r="G97" s="6">
        <v>1.2</v>
      </c>
      <c r="H97" s="6">
        <f t="shared" si="35"/>
        <v>0.23713552703267954</v>
      </c>
    </row>
    <row r="98" spans="1:8" x14ac:dyDescent="0.3">
      <c r="A98" s="3" t="s">
        <v>118</v>
      </c>
      <c r="B98" s="3" t="s">
        <v>146</v>
      </c>
      <c r="C98" s="3" t="s">
        <v>54</v>
      </c>
      <c r="D98" s="15">
        <f t="shared" si="34"/>
        <v>977.30108163945818</v>
      </c>
      <c r="E98" s="5">
        <v>28000</v>
      </c>
      <c r="F98" s="5">
        <v>54</v>
      </c>
      <c r="G98" s="6">
        <v>1.2</v>
      </c>
      <c r="H98" s="6">
        <f t="shared" si="35"/>
        <v>0.23713552703267954</v>
      </c>
    </row>
    <row r="99" spans="1:8" x14ac:dyDescent="0.3">
      <c r="A99" s="3" t="s">
        <v>118</v>
      </c>
      <c r="B99" s="3" t="s">
        <v>146</v>
      </c>
      <c r="C99" s="3" t="s">
        <v>54</v>
      </c>
      <c r="D99" s="15">
        <f t="shared" si="34"/>
        <v>977.30108163945818</v>
      </c>
      <c r="E99" s="5">
        <v>28000</v>
      </c>
      <c r="F99" s="5">
        <v>54</v>
      </c>
      <c r="G99" s="6">
        <v>1.2</v>
      </c>
      <c r="H99" s="6">
        <f t="shared" si="35"/>
        <v>0.23713552703267954</v>
      </c>
    </row>
    <row r="100" spans="1:8" x14ac:dyDescent="0.3">
      <c r="A100" s="3" t="s">
        <v>118</v>
      </c>
      <c r="B100" s="3" t="s">
        <v>146</v>
      </c>
      <c r="C100" s="3" t="s">
        <v>54</v>
      </c>
      <c r="D100" s="15">
        <f t="shared" si="34"/>
        <v>977.30108163945818</v>
      </c>
      <c r="E100" s="5">
        <v>28000</v>
      </c>
      <c r="F100" s="5">
        <v>54</v>
      </c>
      <c r="G100" s="6">
        <v>1.2</v>
      </c>
      <c r="H100" s="6">
        <f t="shared" si="35"/>
        <v>0.23713552703267954</v>
      </c>
    </row>
    <row r="101" spans="1:8" x14ac:dyDescent="0.3">
      <c r="A101" s="3" t="s">
        <v>118</v>
      </c>
      <c r="B101" s="3" t="s">
        <v>146</v>
      </c>
      <c r="C101" s="3" t="s">
        <v>54</v>
      </c>
      <c r="D101" s="15">
        <f t="shared" si="34"/>
        <v>977.30108163945818</v>
      </c>
      <c r="E101" s="5">
        <v>28000</v>
      </c>
      <c r="F101" s="5">
        <v>54</v>
      </c>
      <c r="G101" s="6">
        <v>1.2</v>
      </c>
      <c r="H101" s="6">
        <f t="shared" si="35"/>
        <v>0.23713552703267954</v>
      </c>
    </row>
    <row r="102" spans="1:8" x14ac:dyDescent="0.3">
      <c r="A102" s="3" t="s">
        <v>118</v>
      </c>
      <c r="B102" s="3" t="s">
        <v>146</v>
      </c>
      <c r="C102" s="3" t="s">
        <v>54</v>
      </c>
      <c r="D102" s="15">
        <f t="shared" si="34"/>
        <v>977.30108163945818</v>
      </c>
      <c r="E102" s="5">
        <v>28000</v>
      </c>
      <c r="F102" s="5">
        <v>54</v>
      </c>
      <c r="G102" s="6">
        <v>1.2</v>
      </c>
      <c r="H102" s="6">
        <f t="shared" si="35"/>
        <v>0.23713552703267954</v>
      </c>
    </row>
    <row r="103" spans="1:8" x14ac:dyDescent="0.3">
      <c r="A103" s="3" t="s">
        <v>118</v>
      </c>
      <c r="B103" s="3" t="s">
        <v>146</v>
      </c>
      <c r="C103" s="3" t="s">
        <v>54</v>
      </c>
      <c r="D103" s="15">
        <f t="shared" si="34"/>
        <v>977.30108163945818</v>
      </c>
      <c r="E103" s="5">
        <v>28000</v>
      </c>
      <c r="F103" s="5">
        <v>54</v>
      </c>
      <c r="G103" s="6">
        <v>1.2</v>
      </c>
      <c r="H103" s="6">
        <f t="shared" si="35"/>
        <v>0.23713552703267954</v>
      </c>
    </row>
    <row r="104" spans="1:8" x14ac:dyDescent="0.3">
      <c r="A104" s="3" t="s">
        <v>118</v>
      </c>
      <c r="B104" s="3" t="s">
        <v>146</v>
      </c>
      <c r="C104" s="3" t="s">
        <v>54</v>
      </c>
      <c r="D104" s="15">
        <f t="shared" si="34"/>
        <v>977.30108163945818</v>
      </c>
      <c r="E104" s="5">
        <v>28000</v>
      </c>
      <c r="F104" s="5">
        <v>54</v>
      </c>
      <c r="G104" s="6">
        <v>1.2</v>
      </c>
      <c r="H104" s="6">
        <f t="shared" si="35"/>
        <v>0.23713552703267954</v>
      </c>
    </row>
    <row r="105" spans="1:8" x14ac:dyDescent="0.3">
      <c r="A105" s="3" t="s">
        <v>118</v>
      </c>
      <c r="B105" s="3" t="s">
        <v>146</v>
      </c>
      <c r="C105" s="3" t="s">
        <v>54</v>
      </c>
      <c r="D105" s="15">
        <f t="shared" si="34"/>
        <v>977.30108163945818</v>
      </c>
      <c r="E105" s="5">
        <v>28000</v>
      </c>
      <c r="F105" s="5">
        <v>54</v>
      </c>
      <c r="G105" s="6">
        <v>1.2</v>
      </c>
      <c r="H105" s="6">
        <f t="shared" si="35"/>
        <v>0.23713552703267954</v>
      </c>
    </row>
    <row r="106" spans="1:8" x14ac:dyDescent="0.3">
      <c r="A106" s="3" t="s">
        <v>118</v>
      </c>
      <c r="B106" s="3" t="s">
        <v>146</v>
      </c>
      <c r="C106" s="3" t="s">
        <v>54</v>
      </c>
      <c r="D106" s="15">
        <f t="shared" si="34"/>
        <v>977.30108163945818</v>
      </c>
      <c r="E106" s="5">
        <v>28000</v>
      </c>
      <c r="F106" s="5">
        <v>54</v>
      </c>
      <c r="G106" s="6">
        <v>1.2</v>
      </c>
      <c r="H106" s="6">
        <f t="shared" si="35"/>
        <v>0.23713552703267954</v>
      </c>
    </row>
    <row r="107" spans="1:8" x14ac:dyDescent="0.3">
      <c r="A107" s="3" t="s">
        <v>118</v>
      </c>
      <c r="B107" s="3" t="s">
        <v>146</v>
      </c>
      <c r="C107" s="3" t="s">
        <v>54</v>
      </c>
      <c r="D107" s="15">
        <f t="shared" si="34"/>
        <v>977.30108163945818</v>
      </c>
      <c r="E107" s="5">
        <v>28000</v>
      </c>
      <c r="F107" s="5">
        <v>54</v>
      </c>
      <c r="G107" s="6">
        <v>1.2</v>
      </c>
      <c r="H107" s="6">
        <f t="shared" si="35"/>
        <v>0.23713552703267954</v>
      </c>
    </row>
    <row r="108" spans="1:8" x14ac:dyDescent="0.3">
      <c r="A108" s="3" t="s">
        <v>118</v>
      </c>
      <c r="B108" s="3" t="s">
        <v>146</v>
      </c>
      <c r="C108" s="3" t="s">
        <v>54</v>
      </c>
      <c r="D108" s="15">
        <f t="shared" si="34"/>
        <v>977.30108163945818</v>
      </c>
      <c r="E108" s="5">
        <v>28000</v>
      </c>
      <c r="F108" s="5">
        <v>54</v>
      </c>
      <c r="G108" s="6">
        <v>1.2</v>
      </c>
      <c r="H108" s="6">
        <f t="shared" si="35"/>
        <v>0.23713552703267954</v>
      </c>
    </row>
    <row r="109" spans="1:8" x14ac:dyDescent="0.3">
      <c r="A109" s="3" t="s">
        <v>118</v>
      </c>
      <c r="B109" s="3" t="s">
        <v>146</v>
      </c>
      <c r="C109" s="3" t="s">
        <v>54</v>
      </c>
      <c r="D109" s="15">
        <f t="shared" si="34"/>
        <v>977.30108163945818</v>
      </c>
      <c r="E109" s="5">
        <v>28000</v>
      </c>
      <c r="F109" s="5">
        <v>54</v>
      </c>
      <c r="G109" s="6">
        <v>1.2</v>
      </c>
      <c r="H109" s="6">
        <f t="shared" si="35"/>
        <v>0.23713552703267954</v>
      </c>
    </row>
    <row r="110" spans="1:8" x14ac:dyDescent="0.3">
      <c r="A110" s="3" t="s">
        <v>118</v>
      </c>
      <c r="B110" s="3" t="s">
        <v>146</v>
      </c>
      <c r="C110" s="3" t="s">
        <v>54</v>
      </c>
      <c r="D110" s="15">
        <f t="shared" si="34"/>
        <v>977.30108163945818</v>
      </c>
      <c r="E110" s="5">
        <v>28000</v>
      </c>
      <c r="F110" s="5">
        <v>54</v>
      </c>
      <c r="G110" s="6">
        <v>1.2</v>
      </c>
      <c r="H110" s="6">
        <f t="shared" si="35"/>
        <v>0.23713552703267954</v>
      </c>
    </row>
    <row r="111" spans="1:8" x14ac:dyDescent="0.3">
      <c r="A111" s="3" t="s">
        <v>118</v>
      </c>
      <c r="B111" s="3" t="s">
        <v>146</v>
      </c>
      <c r="C111" s="3" t="s">
        <v>54</v>
      </c>
      <c r="D111" s="15">
        <f t="shared" si="34"/>
        <v>977.30108163945818</v>
      </c>
      <c r="E111" s="5">
        <v>28000</v>
      </c>
      <c r="F111" s="5">
        <v>54</v>
      </c>
      <c r="G111" s="6">
        <v>1.2</v>
      </c>
      <c r="H111" s="6">
        <f t="shared" si="35"/>
        <v>0.23713552703267954</v>
      </c>
    </row>
    <row r="112" spans="1:8" x14ac:dyDescent="0.3">
      <c r="A112" s="3" t="s">
        <v>118</v>
      </c>
      <c r="B112" s="3" t="s">
        <v>146</v>
      </c>
      <c r="C112" s="3" t="s">
        <v>54</v>
      </c>
      <c r="D112" s="15">
        <f t="shared" si="34"/>
        <v>977.30108163945818</v>
      </c>
      <c r="E112" s="5">
        <v>28000</v>
      </c>
      <c r="F112" s="5">
        <v>54</v>
      </c>
      <c r="G112" s="6">
        <v>1.2</v>
      </c>
      <c r="H112" s="6">
        <f t="shared" si="35"/>
        <v>0.23713552703267954</v>
      </c>
    </row>
    <row r="113" spans="1:8" x14ac:dyDescent="0.3">
      <c r="A113" s="3" t="s">
        <v>118</v>
      </c>
      <c r="B113" s="3" t="s">
        <v>146</v>
      </c>
      <c r="C113" s="3" t="s">
        <v>54</v>
      </c>
      <c r="D113" s="15">
        <f t="shared" si="34"/>
        <v>977.30108163945818</v>
      </c>
      <c r="E113" s="5">
        <v>28000</v>
      </c>
      <c r="F113" s="5">
        <v>54</v>
      </c>
      <c r="G113" s="6">
        <v>1.2</v>
      </c>
      <c r="H113" s="6">
        <f t="shared" si="35"/>
        <v>0.23713552703267954</v>
      </c>
    </row>
    <row r="114" spans="1:8" x14ac:dyDescent="0.3">
      <c r="A114" s="3" t="s">
        <v>118</v>
      </c>
      <c r="B114" s="3" t="s">
        <v>146</v>
      </c>
      <c r="C114" s="3" t="s">
        <v>54</v>
      </c>
      <c r="D114" s="15">
        <f t="shared" si="34"/>
        <v>977.30108163945818</v>
      </c>
      <c r="E114" s="5">
        <v>28000</v>
      </c>
      <c r="F114" s="5">
        <v>54</v>
      </c>
      <c r="G114" s="6">
        <v>1.2</v>
      </c>
      <c r="H114" s="6">
        <f t="shared" si="35"/>
        <v>0.23713552703267954</v>
      </c>
    </row>
    <row r="115" spans="1:8" x14ac:dyDescent="0.3">
      <c r="A115" s="3" t="s">
        <v>118</v>
      </c>
      <c r="B115" s="3" t="s">
        <v>146</v>
      </c>
      <c r="C115" s="3" t="s">
        <v>54</v>
      </c>
      <c r="D115" s="15">
        <f t="shared" si="34"/>
        <v>977.30108163945818</v>
      </c>
      <c r="E115" s="5">
        <v>28000</v>
      </c>
      <c r="F115" s="5">
        <v>54</v>
      </c>
      <c r="G115" s="6">
        <v>1.2</v>
      </c>
      <c r="H115" s="6">
        <f t="shared" si="35"/>
        <v>0.23713552703267954</v>
      </c>
    </row>
    <row r="116" spans="1:8" x14ac:dyDescent="0.3">
      <c r="A116" s="3" t="s">
        <v>118</v>
      </c>
      <c r="B116" s="3" t="s">
        <v>146</v>
      </c>
      <c r="C116" s="3" t="s">
        <v>54</v>
      </c>
      <c r="D116" s="15">
        <f t="shared" si="34"/>
        <v>977.30108163945818</v>
      </c>
      <c r="E116" s="5">
        <v>28000</v>
      </c>
      <c r="F116" s="5">
        <v>54</v>
      </c>
      <c r="G116" s="6">
        <v>1.2</v>
      </c>
      <c r="H116" s="6">
        <f t="shared" si="35"/>
        <v>0.23713552703267954</v>
      </c>
    </row>
    <row r="117" spans="1:8" x14ac:dyDescent="0.3">
      <c r="A117" s="3" t="s">
        <v>118</v>
      </c>
      <c r="B117" s="3" t="s">
        <v>146</v>
      </c>
      <c r="C117" s="3" t="s">
        <v>54</v>
      </c>
      <c r="D117" s="15">
        <f t="shared" si="34"/>
        <v>977.30108163945818</v>
      </c>
      <c r="E117" s="5">
        <v>28000</v>
      </c>
      <c r="F117" s="5">
        <v>54</v>
      </c>
      <c r="G117" s="6">
        <v>1.2</v>
      </c>
      <c r="H117" s="6">
        <f t="shared" si="35"/>
        <v>0.23713552703267954</v>
      </c>
    </row>
    <row r="118" spans="1:8" x14ac:dyDescent="0.3">
      <c r="A118" s="3" t="s">
        <v>118</v>
      </c>
      <c r="B118" s="3" t="s">
        <v>146</v>
      </c>
      <c r="C118" s="3" t="s">
        <v>54</v>
      </c>
      <c r="D118" s="15">
        <f t="shared" si="34"/>
        <v>977.30108163945818</v>
      </c>
      <c r="E118" s="5">
        <v>28000</v>
      </c>
      <c r="F118" s="5">
        <v>54</v>
      </c>
      <c r="G118" s="6">
        <v>1.2</v>
      </c>
      <c r="H118" s="6">
        <f t="shared" si="35"/>
        <v>0.23713552703267954</v>
      </c>
    </row>
    <row r="119" spans="1:8" x14ac:dyDescent="0.3">
      <c r="A119" s="3" t="s">
        <v>118</v>
      </c>
      <c r="B119" s="3" t="s">
        <v>146</v>
      </c>
      <c r="C119" s="3" t="s">
        <v>54</v>
      </c>
      <c r="D119" s="15">
        <f t="shared" si="34"/>
        <v>977.30108163945818</v>
      </c>
      <c r="E119" s="5">
        <v>28000</v>
      </c>
      <c r="F119" s="5">
        <v>54</v>
      </c>
      <c r="G119" s="6">
        <v>1.2</v>
      </c>
      <c r="H119" s="6">
        <f t="shared" si="35"/>
        <v>0.23713552703267954</v>
      </c>
    </row>
    <row r="120" spans="1:8" x14ac:dyDescent="0.3">
      <c r="A120" s="3" t="s">
        <v>118</v>
      </c>
      <c r="B120" s="3" t="s">
        <v>146</v>
      </c>
      <c r="C120" s="3" t="s">
        <v>54</v>
      </c>
      <c r="D120" s="15">
        <f t="shared" si="34"/>
        <v>977.30108163945818</v>
      </c>
      <c r="E120" s="5">
        <v>28000</v>
      </c>
      <c r="F120" s="5">
        <v>54</v>
      </c>
      <c r="G120" s="6">
        <v>1.2</v>
      </c>
      <c r="H120" s="6">
        <f t="shared" si="35"/>
        <v>0.23713552703267954</v>
      </c>
    </row>
    <row r="121" spans="1:8" x14ac:dyDescent="0.3">
      <c r="A121" s="3" t="s">
        <v>118</v>
      </c>
      <c r="B121" s="3" t="s">
        <v>146</v>
      </c>
      <c r="C121" s="3" t="s">
        <v>54</v>
      </c>
      <c r="D121" s="15">
        <f t="shared" si="34"/>
        <v>977.30108163945818</v>
      </c>
      <c r="E121" s="5">
        <v>28000</v>
      </c>
      <c r="F121" s="5">
        <v>54</v>
      </c>
      <c r="G121" s="6">
        <v>1.2</v>
      </c>
      <c r="H121" s="6">
        <f t="shared" si="35"/>
        <v>0.23713552703267954</v>
      </c>
    </row>
    <row r="122" spans="1:8" x14ac:dyDescent="0.3">
      <c r="A122" s="3" t="s">
        <v>118</v>
      </c>
      <c r="B122" s="3" t="s">
        <v>146</v>
      </c>
      <c r="C122" s="3" t="s">
        <v>54</v>
      </c>
      <c r="D122" s="15">
        <f t="shared" si="34"/>
        <v>977.30108163945818</v>
      </c>
      <c r="E122" s="5">
        <v>28000</v>
      </c>
      <c r="F122" s="5">
        <v>54</v>
      </c>
      <c r="G122" s="6">
        <v>1.2</v>
      </c>
      <c r="H122" s="6">
        <f t="shared" si="35"/>
        <v>0.23713552703267954</v>
      </c>
    </row>
    <row r="123" spans="1:8" x14ac:dyDescent="0.3">
      <c r="A123" s="3" t="s">
        <v>118</v>
      </c>
      <c r="B123" s="3" t="s">
        <v>146</v>
      </c>
      <c r="C123" s="3" t="s">
        <v>54</v>
      </c>
      <c r="D123" s="15">
        <f t="shared" si="34"/>
        <v>977.30108163945818</v>
      </c>
      <c r="E123" s="5">
        <v>28000</v>
      </c>
      <c r="F123" s="5">
        <v>54</v>
      </c>
      <c r="G123" s="6">
        <v>1.2</v>
      </c>
      <c r="H123" s="6">
        <f t="shared" si="35"/>
        <v>0.23713552703267954</v>
      </c>
    </row>
    <row r="124" spans="1:8" x14ac:dyDescent="0.3">
      <c r="A124" s="3" t="s">
        <v>126</v>
      </c>
      <c r="B124" s="3" t="s">
        <v>146</v>
      </c>
      <c r="C124" s="3" t="s">
        <v>54</v>
      </c>
      <c r="D124" s="15">
        <f>84320.27239262/85</f>
        <v>992.00320461905881</v>
      </c>
      <c r="E124" s="5">
        <v>28000</v>
      </c>
      <c r="F124" s="5">
        <v>54</v>
      </c>
      <c r="G124" s="6">
        <v>1.2</v>
      </c>
      <c r="H124" s="6">
        <f t="shared" si="26"/>
        <v>0.24091656447163759</v>
      </c>
    </row>
    <row r="125" spans="1:8" x14ac:dyDescent="0.3">
      <c r="A125" s="3" t="s">
        <v>126</v>
      </c>
      <c r="B125" s="3" t="s">
        <v>146</v>
      </c>
      <c r="C125" s="3" t="s">
        <v>54</v>
      </c>
      <c r="D125" s="15">
        <f t="shared" ref="D125:D188" si="36">84320.27239262/85</f>
        <v>992.00320461905881</v>
      </c>
      <c r="E125" s="5">
        <v>28000</v>
      </c>
      <c r="F125" s="5">
        <v>54</v>
      </c>
      <c r="G125" s="6">
        <v>1.2</v>
      </c>
      <c r="H125" s="6">
        <f t="shared" ref="H125:H188" si="37">(E125+(F125*(D125^G125)))/1000000</f>
        <v>0.24091656447163759</v>
      </c>
    </row>
    <row r="126" spans="1:8" x14ac:dyDescent="0.3">
      <c r="A126" s="3" t="s">
        <v>126</v>
      </c>
      <c r="B126" s="3" t="s">
        <v>146</v>
      </c>
      <c r="C126" s="3" t="s">
        <v>54</v>
      </c>
      <c r="D126" s="15">
        <f t="shared" si="36"/>
        <v>992.00320461905881</v>
      </c>
      <c r="E126" s="5">
        <v>28000</v>
      </c>
      <c r="F126" s="5">
        <v>54</v>
      </c>
      <c r="G126" s="6">
        <v>1.2</v>
      </c>
      <c r="H126" s="6">
        <f t="shared" si="37"/>
        <v>0.24091656447163759</v>
      </c>
    </row>
    <row r="127" spans="1:8" x14ac:dyDescent="0.3">
      <c r="A127" s="3" t="s">
        <v>126</v>
      </c>
      <c r="B127" s="3" t="s">
        <v>146</v>
      </c>
      <c r="C127" s="3" t="s">
        <v>54</v>
      </c>
      <c r="D127" s="15">
        <f t="shared" si="36"/>
        <v>992.00320461905881</v>
      </c>
      <c r="E127" s="5">
        <v>28000</v>
      </c>
      <c r="F127" s="5">
        <v>54</v>
      </c>
      <c r="G127" s="6">
        <v>1.2</v>
      </c>
      <c r="H127" s="6">
        <f t="shared" si="37"/>
        <v>0.24091656447163759</v>
      </c>
    </row>
    <row r="128" spans="1:8" x14ac:dyDescent="0.3">
      <c r="A128" s="3" t="s">
        <v>126</v>
      </c>
      <c r="B128" s="3" t="s">
        <v>146</v>
      </c>
      <c r="C128" s="3" t="s">
        <v>54</v>
      </c>
      <c r="D128" s="15">
        <f t="shared" si="36"/>
        <v>992.00320461905881</v>
      </c>
      <c r="E128" s="5">
        <v>28000</v>
      </c>
      <c r="F128" s="5">
        <v>54</v>
      </c>
      <c r="G128" s="6">
        <v>1.2</v>
      </c>
      <c r="H128" s="6">
        <f t="shared" si="37"/>
        <v>0.24091656447163759</v>
      </c>
    </row>
    <row r="129" spans="1:8" x14ac:dyDescent="0.3">
      <c r="A129" s="3" t="s">
        <v>126</v>
      </c>
      <c r="B129" s="3" t="s">
        <v>146</v>
      </c>
      <c r="C129" s="3" t="s">
        <v>54</v>
      </c>
      <c r="D129" s="15">
        <f t="shared" si="36"/>
        <v>992.00320461905881</v>
      </c>
      <c r="E129" s="5">
        <v>28000</v>
      </c>
      <c r="F129" s="5">
        <v>54</v>
      </c>
      <c r="G129" s="6">
        <v>1.2</v>
      </c>
      <c r="H129" s="6">
        <f t="shared" si="37"/>
        <v>0.24091656447163759</v>
      </c>
    </row>
    <row r="130" spans="1:8" x14ac:dyDescent="0.3">
      <c r="A130" s="3" t="s">
        <v>126</v>
      </c>
      <c r="B130" s="3" t="s">
        <v>146</v>
      </c>
      <c r="C130" s="3" t="s">
        <v>54</v>
      </c>
      <c r="D130" s="15">
        <f t="shared" si="36"/>
        <v>992.00320461905881</v>
      </c>
      <c r="E130" s="5">
        <v>28000</v>
      </c>
      <c r="F130" s="5">
        <v>54</v>
      </c>
      <c r="G130" s="6">
        <v>1.2</v>
      </c>
      <c r="H130" s="6">
        <f t="shared" si="37"/>
        <v>0.24091656447163759</v>
      </c>
    </row>
    <row r="131" spans="1:8" x14ac:dyDescent="0.3">
      <c r="A131" s="3" t="s">
        <v>126</v>
      </c>
      <c r="B131" s="3" t="s">
        <v>146</v>
      </c>
      <c r="C131" s="3" t="s">
        <v>54</v>
      </c>
      <c r="D131" s="15">
        <f t="shared" si="36"/>
        <v>992.00320461905881</v>
      </c>
      <c r="E131" s="5">
        <v>28000</v>
      </c>
      <c r="F131" s="5">
        <v>54</v>
      </c>
      <c r="G131" s="6">
        <v>1.2</v>
      </c>
      <c r="H131" s="6">
        <f t="shared" si="37"/>
        <v>0.24091656447163759</v>
      </c>
    </row>
    <row r="132" spans="1:8" x14ac:dyDescent="0.3">
      <c r="A132" s="3" t="s">
        <v>126</v>
      </c>
      <c r="B132" s="3" t="s">
        <v>146</v>
      </c>
      <c r="C132" s="3" t="s">
        <v>54</v>
      </c>
      <c r="D132" s="15">
        <f t="shared" si="36"/>
        <v>992.00320461905881</v>
      </c>
      <c r="E132" s="5">
        <v>28000</v>
      </c>
      <c r="F132" s="5">
        <v>54</v>
      </c>
      <c r="G132" s="6">
        <v>1.2</v>
      </c>
      <c r="H132" s="6">
        <f t="shared" si="37"/>
        <v>0.24091656447163759</v>
      </c>
    </row>
    <row r="133" spans="1:8" x14ac:dyDescent="0.3">
      <c r="A133" s="3" t="s">
        <v>126</v>
      </c>
      <c r="B133" s="3" t="s">
        <v>146</v>
      </c>
      <c r="C133" s="3" t="s">
        <v>54</v>
      </c>
      <c r="D133" s="15">
        <f t="shared" si="36"/>
        <v>992.00320461905881</v>
      </c>
      <c r="E133" s="5">
        <v>28000</v>
      </c>
      <c r="F133" s="5">
        <v>54</v>
      </c>
      <c r="G133" s="6">
        <v>1.2</v>
      </c>
      <c r="H133" s="6">
        <f t="shared" si="37"/>
        <v>0.24091656447163759</v>
      </c>
    </row>
    <row r="134" spans="1:8" x14ac:dyDescent="0.3">
      <c r="A134" s="3" t="s">
        <v>126</v>
      </c>
      <c r="B134" s="3" t="s">
        <v>146</v>
      </c>
      <c r="C134" s="3" t="s">
        <v>54</v>
      </c>
      <c r="D134" s="15">
        <f t="shared" si="36"/>
        <v>992.00320461905881</v>
      </c>
      <c r="E134" s="5">
        <v>28000</v>
      </c>
      <c r="F134" s="5">
        <v>54</v>
      </c>
      <c r="G134" s="6">
        <v>1.2</v>
      </c>
      <c r="H134" s="6">
        <f t="shared" si="37"/>
        <v>0.24091656447163759</v>
      </c>
    </row>
    <row r="135" spans="1:8" x14ac:dyDescent="0.3">
      <c r="A135" s="3" t="s">
        <v>126</v>
      </c>
      <c r="B135" s="3" t="s">
        <v>146</v>
      </c>
      <c r="C135" s="3" t="s">
        <v>54</v>
      </c>
      <c r="D135" s="15">
        <f t="shared" si="36"/>
        <v>992.00320461905881</v>
      </c>
      <c r="E135" s="5">
        <v>28000</v>
      </c>
      <c r="F135" s="5">
        <v>54</v>
      </c>
      <c r="G135" s="6">
        <v>1.2</v>
      </c>
      <c r="H135" s="6">
        <f t="shared" si="37"/>
        <v>0.24091656447163759</v>
      </c>
    </row>
    <row r="136" spans="1:8" x14ac:dyDescent="0.3">
      <c r="A136" s="3" t="s">
        <v>126</v>
      </c>
      <c r="B136" s="3" t="s">
        <v>146</v>
      </c>
      <c r="C136" s="3" t="s">
        <v>54</v>
      </c>
      <c r="D136" s="15">
        <f t="shared" si="36"/>
        <v>992.00320461905881</v>
      </c>
      <c r="E136" s="5">
        <v>28000</v>
      </c>
      <c r="F136" s="5">
        <v>54</v>
      </c>
      <c r="G136" s="6">
        <v>1.2</v>
      </c>
      <c r="H136" s="6">
        <f t="shared" si="37"/>
        <v>0.24091656447163759</v>
      </c>
    </row>
    <row r="137" spans="1:8" x14ac:dyDescent="0.3">
      <c r="A137" s="3" t="s">
        <v>126</v>
      </c>
      <c r="B137" s="3" t="s">
        <v>146</v>
      </c>
      <c r="C137" s="3" t="s">
        <v>54</v>
      </c>
      <c r="D137" s="15">
        <f t="shared" si="36"/>
        <v>992.00320461905881</v>
      </c>
      <c r="E137" s="5">
        <v>28000</v>
      </c>
      <c r="F137" s="5">
        <v>54</v>
      </c>
      <c r="G137" s="6">
        <v>1.2</v>
      </c>
      <c r="H137" s="6">
        <f t="shared" si="37"/>
        <v>0.24091656447163759</v>
      </c>
    </row>
    <row r="138" spans="1:8" x14ac:dyDescent="0.3">
      <c r="A138" s="3" t="s">
        <v>126</v>
      </c>
      <c r="B138" s="3" t="s">
        <v>146</v>
      </c>
      <c r="C138" s="3" t="s">
        <v>54</v>
      </c>
      <c r="D138" s="15">
        <f t="shared" si="36"/>
        <v>992.00320461905881</v>
      </c>
      <c r="E138" s="5">
        <v>28000</v>
      </c>
      <c r="F138" s="5">
        <v>54</v>
      </c>
      <c r="G138" s="6">
        <v>1.2</v>
      </c>
      <c r="H138" s="6">
        <f t="shared" si="37"/>
        <v>0.24091656447163759</v>
      </c>
    </row>
    <row r="139" spans="1:8" x14ac:dyDescent="0.3">
      <c r="A139" s="3" t="s">
        <v>126</v>
      </c>
      <c r="B139" s="3" t="s">
        <v>146</v>
      </c>
      <c r="C139" s="3" t="s">
        <v>54</v>
      </c>
      <c r="D139" s="15">
        <f t="shared" si="36"/>
        <v>992.00320461905881</v>
      </c>
      <c r="E139" s="5">
        <v>28000</v>
      </c>
      <c r="F139" s="5">
        <v>54</v>
      </c>
      <c r="G139" s="6">
        <v>1.2</v>
      </c>
      <c r="H139" s="6">
        <f t="shared" si="37"/>
        <v>0.24091656447163759</v>
      </c>
    </row>
    <row r="140" spans="1:8" x14ac:dyDescent="0.3">
      <c r="A140" s="3" t="s">
        <v>126</v>
      </c>
      <c r="B140" s="3" t="s">
        <v>146</v>
      </c>
      <c r="C140" s="3" t="s">
        <v>54</v>
      </c>
      <c r="D140" s="15">
        <f t="shared" si="36"/>
        <v>992.00320461905881</v>
      </c>
      <c r="E140" s="5">
        <v>28000</v>
      </c>
      <c r="F140" s="5">
        <v>54</v>
      </c>
      <c r="G140" s="6">
        <v>1.2</v>
      </c>
      <c r="H140" s="6">
        <f t="shared" si="37"/>
        <v>0.24091656447163759</v>
      </c>
    </row>
    <row r="141" spans="1:8" x14ac:dyDescent="0.3">
      <c r="A141" s="3" t="s">
        <v>126</v>
      </c>
      <c r="B141" s="3" t="s">
        <v>146</v>
      </c>
      <c r="C141" s="3" t="s">
        <v>54</v>
      </c>
      <c r="D141" s="15">
        <f t="shared" si="36"/>
        <v>992.00320461905881</v>
      </c>
      <c r="E141" s="5">
        <v>28000</v>
      </c>
      <c r="F141" s="5">
        <v>54</v>
      </c>
      <c r="G141" s="6">
        <v>1.2</v>
      </c>
      <c r="H141" s="6">
        <f t="shared" si="37"/>
        <v>0.24091656447163759</v>
      </c>
    </row>
    <row r="142" spans="1:8" x14ac:dyDescent="0.3">
      <c r="A142" s="3" t="s">
        <v>126</v>
      </c>
      <c r="B142" s="3" t="s">
        <v>146</v>
      </c>
      <c r="C142" s="3" t="s">
        <v>54</v>
      </c>
      <c r="D142" s="15">
        <f t="shared" si="36"/>
        <v>992.00320461905881</v>
      </c>
      <c r="E142" s="5">
        <v>28000</v>
      </c>
      <c r="F142" s="5">
        <v>54</v>
      </c>
      <c r="G142" s="6">
        <v>1.2</v>
      </c>
      <c r="H142" s="6">
        <f t="shared" si="37"/>
        <v>0.24091656447163759</v>
      </c>
    </row>
    <row r="143" spans="1:8" x14ac:dyDescent="0.3">
      <c r="A143" s="3" t="s">
        <v>126</v>
      </c>
      <c r="B143" s="3" t="s">
        <v>146</v>
      </c>
      <c r="C143" s="3" t="s">
        <v>54</v>
      </c>
      <c r="D143" s="15">
        <f t="shared" si="36"/>
        <v>992.00320461905881</v>
      </c>
      <c r="E143" s="5">
        <v>28000</v>
      </c>
      <c r="F143" s="5">
        <v>54</v>
      </c>
      <c r="G143" s="6">
        <v>1.2</v>
      </c>
      <c r="H143" s="6">
        <f t="shared" si="37"/>
        <v>0.24091656447163759</v>
      </c>
    </row>
    <row r="144" spans="1:8" x14ac:dyDescent="0.3">
      <c r="A144" s="3" t="s">
        <v>126</v>
      </c>
      <c r="B144" s="3" t="s">
        <v>146</v>
      </c>
      <c r="C144" s="3" t="s">
        <v>54</v>
      </c>
      <c r="D144" s="15">
        <f t="shared" si="36"/>
        <v>992.00320461905881</v>
      </c>
      <c r="E144" s="5">
        <v>28000</v>
      </c>
      <c r="F144" s="5">
        <v>54</v>
      </c>
      <c r="G144" s="6">
        <v>1.2</v>
      </c>
      <c r="H144" s="6">
        <f t="shared" si="37"/>
        <v>0.24091656447163759</v>
      </c>
    </row>
    <row r="145" spans="1:8" x14ac:dyDescent="0.3">
      <c r="A145" s="3" t="s">
        <v>126</v>
      </c>
      <c r="B145" s="3" t="s">
        <v>146</v>
      </c>
      <c r="C145" s="3" t="s">
        <v>54</v>
      </c>
      <c r="D145" s="15">
        <f t="shared" si="36"/>
        <v>992.00320461905881</v>
      </c>
      <c r="E145" s="5">
        <v>28000</v>
      </c>
      <c r="F145" s="5">
        <v>54</v>
      </c>
      <c r="G145" s="6">
        <v>1.2</v>
      </c>
      <c r="H145" s="6">
        <f t="shared" si="37"/>
        <v>0.24091656447163759</v>
      </c>
    </row>
    <row r="146" spans="1:8" x14ac:dyDescent="0.3">
      <c r="A146" s="3" t="s">
        <v>126</v>
      </c>
      <c r="B146" s="3" t="s">
        <v>146</v>
      </c>
      <c r="C146" s="3" t="s">
        <v>54</v>
      </c>
      <c r="D146" s="15">
        <f t="shared" si="36"/>
        <v>992.00320461905881</v>
      </c>
      <c r="E146" s="5">
        <v>28000</v>
      </c>
      <c r="F146" s="5">
        <v>54</v>
      </c>
      <c r="G146" s="6">
        <v>1.2</v>
      </c>
      <c r="H146" s="6">
        <f t="shared" si="37"/>
        <v>0.24091656447163759</v>
      </c>
    </row>
    <row r="147" spans="1:8" x14ac:dyDescent="0.3">
      <c r="A147" s="3" t="s">
        <v>126</v>
      </c>
      <c r="B147" s="3" t="s">
        <v>146</v>
      </c>
      <c r="C147" s="3" t="s">
        <v>54</v>
      </c>
      <c r="D147" s="15">
        <f t="shared" si="36"/>
        <v>992.00320461905881</v>
      </c>
      <c r="E147" s="5">
        <v>28000</v>
      </c>
      <c r="F147" s="5">
        <v>54</v>
      </c>
      <c r="G147" s="6">
        <v>1.2</v>
      </c>
      <c r="H147" s="6">
        <f t="shared" si="37"/>
        <v>0.24091656447163759</v>
      </c>
    </row>
    <row r="148" spans="1:8" x14ac:dyDescent="0.3">
      <c r="A148" s="3" t="s">
        <v>126</v>
      </c>
      <c r="B148" s="3" t="s">
        <v>146</v>
      </c>
      <c r="C148" s="3" t="s">
        <v>54</v>
      </c>
      <c r="D148" s="15">
        <f t="shared" si="36"/>
        <v>992.00320461905881</v>
      </c>
      <c r="E148" s="5">
        <v>28000</v>
      </c>
      <c r="F148" s="5">
        <v>54</v>
      </c>
      <c r="G148" s="6">
        <v>1.2</v>
      </c>
      <c r="H148" s="6">
        <f t="shared" si="37"/>
        <v>0.24091656447163759</v>
      </c>
    </row>
    <row r="149" spans="1:8" x14ac:dyDescent="0.3">
      <c r="A149" s="3" t="s">
        <v>126</v>
      </c>
      <c r="B149" s="3" t="s">
        <v>146</v>
      </c>
      <c r="C149" s="3" t="s">
        <v>54</v>
      </c>
      <c r="D149" s="15">
        <f t="shared" si="36"/>
        <v>992.00320461905881</v>
      </c>
      <c r="E149" s="5">
        <v>28000</v>
      </c>
      <c r="F149" s="5">
        <v>54</v>
      </c>
      <c r="G149" s="6">
        <v>1.2</v>
      </c>
      <c r="H149" s="6">
        <f t="shared" si="37"/>
        <v>0.24091656447163759</v>
      </c>
    </row>
    <row r="150" spans="1:8" x14ac:dyDescent="0.3">
      <c r="A150" s="3" t="s">
        <v>126</v>
      </c>
      <c r="B150" s="3" t="s">
        <v>146</v>
      </c>
      <c r="C150" s="3" t="s">
        <v>54</v>
      </c>
      <c r="D150" s="15">
        <f t="shared" si="36"/>
        <v>992.00320461905881</v>
      </c>
      <c r="E150" s="5">
        <v>28000</v>
      </c>
      <c r="F150" s="5">
        <v>54</v>
      </c>
      <c r="G150" s="6">
        <v>1.2</v>
      </c>
      <c r="H150" s="6">
        <f t="shared" si="37"/>
        <v>0.24091656447163759</v>
      </c>
    </row>
    <row r="151" spans="1:8" x14ac:dyDescent="0.3">
      <c r="A151" s="3" t="s">
        <v>126</v>
      </c>
      <c r="B151" s="3" t="s">
        <v>146</v>
      </c>
      <c r="C151" s="3" t="s">
        <v>54</v>
      </c>
      <c r="D151" s="15">
        <f t="shared" si="36"/>
        <v>992.00320461905881</v>
      </c>
      <c r="E151" s="5">
        <v>28000</v>
      </c>
      <c r="F151" s="5">
        <v>54</v>
      </c>
      <c r="G151" s="6">
        <v>1.2</v>
      </c>
      <c r="H151" s="6">
        <f t="shared" si="37"/>
        <v>0.24091656447163759</v>
      </c>
    </row>
    <row r="152" spans="1:8" x14ac:dyDescent="0.3">
      <c r="A152" s="3" t="s">
        <v>126</v>
      </c>
      <c r="B152" s="3" t="s">
        <v>146</v>
      </c>
      <c r="C152" s="3" t="s">
        <v>54</v>
      </c>
      <c r="D152" s="15">
        <f t="shared" si="36"/>
        <v>992.00320461905881</v>
      </c>
      <c r="E152" s="5">
        <v>28000</v>
      </c>
      <c r="F152" s="5">
        <v>54</v>
      </c>
      <c r="G152" s="6">
        <v>1.2</v>
      </c>
      <c r="H152" s="6">
        <f t="shared" si="37"/>
        <v>0.24091656447163759</v>
      </c>
    </row>
    <row r="153" spans="1:8" x14ac:dyDescent="0.3">
      <c r="A153" s="3" t="s">
        <v>126</v>
      </c>
      <c r="B153" s="3" t="s">
        <v>146</v>
      </c>
      <c r="C153" s="3" t="s">
        <v>54</v>
      </c>
      <c r="D153" s="15">
        <f t="shared" si="36"/>
        <v>992.00320461905881</v>
      </c>
      <c r="E153" s="5">
        <v>28000</v>
      </c>
      <c r="F153" s="5">
        <v>54</v>
      </c>
      <c r="G153" s="6">
        <v>1.2</v>
      </c>
      <c r="H153" s="6">
        <f t="shared" si="37"/>
        <v>0.24091656447163759</v>
      </c>
    </row>
    <row r="154" spans="1:8" x14ac:dyDescent="0.3">
      <c r="A154" s="3" t="s">
        <v>126</v>
      </c>
      <c r="B154" s="3" t="s">
        <v>146</v>
      </c>
      <c r="C154" s="3" t="s">
        <v>54</v>
      </c>
      <c r="D154" s="15">
        <f t="shared" si="36"/>
        <v>992.00320461905881</v>
      </c>
      <c r="E154" s="5">
        <v>28000</v>
      </c>
      <c r="F154" s="5">
        <v>54</v>
      </c>
      <c r="G154" s="6">
        <v>1.2</v>
      </c>
      <c r="H154" s="6">
        <f t="shared" si="37"/>
        <v>0.24091656447163759</v>
      </c>
    </row>
    <row r="155" spans="1:8" x14ac:dyDescent="0.3">
      <c r="A155" s="3" t="s">
        <v>126</v>
      </c>
      <c r="B155" s="3" t="s">
        <v>146</v>
      </c>
      <c r="C155" s="3" t="s">
        <v>54</v>
      </c>
      <c r="D155" s="15">
        <f t="shared" si="36"/>
        <v>992.00320461905881</v>
      </c>
      <c r="E155" s="5">
        <v>28000</v>
      </c>
      <c r="F155" s="5">
        <v>54</v>
      </c>
      <c r="G155" s="6">
        <v>1.2</v>
      </c>
      <c r="H155" s="6">
        <f t="shared" si="37"/>
        <v>0.24091656447163759</v>
      </c>
    </row>
    <row r="156" spans="1:8" x14ac:dyDescent="0.3">
      <c r="A156" s="3" t="s">
        <v>126</v>
      </c>
      <c r="B156" s="3" t="s">
        <v>146</v>
      </c>
      <c r="C156" s="3" t="s">
        <v>54</v>
      </c>
      <c r="D156" s="15">
        <f t="shared" si="36"/>
        <v>992.00320461905881</v>
      </c>
      <c r="E156" s="5">
        <v>28000</v>
      </c>
      <c r="F156" s="5">
        <v>54</v>
      </c>
      <c r="G156" s="6">
        <v>1.2</v>
      </c>
      <c r="H156" s="6">
        <f t="shared" si="37"/>
        <v>0.24091656447163759</v>
      </c>
    </row>
    <row r="157" spans="1:8" x14ac:dyDescent="0.3">
      <c r="A157" s="3" t="s">
        <v>126</v>
      </c>
      <c r="B157" s="3" t="s">
        <v>146</v>
      </c>
      <c r="C157" s="3" t="s">
        <v>54</v>
      </c>
      <c r="D157" s="15">
        <f t="shared" si="36"/>
        <v>992.00320461905881</v>
      </c>
      <c r="E157" s="5">
        <v>28000</v>
      </c>
      <c r="F157" s="5">
        <v>54</v>
      </c>
      <c r="G157" s="6">
        <v>1.2</v>
      </c>
      <c r="H157" s="6">
        <f t="shared" si="37"/>
        <v>0.24091656447163759</v>
      </c>
    </row>
    <row r="158" spans="1:8" x14ac:dyDescent="0.3">
      <c r="A158" s="3" t="s">
        <v>126</v>
      </c>
      <c r="B158" s="3" t="s">
        <v>146</v>
      </c>
      <c r="C158" s="3" t="s">
        <v>54</v>
      </c>
      <c r="D158" s="15">
        <f t="shared" si="36"/>
        <v>992.00320461905881</v>
      </c>
      <c r="E158" s="5">
        <v>28000</v>
      </c>
      <c r="F158" s="5">
        <v>54</v>
      </c>
      <c r="G158" s="6">
        <v>1.2</v>
      </c>
      <c r="H158" s="6">
        <f t="shared" si="37"/>
        <v>0.24091656447163759</v>
      </c>
    </row>
    <row r="159" spans="1:8" x14ac:dyDescent="0.3">
      <c r="A159" s="3" t="s">
        <v>126</v>
      </c>
      <c r="B159" s="3" t="s">
        <v>146</v>
      </c>
      <c r="C159" s="3" t="s">
        <v>54</v>
      </c>
      <c r="D159" s="15">
        <f t="shared" si="36"/>
        <v>992.00320461905881</v>
      </c>
      <c r="E159" s="5">
        <v>28000</v>
      </c>
      <c r="F159" s="5">
        <v>54</v>
      </c>
      <c r="G159" s="6">
        <v>1.2</v>
      </c>
      <c r="H159" s="6">
        <f t="shared" si="37"/>
        <v>0.24091656447163759</v>
      </c>
    </row>
    <row r="160" spans="1:8" x14ac:dyDescent="0.3">
      <c r="A160" s="3" t="s">
        <v>126</v>
      </c>
      <c r="B160" s="3" t="s">
        <v>146</v>
      </c>
      <c r="C160" s="3" t="s">
        <v>54</v>
      </c>
      <c r="D160" s="15">
        <f t="shared" si="36"/>
        <v>992.00320461905881</v>
      </c>
      <c r="E160" s="5">
        <v>28000</v>
      </c>
      <c r="F160" s="5">
        <v>54</v>
      </c>
      <c r="G160" s="6">
        <v>1.2</v>
      </c>
      <c r="H160" s="6">
        <f t="shared" si="37"/>
        <v>0.24091656447163759</v>
      </c>
    </row>
    <row r="161" spans="1:8" x14ac:dyDescent="0.3">
      <c r="A161" s="3" t="s">
        <v>126</v>
      </c>
      <c r="B161" s="3" t="s">
        <v>146</v>
      </c>
      <c r="C161" s="3" t="s">
        <v>54</v>
      </c>
      <c r="D161" s="15">
        <f t="shared" si="36"/>
        <v>992.00320461905881</v>
      </c>
      <c r="E161" s="5">
        <v>28000</v>
      </c>
      <c r="F161" s="5">
        <v>54</v>
      </c>
      <c r="G161" s="6">
        <v>1.2</v>
      </c>
      <c r="H161" s="6">
        <f t="shared" si="37"/>
        <v>0.24091656447163759</v>
      </c>
    </row>
    <row r="162" spans="1:8" x14ac:dyDescent="0.3">
      <c r="A162" s="3" t="s">
        <v>126</v>
      </c>
      <c r="B162" s="3" t="s">
        <v>146</v>
      </c>
      <c r="C162" s="3" t="s">
        <v>54</v>
      </c>
      <c r="D162" s="15">
        <f t="shared" si="36"/>
        <v>992.00320461905881</v>
      </c>
      <c r="E162" s="5">
        <v>28000</v>
      </c>
      <c r="F162" s="5">
        <v>54</v>
      </c>
      <c r="G162" s="6">
        <v>1.2</v>
      </c>
      <c r="H162" s="6">
        <f t="shared" si="37"/>
        <v>0.24091656447163759</v>
      </c>
    </row>
    <row r="163" spans="1:8" x14ac:dyDescent="0.3">
      <c r="A163" s="3" t="s">
        <v>126</v>
      </c>
      <c r="B163" s="3" t="s">
        <v>146</v>
      </c>
      <c r="C163" s="3" t="s">
        <v>54</v>
      </c>
      <c r="D163" s="15">
        <f t="shared" si="36"/>
        <v>992.00320461905881</v>
      </c>
      <c r="E163" s="5">
        <v>28000</v>
      </c>
      <c r="F163" s="5">
        <v>54</v>
      </c>
      <c r="G163" s="6">
        <v>1.2</v>
      </c>
      <c r="H163" s="6">
        <f t="shared" si="37"/>
        <v>0.24091656447163759</v>
      </c>
    </row>
    <row r="164" spans="1:8" x14ac:dyDescent="0.3">
      <c r="A164" s="3" t="s">
        <v>126</v>
      </c>
      <c r="B164" s="3" t="s">
        <v>146</v>
      </c>
      <c r="C164" s="3" t="s">
        <v>54</v>
      </c>
      <c r="D164" s="15">
        <f t="shared" si="36"/>
        <v>992.00320461905881</v>
      </c>
      <c r="E164" s="5">
        <v>28000</v>
      </c>
      <c r="F164" s="5">
        <v>54</v>
      </c>
      <c r="G164" s="6">
        <v>1.2</v>
      </c>
      <c r="H164" s="6">
        <f t="shared" si="37"/>
        <v>0.24091656447163759</v>
      </c>
    </row>
    <row r="165" spans="1:8" x14ac:dyDescent="0.3">
      <c r="A165" s="3" t="s">
        <v>126</v>
      </c>
      <c r="B165" s="3" t="s">
        <v>146</v>
      </c>
      <c r="C165" s="3" t="s">
        <v>54</v>
      </c>
      <c r="D165" s="15">
        <f t="shared" si="36"/>
        <v>992.00320461905881</v>
      </c>
      <c r="E165" s="5">
        <v>28000</v>
      </c>
      <c r="F165" s="5">
        <v>54</v>
      </c>
      <c r="G165" s="6">
        <v>1.2</v>
      </c>
      <c r="H165" s="6">
        <f t="shared" si="37"/>
        <v>0.24091656447163759</v>
      </c>
    </row>
    <row r="166" spans="1:8" x14ac:dyDescent="0.3">
      <c r="A166" s="3" t="s">
        <v>126</v>
      </c>
      <c r="B166" s="3" t="s">
        <v>146</v>
      </c>
      <c r="C166" s="3" t="s">
        <v>54</v>
      </c>
      <c r="D166" s="15">
        <f t="shared" si="36"/>
        <v>992.00320461905881</v>
      </c>
      <c r="E166" s="5">
        <v>28000</v>
      </c>
      <c r="F166" s="5">
        <v>54</v>
      </c>
      <c r="G166" s="6">
        <v>1.2</v>
      </c>
      <c r="H166" s="6">
        <f t="shared" si="37"/>
        <v>0.24091656447163759</v>
      </c>
    </row>
    <row r="167" spans="1:8" x14ac:dyDescent="0.3">
      <c r="A167" s="3" t="s">
        <v>126</v>
      </c>
      <c r="B167" s="3" t="s">
        <v>146</v>
      </c>
      <c r="C167" s="3" t="s">
        <v>54</v>
      </c>
      <c r="D167" s="15">
        <f t="shared" si="36"/>
        <v>992.00320461905881</v>
      </c>
      <c r="E167" s="5">
        <v>28000</v>
      </c>
      <c r="F167" s="5">
        <v>54</v>
      </c>
      <c r="G167" s="6">
        <v>1.2</v>
      </c>
      <c r="H167" s="6">
        <f t="shared" si="37"/>
        <v>0.24091656447163759</v>
      </c>
    </row>
    <row r="168" spans="1:8" x14ac:dyDescent="0.3">
      <c r="A168" s="3" t="s">
        <v>126</v>
      </c>
      <c r="B168" s="3" t="s">
        <v>146</v>
      </c>
      <c r="C168" s="3" t="s">
        <v>54</v>
      </c>
      <c r="D168" s="15">
        <f t="shared" si="36"/>
        <v>992.00320461905881</v>
      </c>
      <c r="E168" s="5">
        <v>28000</v>
      </c>
      <c r="F168" s="5">
        <v>54</v>
      </c>
      <c r="G168" s="6">
        <v>1.2</v>
      </c>
      <c r="H168" s="6">
        <f t="shared" si="37"/>
        <v>0.24091656447163759</v>
      </c>
    </row>
    <row r="169" spans="1:8" x14ac:dyDescent="0.3">
      <c r="A169" s="3" t="s">
        <v>126</v>
      </c>
      <c r="B169" s="3" t="s">
        <v>146</v>
      </c>
      <c r="C169" s="3" t="s">
        <v>54</v>
      </c>
      <c r="D169" s="15">
        <f t="shared" si="36"/>
        <v>992.00320461905881</v>
      </c>
      <c r="E169" s="5">
        <v>28000</v>
      </c>
      <c r="F169" s="5">
        <v>54</v>
      </c>
      <c r="G169" s="6">
        <v>1.2</v>
      </c>
      <c r="H169" s="6">
        <f t="shared" si="37"/>
        <v>0.24091656447163759</v>
      </c>
    </row>
    <row r="170" spans="1:8" x14ac:dyDescent="0.3">
      <c r="A170" s="3" t="s">
        <v>126</v>
      </c>
      <c r="B170" s="3" t="s">
        <v>146</v>
      </c>
      <c r="C170" s="3" t="s">
        <v>54</v>
      </c>
      <c r="D170" s="15">
        <f t="shared" si="36"/>
        <v>992.00320461905881</v>
      </c>
      <c r="E170" s="5">
        <v>28000</v>
      </c>
      <c r="F170" s="5">
        <v>54</v>
      </c>
      <c r="G170" s="6">
        <v>1.2</v>
      </c>
      <c r="H170" s="6">
        <f t="shared" si="37"/>
        <v>0.24091656447163759</v>
      </c>
    </row>
    <row r="171" spans="1:8" x14ac:dyDescent="0.3">
      <c r="A171" s="3" t="s">
        <v>126</v>
      </c>
      <c r="B171" s="3" t="s">
        <v>146</v>
      </c>
      <c r="C171" s="3" t="s">
        <v>54</v>
      </c>
      <c r="D171" s="15">
        <f t="shared" si="36"/>
        <v>992.00320461905881</v>
      </c>
      <c r="E171" s="5">
        <v>28000</v>
      </c>
      <c r="F171" s="5">
        <v>54</v>
      </c>
      <c r="G171" s="6">
        <v>1.2</v>
      </c>
      <c r="H171" s="6">
        <f t="shared" si="37"/>
        <v>0.24091656447163759</v>
      </c>
    </row>
    <row r="172" spans="1:8" x14ac:dyDescent="0.3">
      <c r="A172" s="3" t="s">
        <v>126</v>
      </c>
      <c r="B172" s="3" t="s">
        <v>146</v>
      </c>
      <c r="C172" s="3" t="s">
        <v>54</v>
      </c>
      <c r="D172" s="15">
        <f t="shared" si="36"/>
        <v>992.00320461905881</v>
      </c>
      <c r="E172" s="5">
        <v>28000</v>
      </c>
      <c r="F172" s="5">
        <v>54</v>
      </c>
      <c r="G172" s="6">
        <v>1.2</v>
      </c>
      <c r="H172" s="6">
        <f t="shared" si="37"/>
        <v>0.24091656447163759</v>
      </c>
    </row>
    <row r="173" spans="1:8" x14ac:dyDescent="0.3">
      <c r="A173" s="3" t="s">
        <v>126</v>
      </c>
      <c r="B173" s="3" t="s">
        <v>146</v>
      </c>
      <c r="C173" s="3" t="s">
        <v>54</v>
      </c>
      <c r="D173" s="15">
        <f t="shared" si="36"/>
        <v>992.00320461905881</v>
      </c>
      <c r="E173" s="5">
        <v>28000</v>
      </c>
      <c r="F173" s="5">
        <v>54</v>
      </c>
      <c r="G173" s="6">
        <v>1.2</v>
      </c>
      <c r="H173" s="6">
        <f t="shared" si="37"/>
        <v>0.24091656447163759</v>
      </c>
    </row>
    <row r="174" spans="1:8" x14ac:dyDescent="0.3">
      <c r="A174" s="3" t="s">
        <v>126</v>
      </c>
      <c r="B174" s="3" t="s">
        <v>146</v>
      </c>
      <c r="C174" s="3" t="s">
        <v>54</v>
      </c>
      <c r="D174" s="15">
        <f t="shared" si="36"/>
        <v>992.00320461905881</v>
      </c>
      <c r="E174" s="5">
        <v>28000</v>
      </c>
      <c r="F174" s="5">
        <v>54</v>
      </c>
      <c r="G174" s="6">
        <v>1.2</v>
      </c>
      <c r="H174" s="6">
        <f t="shared" si="37"/>
        <v>0.24091656447163759</v>
      </c>
    </row>
    <row r="175" spans="1:8" x14ac:dyDescent="0.3">
      <c r="A175" s="3" t="s">
        <v>126</v>
      </c>
      <c r="B175" s="3" t="s">
        <v>146</v>
      </c>
      <c r="C175" s="3" t="s">
        <v>54</v>
      </c>
      <c r="D175" s="15">
        <f t="shared" si="36"/>
        <v>992.00320461905881</v>
      </c>
      <c r="E175" s="5">
        <v>28000</v>
      </c>
      <c r="F175" s="5">
        <v>54</v>
      </c>
      <c r="G175" s="6">
        <v>1.2</v>
      </c>
      <c r="H175" s="6">
        <f t="shared" si="37"/>
        <v>0.24091656447163759</v>
      </c>
    </row>
    <row r="176" spans="1:8" x14ac:dyDescent="0.3">
      <c r="A176" s="3" t="s">
        <v>126</v>
      </c>
      <c r="B176" s="3" t="s">
        <v>146</v>
      </c>
      <c r="C176" s="3" t="s">
        <v>54</v>
      </c>
      <c r="D176" s="15">
        <f t="shared" si="36"/>
        <v>992.00320461905881</v>
      </c>
      <c r="E176" s="5">
        <v>28000</v>
      </c>
      <c r="F176" s="5">
        <v>54</v>
      </c>
      <c r="G176" s="6">
        <v>1.2</v>
      </c>
      <c r="H176" s="6">
        <f t="shared" si="37"/>
        <v>0.24091656447163759</v>
      </c>
    </row>
    <row r="177" spans="1:8" x14ac:dyDescent="0.3">
      <c r="A177" s="3" t="s">
        <v>126</v>
      </c>
      <c r="B177" s="3" t="s">
        <v>146</v>
      </c>
      <c r="C177" s="3" t="s">
        <v>54</v>
      </c>
      <c r="D177" s="15">
        <f t="shared" si="36"/>
        <v>992.00320461905881</v>
      </c>
      <c r="E177" s="5">
        <v>28000</v>
      </c>
      <c r="F177" s="5">
        <v>54</v>
      </c>
      <c r="G177" s="6">
        <v>1.2</v>
      </c>
      <c r="H177" s="6">
        <f t="shared" si="37"/>
        <v>0.24091656447163759</v>
      </c>
    </row>
    <row r="178" spans="1:8" x14ac:dyDescent="0.3">
      <c r="A178" s="3" t="s">
        <v>126</v>
      </c>
      <c r="B178" s="3" t="s">
        <v>146</v>
      </c>
      <c r="C178" s="3" t="s">
        <v>54</v>
      </c>
      <c r="D178" s="15">
        <f t="shared" si="36"/>
        <v>992.00320461905881</v>
      </c>
      <c r="E178" s="5">
        <v>28000</v>
      </c>
      <c r="F178" s="5">
        <v>54</v>
      </c>
      <c r="G178" s="6">
        <v>1.2</v>
      </c>
      <c r="H178" s="6">
        <f t="shared" si="37"/>
        <v>0.24091656447163759</v>
      </c>
    </row>
    <row r="179" spans="1:8" x14ac:dyDescent="0.3">
      <c r="A179" s="3" t="s">
        <v>126</v>
      </c>
      <c r="B179" s="3" t="s">
        <v>146</v>
      </c>
      <c r="C179" s="3" t="s">
        <v>54</v>
      </c>
      <c r="D179" s="15">
        <f t="shared" si="36"/>
        <v>992.00320461905881</v>
      </c>
      <c r="E179" s="5">
        <v>28000</v>
      </c>
      <c r="F179" s="5">
        <v>54</v>
      </c>
      <c r="G179" s="6">
        <v>1.2</v>
      </c>
      <c r="H179" s="6">
        <f t="shared" si="37"/>
        <v>0.24091656447163759</v>
      </c>
    </row>
    <row r="180" spans="1:8" x14ac:dyDescent="0.3">
      <c r="A180" s="3" t="s">
        <v>126</v>
      </c>
      <c r="B180" s="3" t="s">
        <v>146</v>
      </c>
      <c r="C180" s="3" t="s">
        <v>54</v>
      </c>
      <c r="D180" s="15">
        <f t="shared" si="36"/>
        <v>992.00320461905881</v>
      </c>
      <c r="E180" s="5">
        <v>28000</v>
      </c>
      <c r="F180" s="5">
        <v>54</v>
      </c>
      <c r="G180" s="6">
        <v>1.2</v>
      </c>
      <c r="H180" s="6">
        <f t="shared" si="37"/>
        <v>0.24091656447163759</v>
      </c>
    </row>
    <row r="181" spans="1:8" x14ac:dyDescent="0.3">
      <c r="A181" s="3" t="s">
        <v>126</v>
      </c>
      <c r="B181" s="3" t="s">
        <v>146</v>
      </c>
      <c r="C181" s="3" t="s">
        <v>54</v>
      </c>
      <c r="D181" s="15">
        <f t="shared" si="36"/>
        <v>992.00320461905881</v>
      </c>
      <c r="E181" s="5">
        <v>28000</v>
      </c>
      <c r="F181" s="5">
        <v>54</v>
      </c>
      <c r="G181" s="6">
        <v>1.2</v>
      </c>
      <c r="H181" s="6">
        <f t="shared" si="37"/>
        <v>0.24091656447163759</v>
      </c>
    </row>
    <row r="182" spans="1:8" x14ac:dyDescent="0.3">
      <c r="A182" s="3" t="s">
        <v>126</v>
      </c>
      <c r="B182" s="3" t="s">
        <v>146</v>
      </c>
      <c r="C182" s="3" t="s">
        <v>54</v>
      </c>
      <c r="D182" s="15">
        <f t="shared" si="36"/>
        <v>992.00320461905881</v>
      </c>
      <c r="E182" s="5">
        <v>28000</v>
      </c>
      <c r="F182" s="5">
        <v>54</v>
      </c>
      <c r="G182" s="6">
        <v>1.2</v>
      </c>
      <c r="H182" s="6">
        <f t="shared" si="37"/>
        <v>0.24091656447163759</v>
      </c>
    </row>
    <row r="183" spans="1:8" x14ac:dyDescent="0.3">
      <c r="A183" s="3" t="s">
        <v>126</v>
      </c>
      <c r="B183" s="3" t="s">
        <v>146</v>
      </c>
      <c r="C183" s="3" t="s">
        <v>54</v>
      </c>
      <c r="D183" s="15">
        <f t="shared" si="36"/>
        <v>992.00320461905881</v>
      </c>
      <c r="E183" s="5">
        <v>28000</v>
      </c>
      <c r="F183" s="5">
        <v>54</v>
      </c>
      <c r="G183" s="6">
        <v>1.2</v>
      </c>
      <c r="H183" s="6">
        <f t="shared" si="37"/>
        <v>0.24091656447163759</v>
      </c>
    </row>
    <row r="184" spans="1:8" x14ac:dyDescent="0.3">
      <c r="A184" s="3" t="s">
        <v>126</v>
      </c>
      <c r="B184" s="3" t="s">
        <v>146</v>
      </c>
      <c r="C184" s="3" t="s">
        <v>54</v>
      </c>
      <c r="D184" s="15">
        <f t="shared" si="36"/>
        <v>992.00320461905881</v>
      </c>
      <c r="E184" s="5">
        <v>28000</v>
      </c>
      <c r="F184" s="5">
        <v>54</v>
      </c>
      <c r="G184" s="6">
        <v>1.2</v>
      </c>
      <c r="H184" s="6">
        <f t="shared" si="37"/>
        <v>0.24091656447163759</v>
      </c>
    </row>
    <row r="185" spans="1:8" x14ac:dyDescent="0.3">
      <c r="A185" s="3" t="s">
        <v>126</v>
      </c>
      <c r="B185" s="3" t="s">
        <v>146</v>
      </c>
      <c r="C185" s="3" t="s">
        <v>54</v>
      </c>
      <c r="D185" s="15">
        <f t="shared" si="36"/>
        <v>992.00320461905881</v>
      </c>
      <c r="E185" s="5">
        <v>28000</v>
      </c>
      <c r="F185" s="5">
        <v>54</v>
      </c>
      <c r="G185" s="6">
        <v>1.2</v>
      </c>
      <c r="H185" s="6">
        <f t="shared" si="37"/>
        <v>0.24091656447163759</v>
      </c>
    </row>
    <row r="186" spans="1:8" x14ac:dyDescent="0.3">
      <c r="A186" s="3" t="s">
        <v>126</v>
      </c>
      <c r="B186" s="3" t="s">
        <v>146</v>
      </c>
      <c r="C186" s="3" t="s">
        <v>54</v>
      </c>
      <c r="D186" s="15">
        <f t="shared" si="36"/>
        <v>992.00320461905881</v>
      </c>
      <c r="E186" s="5">
        <v>28000</v>
      </c>
      <c r="F186" s="5">
        <v>54</v>
      </c>
      <c r="G186" s="6">
        <v>1.2</v>
      </c>
      <c r="H186" s="6">
        <f t="shared" si="37"/>
        <v>0.24091656447163759</v>
      </c>
    </row>
    <row r="187" spans="1:8" x14ac:dyDescent="0.3">
      <c r="A187" s="3" t="s">
        <v>126</v>
      </c>
      <c r="B187" s="3" t="s">
        <v>146</v>
      </c>
      <c r="C187" s="3" t="s">
        <v>54</v>
      </c>
      <c r="D187" s="15">
        <f t="shared" si="36"/>
        <v>992.00320461905881</v>
      </c>
      <c r="E187" s="5">
        <v>28000</v>
      </c>
      <c r="F187" s="5">
        <v>54</v>
      </c>
      <c r="G187" s="6">
        <v>1.2</v>
      </c>
      <c r="H187" s="6">
        <f t="shared" si="37"/>
        <v>0.24091656447163759</v>
      </c>
    </row>
    <row r="188" spans="1:8" x14ac:dyDescent="0.3">
      <c r="A188" s="3" t="s">
        <v>126</v>
      </c>
      <c r="B188" s="3" t="s">
        <v>146</v>
      </c>
      <c r="C188" s="3" t="s">
        <v>54</v>
      </c>
      <c r="D188" s="15">
        <f t="shared" si="36"/>
        <v>992.00320461905881</v>
      </c>
      <c r="E188" s="5">
        <v>28000</v>
      </c>
      <c r="F188" s="5">
        <v>54</v>
      </c>
      <c r="G188" s="6">
        <v>1.2</v>
      </c>
      <c r="H188" s="6">
        <f t="shared" si="37"/>
        <v>0.24091656447163759</v>
      </c>
    </row>
    <row r="189" spans="1:8" x14ac:dyDescent="0.3">
      <c r="A189" s="3" t="s">
        <v>126</v>
      </c>
      <c r="B189" s="3" t="s">
        <v>146</v>
      </c>
      <c r="C189" s="3" t="s">
        <v>54</v>
      </c>
      <c r="D189" s="15">
        <f t="shared" ref="D189:D208" si="38">84320.27239262/85</f>
        <v>992.00320461905881</v>
      </c>
      <c r="E189" s="5">
        <v>28000</v>
      </c>
      <c r="F189" s="5">
        <v>54</v>
      </c>
      <c r="G189" s="6">
        <v>1.2</v>
      </c>
      <c r="H189" s="6">
        <f t="shared" ref="H189:H208" si="39">(E189+(F189*(D189^G189)))/1000000</f>
        <v>0.24091656447163759</v>
      </c>
    </row>
    <row r="190" spans="1:8" x14ac:dyDescent="0.3">
      <c r="A190" s="3" t="s">
        <v>126</v>
      </c>
      <c r="B190" s="3" t="s">
        <v>146</v>
      </c>
      <c r="C190" s="3" t="s">
        <v>54</v>
      </c>
      <c r="D190" s="15">
        <f t="shared" si="38"/>
        <v>992.00320461905881</v>
      </c>
      <c r="E190" s="5">
        <v>28000</v>
      </c>
      <c r="F190" s="5">
        <v>54</v>
      </c>
      <c r="G190" s="6">
        <v>1.2</v>
      </c>
      <c r="H190" s="6">
        <f t="shared" si="39"/>
        <v>0.24091656447163759</v>
      </c>
    </row>
    <row r="191" spans="1:8" x14ac:dyDescent="0.3">
      <c r="A191" s="3" t="s">
        <v>126</v>
      </c>
      <c r="B191" s="3" t="s">
        <v>146</v>
      </c>
      <c r="C191" s="3" t="s">
        <v>54</v>
      </c>
      <c r="D191" s="15">
        <f t="shared" si="38"/>
        <v>992.00320461905881</v>
      </c>
      <c r="E191" s="5">
        <v>28000</v>
      </c>
      <c r="F191" s="5">
        <v>54</v>
      </c>
      <c r="G191" s="6">
        <v>1.2</v>
      </c>
      <c r="H191" s="6">
        <f t="shared" si="39"/>
        <v>0.24091656447163759</v>
      </c>
    </row>
    <row r="192" spans="1:8" x14ac:dyDescent="0.3">
      <c r="A192" s="3" t="s">
        <v>126</v>
      </c>
      <c r="B192" s="3" t="s">
        <v>146</v>
      </c>
      <c r="C192" s="3" t="s">
        <v>54</v>
      </c>
      <c r="D192" s="15">
        <f t="shared" si="38"/>
        <v>992.00320461905881</v>
      </c>
      <c r="E192" s="5">
        <v>28000</v>
      </c>
      <c r="F192" s="5">
        <v>54</v>
      </c>
      <c r="G192" s="6">
        <v>1.2</v>
      </c>
      <c r="H192" s="6">
        <f t="shared" si="39"/>
        <v>0.24091656447163759</v>
      </c>
    </row>
    <row r="193" spans="1:11" x14ac:dyDescent="0.3">
      <c r="A193" s="3" t="s">
        <v>126</v>
      </c>
      <c r="B193" s="3" t="s">
        <v>146</v>
      </c>
      <c r="C193" s="3" t="s">
        <v>54</v>
      </c>
      <c r="D193" s="15">
        <f t="shared" si="38"/>
        <v>992.00320461905881</v>
      </c>
      <c r="E193" s="5">
        <v>28000</v>
      </c>
      <c r="F193" s="5">
        <v>54</v>
      </c>
      <c r="G193" s="6">
        <v>1.2</v>
      </c>
      <c r="H193" s="6">
        <f t="shared" si="39"/>
        <v>0.24091656447163759</v>
      </c>
    </row>
    <row r="194" spans="1:11" x14ac:dyDescent="0.3">
      <c r="A194" s="3" t="s">
        <v>126</v>
      </c>
      <c r="B194" s="3" t="s">
        <v>146</v>
      </c>
      <c r="C194" s="3" t="s">
        <v>54</v>
      </c>
      <c r="D194" s="15">
        <f t="shared" si="38"/>
        <v>992.00320461905881</v>
      </c>
      <c r="E194" s="5">
        <v>28000</v>
      </c>
      <c r="F194" s="5">
        <v>54</v>
      </c>
      <c r="G194" s="6">
        <v>1.2</v>
      </c>
      <c r="H194" s="6">
        <f t="shared" si="39"/>
        <v>0.24091656447163759</v>
      </c>
    </row>
    <row r="195" spans="1:11" x14ac:dyDescent="0.3">
      <c r="A195" s="3" t="s">
        <v>126</v>
      </c>
      <c r="B195" s="3" t="s">
        <v>146</v>
      </c>
      <c r="C195" s="3" t="s">
        <v>54</v>
      </c>
      <c r="D195" s="15">
        <f t="shared" si="38"/>
        <v>992.00320461905881</v>
      </c>
      <c r="E195" s="5">
        <v>28000</v>
      </c>
      <c r="F195" s="5">
        <v>54</v>
      </c>
      <c r="G195" s="6">
        <v>1.2</v>
      </c>
      <c r="H195" s="6">
        <f t="shared" si="39"/>
        <v>0.24091656447163759</v>
      </c>
    </row>
    <row r="196" spans="1:11" x14ac:dyDescent="0.3">
      <c r="A196" s="3" t="s">
        <v>126</v>
      </c>
      <c r="B196" s="3" t="s">
        <v>146</v>
      </c>
      <c r="C196" s="3" t="s">
        <v>54</v>
      </c>
      <c r="D196" s="15">
        <f t="shared" si="38"/>
        <v>992.00320461905881</v>
      </c>
      <c r="E196" s="5">
        <v>28000</v>
      </c>
      <c r="F196" s="5">
        <v>54</v>
      </c>
      <c r="G196" s="6">
        <v>1.2</v>
      </c>
      <c r="H196" s="6">
        <f t="shared" si="39"/>
        <v>0.24091656447163759</v>
      </c>
    </row>
    <row r="197" spans="1:11" x14ac:dyDescent="0.3">
      <c r="A197" s="3" t="s">
        <v>126</v>
      </c>
      <c r="B197" s="3" t="s">
        <v>146</v>
      </c>
      <c r="C197" s="3" t="s">
        <v>54</v>
      </c>
      <c r="D197" s="15">
        <f t="shared" si="38"/>
        <v>992.00320461905881</v>
      </c>
      <c r="E197" s="5">
        <v>28000</v>
      </c>
      <c r="F197" s="5">
        <v>54</v>
      </c>
      <c r="G197" s="6">
        <v>1.2</v>
      </c>
      <c r="H197" s="6">
        <f t="shared" si="39"/>
        <v>0.24091656447163759</v>
      </c>
    </row>
    <row r="198" spans="1:11" x14ac:dyDescent="0.3">
      <c r="A198" s="3" t="s">
        <v>126</v>
      </c>
      <c r="B198" s="3" t="s">
        <v>146</v>
      </c>
      <c r="C198" s="3" t="s">
        <v>54</v>
      </c>
      <c r="D198" s="15">
        <f t="shared" si="38"/>
        <v>992.00320461905881</v>
      </c>
      <c r="E198" s="5">
        <v>28000</v>
      </c>
      <c r="F198" s="5">
        <v>54</v>
      </c>
      <c r="G198" s="6">
        <v>1.2</v>
      </c>
      <c r="H198" s="6">
        <f t="shared" si="39"/>
        <v>0.24091656447163759</v>
      </c>
    </row>
    <row r="199" spans="1:11" x14ac:dyDescent="0.3">
      <c r="A199" s="3" t="s">
        <v>126</v>
      </c>
      <c r="B199" s="3" t="s">
        <v>146</v>
      </c>
      <c r="C199" s="3" t="s">
        <v>54</v>
      </c>
      <c r="D199" s="15">
        <f t="shared" si="38"/>
        <v>992.00320461905881</v>
      </c>
      <c r="E199" s="5">
        <v>28000</v>
      </c>
      <c r="F199" s="5">
        <v>54</v>
      </c>
      <c r="G199" s="6">
        <v>1.2</v>
      </c>
      <c r="H199" s="6">
        <f t="shared" si="39"/>
        <v>0.24091656447163759</v>
      </c>
    </row>
    <row r="200" spans="1:11" x14ac:dyDescent="0.3">
      <c r="A200" s="3" t="s">
        <v>126</v>
      </c>
      <c r="B200" s="3" t="s">
        <v>146</v>
      </c>
      <c r="C200" s="3" t="s">
        <v>54</v>
      </c>
      <c r="D200" s="15">
        <f t="shared" si="38"/>
        <v>992.00320461905881</v>
      </c>
      <c r="E200" s="5">
        <v>28000</v>
      </c>
      <c r="F200" s="5">
        <v>54</v>
      </c>
      <c r="G200" s="6">
        <v>1.2</v>
      </c>
      <c r="H200" s="6">
        <f t="shared" si="39"/>
        <v>0.24091656447163759</v>
      </c>
    </row>
    <row r="201" spans="1:11" x14ac:dyDescent="0.3">
      <c r="A201" s="3" t="s">
        <v>126</v>
      </c>
      <c r="B201" s="3" t="s">
        <v>146</v>
      </c>
      <c r="C201" s="3" t="s">
        <v>54</v>
      </c>
      <c r="D201" s="15">
        <f t="shared" si="38"/>
        <v>992.00320461905881</v>
      </c>
      <c r="E201" s="5">
        <v>28000</v>
      </c>
      <c r="F201" s="5">
        <v>54</v>
      </c>
      <c r="G201" s="6">
        <v>1.2</v>
      </c>
      <c r="H201" s="6">
        <f t="shared" si="39"/>
        <v>0.24091656447163759</v>
      </c>
    </row>
    <row r="202" spans="1:11" x14ac:dyDescent="0.3">
      <c r="A202" s="3" t="s">
        <v>126</v>
      </c>
      <c r="B202" s="3" t="s">
        <v>146</v>
      </c>
      <c r="C202" s="3" t="s">
        <v>54</v>
      </c>
      <c r="D202" s="15">
        <f t="shared" si="38"/>
        <v>992.00320461905881</v>
      </c>
      <c r="E202" s="5">
        <v>28000</v>
      </c>
      <c r="F202" s="5">
        <v>54</v>
      </c>
      <c r="G202" s="6">
        <v>1.2</v>
      </c>
      <c r="H202" s="6">
        <f t="shared" si="39"/>
        <v>0.24091656447163759</v>
      </c>
    </row>
    <row r="203" spans="1:11" x14ac:dyDescent="0.3">
      <c r="A203" s="3" t="s">
        <v>126</v>
      </c>
      <c r="B203" s="3" t="s">
        <v>146</v>
      </c>
      <c r="C203" s="3" t="s">
        <v>54</v>
      </c>
      <c r="D203" s="15">
        <f t="shared" si="38"/>
        <v>992.00320461905881</v>
      </c>
      <c r="E203" s="5">
        <v>28000</v>
      </c>
      <c r="F203" s="5">
        <v>54</v>
      </c>
      <c r="G203" s="6">
        <v>1.2</v>
      </c>
      <c r="H203" s="6">
        <f t="shared" si="39"/>
        <v>0.24091656447163759</v>
      </c>
    </row>
    <row r="204" spans="1:11" x14ac:dyDescent="0.3">
      <c r="A204" s="3" t="s">
        <v>126</v>
      </c>
      <c r="B204" s="3" t="s">
        <v>146</v>
      </c>
      <c r="C204" s="3" t="s">
        <v>54</v>
      </c>
      <c r="D204" s="15">
        <f t="shared" si="38"/>
        <v>992.00320461905881</v>
      </c>
      <c r="E204" s="5">
        <v>28000</v>
      </c>
      <c r="F204" s="5">
        <v>54</v>
      </c>
      <c r="G204" s="6">
        <v>1.2</v>
      </c>
      <c r="H204" s="6">
        <f t="shared" si="39"/>
        <v>0.24091656447163759</v>
      </c>
    </row>
    <row r="205" spans="1:11" x14ac:dyDescent="0.3">
      <c r="A205" s="3" t="s">
        <v>126</v>
      </c>
      <c r="B205" s="3" t="s">
        <v>146</v>
      </c>
      <c r="C205" s="3" t="s">
        <v>54</v>
      </c>
      <c r="D205" s="15">
        <f t="shared" si="38"/>
        <v>992.00320461905881</v>
      </c>
      <c r="E205" s="5">
        <v>28000</v>
      </c>
      <c r="F205" s="5">
        <v>54</v>
      </c>
      <c r="G205" s="6">
        <v>1.2</v>
      </c>
      <c r="H205" s="6">
        <f t="shared" si="39"/>
        <v>0.24091656447163759</v>
      </c>
    </row>
    <row r="206" spans="1:11" x14ac:dyDescent="0.3">
      <c r="A206" s="3" t="s">
        <v>126</v>
      </c>
      <c r="B206" s="3" t="s">
        <v>146</v>
      </c>
      <c r="C206" s="3" t="s">
        <v>54</v>
      </c>
      <c r="D206" s="15">
        <f t="shared" si="38"/>
        <v>992.00320461905881</v>
      </c>
      <c r="E206" s="5">
        <v>28000</v>
      </c>
      <c r="F206" s="5">
        <v>54</v>
      </c>
      <c r="G206" s="6">
        <v>1.2</v>
      </c>
      <c r="H206" s="6">
        <f t="shared" si="39"/>
        <v>0.24091656447163759</v>
      </c>
      <c r="K206" s="28"/>
    </row>
    <row r="207" spans="1:11" x14ac:dyDescent="0.3">
      <c r="A207" s="3" t="s">
        <v>126</v>
      </c>
      <c r="B207" s="3" t="s">
        <v>146</v>
      </c>
      <c r="C207" s="3" t="s">
        <v>54</v>
      </c>
      <c r="D207" s="15">
        <f t="shared" si="38"/>
        <v>992.00320461905881</v>
      </c>
      <c r="E207" s="5">
        <v>28000</v>
      </c>
      <c r="F207" s="5">
        <v>54</v>
      </c>
      <c r="G207" s="6">
        <v>1.2</v>
      </c>
      <c r="H207" s="6">
        <f t="shared" si="39"/>
        <v>0.24091656447163759</v>
      </c>
      <c r="K207" s="28"/>
    </row>
    <row r="208" spans="1:11" x14ac:dyDescent="0.3">
      <c r="A208" s="3" t="s">
        <v>126</v>
      </c>
      <c r="B208" s="3" t="s">
        <v>146</v>
      </c>
      <c r="C208" s="3" t="s">
        <v>54</v>
      </c>
      <c r="D208" s="15">
        <f t="shared" si="38"/>
        <v>992.00320461905881</v>
      </c>
      <c r="E208" s="5">
        <v>28000</v>
      </c>
      <c r="F208" s="5">
        <v>54</v>
      </c>
      <c r="G208" s="6">
        <v>1.2</v>
      </c>
      <c r="H208" s="6">
        <f t="shared" si="39"/>
        <v>0.24091656447163759</v>
      </c>
      <c r="K208" s="28"/>
    </row>
    <row r="209" spans="1:11" x14ac:dyDescent="0.3">
      <c r="A209" s="3" t="s">
        <v>108</v>
      </c>
      <c r="B209" s="3" t="s">
        <v>146</v>
      </c>
      <c r="C209" s="3" t="s">
        <v>54</v>
      </c>
      <c r="D209" s="15">
        <f>1972.19384912373/2</f>
        <v>986.09692456186497</v>
      </c>
      <c r="E209" s="5">
        <v>28000</v>
      </c>
      <c r="F209" s="5">
        <v>54</v>
      </c>
      <c r="G209" s="6">
        <v>1.2</v>
      </c>
      <c r="H209" s="6">
        <f t="shared" si="26"/>
        <v>0.23939625292570402</v>
      </c>
      <c r="K209" s="28"/>
    </row>
    <row r="210" spans="1:11" x14ac:dyDescent="0.3">
      <c r="A210" s="3" t="s">
        <v>108</v>
      </c>
      <c r="B210" s="3" t="s">
        <v>146</v>
      </c>
      <c r="C210" s="3" t="s">
        <v>54</v>
      </c>
      <c r="D210" s="15">
        <f>1972.19384912373/2</f>
        <v>986.09692456186497</v>
      </c>
      <c r="E210" s="5">
        <v>28000</v>
      </c>
      <c r="F210" s="5">
        <v>54</v>
      </c>
      <c r="G210" s="6">
        <v>1.2</v>
      </c>
      <c r="H210" s="6">
        <f t="shared" ref="H210" si="40">(E210+(F210*(D210^G210)))/1000000</f>
        <v>0.23939625292570402</v>
      </c>
      <c r="K210" s="28"/>
    </row>
    <row r="211" spans="1:11" x14ac:dyDescent="0.3">
      <c r="A211" s="3" t="s">
        <v>127</v>
      </c>
      <c r="B211" s="3" t="s">
        <v>146</v>
      </c>
      <c r="C211" s="3" t="s">
        <v>54</v>
      </c>
      <c r="D211" s="15">
        <f>3578.14186091777/4</f>
        <v>894.53546522944248</v>
      </c>
      <c r="E211" s="5">
        <v>28000</v>
      </c>
      <c r="F211" s="5">
        <v>54</v>
      </c>
      <c r="G211" s="6">
        <v>1.2</v>
      </c>
      <c r="H211" s="6">
        <f t="shared" si="26"/>
        <v>0.21606623749960183</v>
      </c>
      <c r="K211" s="28"/>
    </row>
    <row r="212" spans="1:11" x14ac:dyDescent="0.3">
      <c r="A212" s="3" t="s">
        <v>127</v>
      </c>
      <c r="B212" s="3" t="s">
        <v>146</v>
      </c>
      <c r="C212" s="3" t="s">
        <v>54</v>
      </c>
      <c r="D212" s="15">
        <f t="shared" ref="D212:D214" si="41">3578.14186091777/4</f>
        <v>894.53546522944248</v>
      </c>
      <c r="E212" s="5">
        <v>28000</v>
      </c>
      <c r="F212" s="5">
        <v>54</v>
      </c>
      <c r="G212" s="6">
        <v>1.2</v>
      </c>
      <c r="H212" s="6">
        <f t="shared" ref="H212:H214" si="42">(E212+(F212*(D212^G212)))/1000000</f>
        <v>0.21606623749960183</v>
      </c>
      <c r="K212" s="28"/>
    </row>
    <row r="213" spans="1:11" x14ac:dyDescent="0.3">
      <c r="A213" s="3" t="s">
        <v>127</v>
      </c>
      <c r="B213" s="3" t="s">
        <v>146</v>
      </c>
      <c r="C213" s="3" t="s">
        <v>54</v>
      </c>
      <c r="D213" s="15">
        <f t="shared" si="41"/>
        <v>894.53546522944248</v>
      </c>
      <c r="E213" s="5">
        <v>28000</v>
      </c>
      <c r="F213" s="5">
        <v>54</v>
      </c>
      <c r="G213" s="6">
        <v>1.2</v>
      </c>
      <c r="H213" s="6">
        <f t="shared" si="42"/>
        <v>0.21606623749960183</v>
      </c>
    </row>
    <row r="214" spans="1:11" x14ac:dyDescent="0.3">
      <c r="A214" s="3" t="s">
        <v>127</v>
      </c>
      <c r="B214" s="3" t="s">
        <v>146</v>
      </c>
      <c r="C214" s="3" t="s">
        <v>54</v>
      </c>
      <c r="D214" s="15">
        <f t="shared" si="41"/>
        <v>894.53546522944248</v>
      </c>
      <c r="E214" s="5">
        <v>28000</v>
      </c>
      <c r="F214" s="5">
        <v>54</v>
      </c>
      <c r="G214" s="6">
        <v>1.2</v>
      </c>
      <c r="H214" s="6">
        <f t="shared" si="42"/>
        <v>0.21606623749960183</v>
      </c>
    </row>
    <row r="215" spans="1:11" x14ac:dyDescent="0.3">
      <c r="A215" s="3" t="s">
        <v>119</v>
      </c>
      <c r="B215" s="3" t="s">
        <v>146</v>
      </c>
      <c r="C215" s="3" t="s">
        <v>54</v>
      </c>
      <c r="D215" s="15">
        <f>6710.72961286413/7</f>
        <v>958.67565898059001</v>
      </c>
      <c r="E215" s="5">
        <v>28000</v>
      </c>
      <c r="F215" s="5">
        <v>54</v>
      </c>
      <c r="G215" s="6">
        <v>1.2</v>
      </c>
      <c r="H215" s="6">
        <f t="shared" si="26"/>
        <v>0.23236183828775883</v>
      </c>
    </row>
    <row r="216" spans="1:11" x14ac:dyDescent="0.3">
      <c r="A216" s="3" t="s">
        <v>119</v>
      </c>
      <c r="B216" s="3" t="s">
        <v>146</v>
      </c>
      <c r="C216" s="3" t="s">
        <v>54</v>
      </c>
      <c r="D216" s="15">
        <f t="shared" ref="D216:D221" si="43">6710.72961286413/7</f>
        <v>958.67565898059001</v>
      </c>
      <c r="E216" s="5">
        <v>28000</v>
      </c>
      <c r="F216" s="5">
        <v>54</v>
      </c>
      <c r="G216" s="6">
        <v>1.2</v>
      </c>
      <c r="H216" s="6">
        <f t="shared" ref="H216:H221" si="44">(E216+(F216*(D216^G216)))/1000000</f>
        <v>0.23236183828775883</v>
      </c>
    </row>
    <row r="217" spans="1:11" x14ac:dyDescent="0.3">
      <c r="A217" s="3" t="s">
        <v>119</v>
      </c>
      <c r="B217" s="3" t="s">
        <v>146</v>
      </c>
      <c r="C217" s="3" t="s">
        <v>54</v>
      </c>
      <c r="D217" s="15">
        <f t="shared" si="43"/>
        <v>958.67565898059001</v>
      </c>
      <c r="E217" s="5">
        <v>28000</v>
      </c>
      <c r="F217" s="5">
        <v>54</v>
      </c>
      <c r="G217" s="6">
        <v>1.2</v>
      </c>
      <c r="H217" s="6">
        <f t="shared" si="44"/>
        <v>0.23236183828775883</v>
      </c>
    </row>
    <row r="218" spans="1:11" x14ac:dyDescent="0.3">
      <c r="A218" s="3" t="s">
        <v>119</v>
      </c>
      <c r="B218" s="3" t="s">
        <v>146</v>
      </c>
      <c r="C218" s="3" t="s">
        <v>54</v>
      </c>
      <c r="D218" s="15">
        <f t="shared" si="43"/>
        <v>958.67565898059001</v>
      </c>
      <c r="E218" s="5">
        <v>28000</v>
      </c>
      <c r="F218" s="5">
        <v>54</v>
      </c>
      <c r="G218" s="6">
        <v>1.2</v>
      </c>
      <c r="H218" s="6">
        <f t="shared" si="44"/>
        <v>0.23236183828775883</v>
      </c>
    </row>
    <row r="219" spans="1:11" x14ac:dyDescent="0.3">
      <c r="A219" s="3" t="s">
        <v>119</v>
      </c>
      <c r="B219" s="3" t="s">
        <v>146</v>
      </c>
      <c r="C219" s="3" t="s">
        <v>54</v>
      </c>
      <c r="D219" s="15">
        <f t="shared" si="43"/>
        <v>958.67565898059001</v>
      </c>
      <c r="E219" s="5">
        <v>28000</v>
      </c>
      <c r="F219" s="5">
        <v>54</v>
      </c>
      <c r="G219" s="6">
        <v>1.2</v>
      </c>
      <c r="H219" s="6">
        <f t="shared" si="44"/>
        <v>0.23236183828775883</v>
      </c>
    </row>
    <row r="220" spans="1:11" x14ac:dyDescent="0.3">
      <c r="A220" s="3" t="s">
        <v>119</v>
      </c>
      <c r="B220" s="3" t="s">
        <v>146</v>
      </c>
      <c r="C220" s="3" t="s">
        <v>54</v>
      </c>
      <c r="D220" s="15">
        <f t="shared" si="43"/>
        <v>958.67565898059001</v>
      </c>
      <c r="E220" s="5">
        <v>28000</v>
      </c>
      <c r="F220" s="5">
        <v>54</v>
      </c>
      <c r="G220" s="6">
        <v>1.2</v>
      </c>
      <c r="H220" s="6">
        <f t="shared" si="44"/>
        <v>0.23236183828775883</v>
      </c>
    </row>
    <row r="221" spans="1:11" x14ac:dyDescent="0.3">
      <c r="A221" s="3" t="s">
        <v>119</v>
      </c>
      <c r="B221" s="3" t="s">
        <v>146</v>
      </c>
      <c r="C221" s="3" t="s">
        <v>54</v>
      </c>
      <c r="D221" s="15">
        <f t="shared" si="43"/>
        <v>958.67565898059001</v>
      </c>
      <c r="E221" s="5">
        <v>28000</v>
      </c>
      <c r="F221" s="5">
        <v>54</v>
      </c>
      <c r="G221" s="6">
        <v>1.2</v>
      </c>
      <c r="H221" s="6">
        <f t="shared" si="44"/>
        <v>0.23236183828775883</v>
      </c>
    </row>
    <row r="222" spans="1:11" x14ac:dyDescent="0.3">
      <c r="A222" s="3" t="s">
        <v>128</v>
      </c>
      <c r="B222" s="3" t="s">
        <v>146</v>
      </c>
      <c r="C222" s="3" t="s">
        <v>54</v>
      </c>
      <c r="D222" s="15">
        <v>604.04169507310996</v>
      </c>
      <c r="E222" s="5">
        <v>28000</v>
      </c>
      <c r="F222" s="5">
        <v>54</v>
      </c>
      <c r="G222" s="6">
        <v>1.2</v>
      </c>
      <c r="H222" s="6">
        <f t="shared" si="26"/>
        <v>0.14540161223526632</v>
      </c>
    </row>
    <row r="223" spans="1:11" x14ac:dyDescent="0.3">
      <c r="A223" s="3" t="s">
        <v>120</v>
      </c>
      <c r="B223" s="3" t="s">
        <v>146</v>
      </c>
      <c r="C223" s="3" t="s">
        <v>54</v>
      </c>
      <c r="D223" s="15">
        <v>12.192783244659401</v>
      </c>
      <c r="E223" s="5">
        <v>28000</v>
      </c>
      <c r="F223" s="5">
        <v>54</v>
      </c>
      <c r="G223" s="6">
        <v>1.2</v>
      </c>
      <c r="H223" s="6">
        <f t="shared" ref="H223" si="45">(E223+(F223*(D223^G223)))/1000000</f>
        <v>2.9085718364329202E-2</v>
      </c>
    </row>
    <row r="224" spans="1:11" x14ac:dyDescent="0.3">
      <c r="A224" s="3" t="s">
        <v>113</v>
      </c>
      <c r="B224" s="3" t="s">
        <v>146</v>
      </c>
      <c r="C224" s="3" t="s">
        <v>54</v>
      </c>
      <c r="D224" s="15">
        <f>51234.3855713597/52</f>
        <v>985.27664560307119</v>
      </c>
      <c r="E224" s="5">
        <v>28000</v>
      </c>
      <c r="F224" s="5">
        <v>54</v>
      </c>
      <c r="G224" s="6">
        <v>1.2</v>
      </c>
      <c r="H224" s="6">
        <f t="shared" ref="H224:H294" si="46">(E224+(F224*(D224^G224)))/1000000</f>
        <v>0.23918525199925825</v>
      </c>
    </row>
    <row r="225" spans="1:8" x14ac:dyDescent="0.3">
      <c r="A225" s="3" t="s">
        <v>113</v>
      </c>
      <c r="B225" s="3" t="s">
        <v>146</v>
      </c>
      <c r="C225" s="3" t="s">
        <v>54</v>
      </c>
      <c r="D225" s="15">
        <f t="shared" ref="D225:D275" si="47">51234.3855713597/52</f>
        <v>985.27664560307119</v>
      </c>
      <c r="E225" s="5">
        <v>28000</v>
      </c>
      <c r="F225" s="5">
        <v>54</v>
      </c>
      <c r="G225" s="6">
        <v>1.2</v>
      </c>
      <c r="H225" s="6">
        <f t="shared" ref="H225:H275" si="48">(E225+(F225*(D225^G225)))/1000000</f>
        <v>0.23918525199925825</v>
      </c>
    </row>
    <row r="226" spans="1:8" x14ac:dyDescent="0.3">
      <c r="A226" s="3" t="s">
        <v>113</v>
      </c>
      <c r="B226" s="3" t="s">
        <v>146</v>
      </c>
      <c r="C226" s="3" t="s">
        <v>54</v>
      </c>
      <c r="D226" s="15">
        <f t="shared" si="47"/>
        <v>985.27664560307119</v>
      </c>
      <c r="E226" s="5">
        <v>28000</v>
      </c>
      <c r="F226" s="5">
        <v>54</v>
      </c>
      <c r="G226" s="6">
        <v>1.2</v>
      </c>
      <c r="H226" s="6">
        <f t="shared" si="48"/>
        <v>0.23918525199925825</v>
      </c>
    </row>
    <row r="227" spans="1:8" x14ac:dyDescent="0.3">
      <c r="A227" s="3" t="s">
        <v>113</v>
      </c>
      <c r="B227" s="3" t="s">
        <v>146</v>
      </c>
      <c r="C227" s="3" t="s">
        <v>54</v>
      </c>
      <c r="D227" s="15">
        <f t="shared" si="47"/>
        <v>985.27664560307119</v>
      </c>
      <c r="E227" s="5">
        <v>28000</v>
      </c>
      <c r="F227" s="5">
        <v>54</v>
      </c>
      <c r="G227" s="6">
        <v>1.2</v>
      </c>
      <c r="H227" s="6">
        <f t="shared" si="48"/>
        <v>0.23918525199925825</v>
      </c>
    </row>
    <row r="228" spans="1:8" x14ac:dyDescent="0.3">
      <c r="A228" s="3" t="s">
        <v>113</v>
      </c>
      <c r="B228" s="3" t="s">
        <v>146</v>
      </c>
      <c r="C228" s="3" t="s">
        <v>54</v>
      </c>
      <c r="D228" s="15">
        <f t="shared" si="47"/>
        <v>985.27664560307119</v>
      </c>
      <c r="E228" s="5">
        <v>28000</v>
      </c>
      <c r="F228" s="5">
        <v>54</v>
      </c>
      <c r="G228" s="6">
        <v>1.2</v>
      </c>
      <c r="H228" s="6">
        <f t="shared" si="48"/>
        <v>0.23918525199925825</v>
      </c>
    </row>
    <row r="229" spans="1:8" x14ac:dyDescent="0.3">
      <c r="A229" s="3" t="s">
        <v>113</v>
      </c>
      <c r="B229" s="3" t="s">
        <v>146</v>
      </c>
      <c r="C229" s="3" t="s">
        <v>54</v>
      </c>
      <c r="D229" s="15">
        <f t="shared" si="47"/>
        <v>985.27664560307119</v>
      </c>
      <c r="E229" s="5">
        <v>28000</v>
      </c>
      <c r="F229" s="5">
        <v>54</v>
      </c>
      <c r="G229" s="6">
        <v>1.2</v>
      </c>
      <c r="H229" s="6">
        <f t="shared" si="48"/>
        <v>0.23918525199925825</v>
      </c>
    </row>
    <row r="230" spans="1:8" x14ac:dyDescent="0.3">
      <c r="A230" s="3" t="s">
        <v>113</v>
      </c>
      <c r="B230" s="3" t="s">
        <v>146</v>
      </c>
      <c r="C230" s="3" t="s">
        <v>54</v>
      </c>
      <c r="D230" s="15">
        <f t="shared" si="47"/>
        <v>985.27664560307119</v>
      </c>
      <c r="E230" s="5">
        <v>28000</v>
      </c>
      <c r="F230" s="5">
        <v>54</v>
      </c>
      <c r="G230" s="6">
        <v>1.2</v>
      </c>
      <c r="H230" s="6">
        <f t="shared" si="48"/>
        <v>0.23918525199925825</v>
      </c>
    </row>
    <row r="231" spans="1:8" x14ac:dyDescent="0.3">
      <c r="A231" s="3" t="s">
        <v>113</v>
      </c>
      <c r="B231" s="3" t="s">
        <v>146</v>
      </c>
      <c r="C231" s="3" t="s">
        <v>54</v>
      </c>
      <c r="D231" s="15">
        <f t="shared" si="47"/>
        <v>985.27664560307119</v>
      </c>
      <c r="E231" s="5">
        <v>28000</v>
      </c>
      <c r="F231" s="5">
        <v>54</v>
      </c>
      <c r="G231" s="6">
        <v>1.2</v>
      </c>
      <c r="H231" s="6">
        <f t="shared" si="48"/>
        <v>0.23918525199925825</v>
      </c>
    </row>
    <row r="232" spans="1:8" x14ac:dyDescent="0.3">
      <c r="A232" s="3" t="s">
        <v>113</v>
      </c>
      <c r="B232" s="3" t="s">
        <v>146</v>
      </c>
      <c r="C232" s="3" t="s">
        <v>54</v>
      </c>
      <c r="D232" s="15">
        <f t="shared" si="47"/>
        <v>985.27664560307119</v>
      </c>
      <c r="E232" s="5">
        <v>28000</v>
      </c>
      <c r="F232" s="5">
        <v>54</v>
      </c>
      <c r="G232" s="6">
        <v>1.2</v>
      </c>
      <c r="H232" s="6">
        <f t="shared" si="48"/>
        <v>0.23918525199925825</v>
      </c>
    </row>
    <row r="233" spans="1:8" x14ac:dyDescent="0.3">
      <c r="A233" s="3" t="s">
        <v>113</v>
      </c>
      <c r="B233" s="3" t="s">
        <v>146</v>
      </c>
      <c r="C233" s="3" t="s">
        <v>54</v>
      </c>
      <c r="D233" s="15">
        <f t="shared" si="47"/>
        <v>985.27664560307119</v>
      </c>
      <c r="E233" s="5">
        <v>28000</v>
      </c>
      <c r="F233" s="5">
        <v>54</v>
      </c>
      <c r="G233" s="6">
        <v>1.2</v>
      </c>
      <c r="H233" s="6">
        <f t="shared" si="48"/>
        <v>0.23918525199925825</v>
      </c>
    </row>
    <row r="234" spans="1:8" x14ac:dyDescent="0.3">
      <c r="A234" s="3" t="s">
        <v>113</v>
      </c>
      <c r="B234" s="3" t="s">
        <v>146</v>
      </c>
      <c r="C234" s="3" t="s">
        <v>54</v>
      </c>
      <c r="D234" s="15">
        <f t="shared" si="47"/>
        <v>985.27664560307119</v>
      </c>
      <c r="E234" s="5">
        <v>28000</v>
      </c>
      <c r="F234" s="5">
        <v>54</v>
      </c>
      <c r="G234" s="6">
        <v>1.2</v>
      </c>
      <c r="H234" s="6">
        <f t="shared" si="48"/>
        <v>0.23918525199925825</v>
      </c>
    </row>
    <row r="235" spans="1:8" x14ac:dyDescent="0.3">
      <c r="A235" s="3" t="s">
        <v>113</v>
      </c>
      <c r="B235" s="3" t="s">
        <v>146</v>
      </c>
      <c r="C235" s="3" t="s">
        <v>54</v>
      </c>
      <c r="D235" s="15">
        <f t="shared" si="47"/>
        <v>985.27664560307119</v>
      </c>
      <c r="E235" s="5">
        <v>28000</v>
      </c>
      <c r="F235" s="5">
        <v>54</v>
      </c>
      <c r="G235" s="6">
        <v>1.2</v>
      </c>
      <c r="H235" s="6">
        <f t="shared" si="48"/>
        <v>0.23918525199925825</v>
      </c>
    </row>
    <row r="236" spans="1:8" x14ac:dyDescent="0.3">
      <c r="A236" s="3" t="s">
        <v>113</v>
      </c>
      <c r="B236" s="3" t="s">
        <v>146</v>
      </c>
      <c r="C236" s="3" t="s">
        <v>54</v>
      </c>
      <c r="D236" s="15">
        <f t="shared" si="47"/>
        <v>985.27664560307119</v>
      </c>
      <c r="E236" s="5">
        <v>28000</v>
      </c>
      <c r="F236" s="5">
        <v>54</v>
      </c>
      <c r="G236" s="6">
        <v>1.2</v>
      </c>
      <c r="H236" s="6">
        <f t="shared" si="48"/>
        <v>0.23918525199925825</v>
      </c>
    </row>
    <row r="237" spans="1:8" x14ac:dyDescent="0.3">
      <c r="A237" s="3" t="s">
        <v>113</v>
      </c>
      <c r="B237" s="3" t="s">
        <v>146</v>
      </c>
      <c r="C237" s="3" t="s">
        <v>54</v>
      </c>
      <c r="D237" s="15">
        <f t="shared" si="47"/>
        <v>985.27664560307119</v>
      </c>
      <c r="E237" s="5">
        <v>28000</v>
      </c>
      <c r="F237" s="5">
        <v>54</v>
      </c>
      <c r="G237" s="6">
        <v>1.2</v>
      </c>
      <c r="H237" s="6">
        <f t="shared" si="48"/>
        <v>0.23918525199925825</v>
      </c>
    </row>
    <row r="238" spans="1:8" x14ac:dyDescent="0.3">
      <c r="A238" s="3" t="s">
        <v>113</v>
      </c>
      <c r="B238" s="3" t="s">
        <v>146</v>
      </c>
      <c r="C238" s="3" t="s">
        <v>54</v>
      </c>
      <c r="D238" s="15">
        <f t="shared" si="47"/>
        <v>985.27664560307119</v>
      </c>
      <c r="E238" s="5">
        <v>28000</v>
      </c>
      <c r="F238" s="5">
        <v>54</v>
      </c>
      <c r="G238" s="6">
        <v>1.2</v>
      </c>
      <c r="H238" s="6">
        <f t="shared" si="48"/>
        <v>0.23918525199925825</v>
      </c>
    </row>
    <row r="239" spans="1:8" x14ac:dyDescent="0.3">
      <c r="A239" s="3" t="s">
        <v>113</v>
      </c>
      <c r="B239" s="3" t="s">
        <v>146</v>
      </c>
      <c r="C239" s="3" t="s">
        <v>54</v>
      </c>
      <c r="D239" s="15">
        <f t="shared" si="47"/>
        <v>985.27664560307119</v>
      </c>
      <c r="E239" s="5">
        <v>28000</v>
      </c>
      <c r="F239" s="5">
        <v>54</v>
      </c>
      <c r="G239" s="6">
        <v>1.2</v>
      </c>
      <c r="H239" s="6">
        <f t="shared" si="48"/>
        <v>0.23918525199925825</v>
      </c>
    </row>
    <row r="240" spans="1:8" x14ac:dyDescent="0.3">
      <c r="A240" s="3" t="s">
        <v>113</v>
      </c>
      <c r="B240" s="3" t="s">
        <v>146</v>
      </c>
      <c r="C240" s="3" t="s">
        <v>54</v>
      </c>
      <c r="D240" s="15">
        <f t="shared" si="47"/>
        <v>985.27664560307119</v>
      </c>
      <c r="E240" s="5">
        <v>28000</v>
      </c>
      <c r="F240" s="5">
        <v>54</v>
      </c>
      <c r="G240" s="6">
        <v>1.2</v>
      </c>
      <c r="H240" s="6">
        <f t="shared" si="48"/>
        <v>0.23918525199925825</v>
      </c>
    </row>
    <row r="241" spans="1:8" x14ac:dyDescent="0.3">
      <c r="A241" s="3" t="s">
        <v>113</v>
      </c>
      <c r="B241" s="3" t="s">
        <v>146</v>
      </c>
      <c r="C241" s="3" t="s">
        <v>54</v>
      </c>
      <c r="D241" s="15">
        <f t="shared" si="47"/>
        <v>985.27664560307119</v>
      </c>
      <c r="E241" s="5">
        <v>28000</v>
      </c>
      <c r="F241" s="5">
        <v>54</v>
      </c>
      <c r="G241" s="6">
        <v>1.2</v>
      </c>
      <c r="H241" s="6">
        <f t="shared" si="48"/>
        <v>0.23918525199925825</v>
      </c>
    </row>
    <row r="242" spans="1:8" x14ac:dyDescent="0.3">
      <c r="A242" s="3" t="s">
        <v>113</v>
      </c>
      <c r="B242" s="3" t="s">
        <v>146</v>
      </c>
      <c r="C242" s="3" t="s">
        <v>54</v>
      </c>
      <c r="D242" s="15">
        <f t="shared" si="47"/>
        <v>985.27664560307119</v>
      </c>
      <c r="E242" s="5">
        <v>28000</v>
      </c>
      <c r="F242" s="5">
        <v>54</v>
      </c>
      <c r="G242" s="6">
        <v>1.2</v>
      </c>
      <c r="H242" s="6">
        <f t="shared" si="48"/>
        <v>0.23918525199925825</v>
      </c>
    </row>
    <row r="243" spans="1:8" x14ac:dyDescent="0.3">
      <c r="A243" s="3" t="s">
        <v>113</v>
      </c>
      <c r="B243" s="3" t="s">
        <v>146</v>
      </c>
      <c r="C243" s="3" t="s">
        <v>54</v>
      </c>
      <c r="D243" s="15">
        <f t="shared" si="47"/>
        <v>985.27664560307119</v>
      </c>
      <c r="E243" s="5">
        <v>28000</v>
      </c>
      <c r="F243" s="5">
        <v>54</v>
      </c>
      <c r="G243" s="6">
        <v>1.2</v>
      </c>
      <c r="H243" s="6">
        <f t="shared" si="48"/>
        <v>0.23918525199925825</v>
      </c>
    </row>
    <row r="244" spans="1:8" x14ac:dyDescent="0.3">
      <c r="A244" s="3" t="s">
        <v>113</v>
      </c>
      <c r="B244" s="3" t="s">
        <v>146</v>
      </c>
      <c r="C244" s="3" t="s">
        <v>54</v>
      </c>
      <c r="D244" s="15">
        <f t="shared" si="47"/>
        <v>985.27664560307119</v>
      </c>
      <c r="E244" s="5">
        <v>28000</v>
      </c>
      <c r="F244" s="5">
        <v>54</v>
      </c>
      <c r="G244" s="6">
        <v>1.2</v>
      </c>
      <c r="H244" s="6">
        <f t="shared" si="48"/>
        <v>0.23918525199925825</v>
      </c>
    </row>
    <row r="245" spans="1:8" x14ac:dyDescent="0.3">
      <c r="A245" s="3" t="s">
        <v>113</v>
      </c>
      <c r="B245" s="3" t="s">
        <v>146</v>
      </c>
      <c r="C245" s="3" t="s">
        <v>54</v>
      </c>
      <c r="D245" s="15">
        <f t="shared" si="47"/>
        <v>985.27664560307119</v>
      </c>
      <c r="E245" s="5">
        <v>28000</v>
      </c>
      <c r="F245" s="5">
        <v>54</v>
      </c>
      <c r="G245" s="6">
        <v>1.2</v>
      </c>
      <c r="H245" s="6">
        <f t="shared" si="48"/>
        <v>0.23918525199925825</v>
      </c>
    </row>
    <row r="246" spans="1:8" x14ac:dyDescent="0.3">
      <c r="A246" s="3" t="s">
        <v>113</v>
      </c>
      <c r="B246" s="3" t="s">
        <v>146</v>
      </c>
      <c r="C246" s="3" t="s">
        <v>54</v>
      </c>
      <c r="D246" s="15">
        <f t="shared" si="47"/>
        <v>985.27664560307119</v>
      </c>
      <c r="E246" s="5">
        <v>28000</v>
      </c>
      <c r="F246" s="5">
        <v>54</v>
      </c>
      <c r="G246" s="6">
        <v>1.2</v>
      </c>
      <c r="H246" s="6">
        <f t="shared" si="48"/>
        <v>0.23918525199925825</v>
      </c>
    </row>
    <row r="247" spans="1:8" x14ac:dyDescent="0.3">
      <c r="A247" s="3" t="s">
        <v>113</v>
      </c>
      <c r="B247" s="3" t="s">
        <v>146</v>
      </c>
      <c r="C247" s="3" t="s">
        <v>54</v>
      </c>
      <c r="D247" s="15">
        <f t="shared" si="47"/>
        <v>985.27664560307119</v>
      </c>
      <c r="E247" s="5">
        <v>28000</v>
      </c>
      <c r="F247" s="5">
        <v>54</v>
      </c>
      <c r="G247" s="6">
        <v>1.2</v>
      </c>
      <c r="H247" s="6">
        <f t="shared" si="48"/>
        <v>0.23918525199925825</v>
      </c>
    </row>
    <row r="248" spans="1:8" x14ac:dyDescent="0.3">
      <c r="A248" s="3" t="s">
        <v>113</v>
      </c>
      <c r="B248" s="3" t="s">
        <v>146</v>
      </c>
      <c r="C248" s="3" t="s">
        <v>54</v>
      </c>
      <c r="D248" s="15">
        <f t="shared" si="47"/>
        <v>985.27664560307119</v>
      </c>
      <c r="E248" s="5">
        <v>28000</v>
      </c>
      <c r="F248" s="5">
        <v>54</v>
      </c>
      <c r="G248" s="6">
        <v>1.2</v>
      </c>
      <c r="H248" s="6">
        <f t="shared" si="48"/>
        <v>0.23918525199925825</v>
      </c>
    </row>
    <row r="249" spans="1:8" x14ac:dyDescent="0.3">
      <c r="A249" s="3" t="s">
        <v>113</v>
      </c>
      <c r="B249" s="3" t="s">
        <v>146</v>
      </c>
      <c r="C249" s="3" t="s">
        <v>54</v>
      </c>
      <c r="D249" s="15">
        <f t="shared" si="47"/>
        <v>985.27664560307119</v>
      </c>
      <c r="E249" s="5">
        <v>28000</v>
      </c>
      <c r="F249" s="5">
        <v>54</v>
      </c>
      <c r="G249" s="6">
        <v>1.2</v>
      </c>
      <c r="H249" s="6">
        <f t="shared" si="48"/>
        <v>0.23918525199925825</v>
      </c>
    </row>
    <row r="250" spans="1:8" x14ac:dyDescent="0.3">
      <c r="A250" s="3" t="s">
        <v>113</v>
      </c>
      <c r="B250" s="3" t="s">
        <v>146</v>
      </c>
      <c r="C250" s="3" t="s">
        <v>54</v>
      </c>
      <c r="D250" s="15">
        <f t="shared" si="47"/>
        <v>985.27664560307119</v>
      </c>
      <c r="E250" s="5">
        <v>28000</v>
      </c>
      <c r="F250" s="5">
        <v>54</v>
      </c>
      <c r="G250" s="6">
        <v>1.2</v>
      </c>
      <c r="H250" s="6">
        <f t="shared" si="48"/>
        <v>0.23918525199925825</v>
      </c>
    </row>
    <row r="251" spans="1:8" x14ac:dyDescent="0.3">
      <c r="A251" s="3" t="s">
        <v>113</v>
      </c>
      <c r="B251" s="3" t="s">
        <v>146</v>
      </c>
      <c r="C251" s="3" t="s">
        <v>54</v>
      </c>
      <c r="D251" s="15">
        <f t="shared" si="47"/>
        <v>985.27664560307119</v>
      </c>
      <c r="E251" s="5">
        <v>28000</v>
      </c>
      <c r="F251" s="5">
        <v>54</v>
      </c>
      <c r="G251" s="6">
        <v>1.2</v>
      </c>
      <c r="H251" s="6">
        <f t="shared" si="48"/>
        <v>0.23918525199925825</v>
      </c>
    </row>
    <row r="252" spans="1:8" x14ac:dyDescent="0.3">
      <c r="A252" s="3" t="s">
        <v>113</v>
      </c>
      <c r="B252" s="3" t="s">
        <v>146</v>
      </c>
      <c r="C252" s="3" t="s">
        <v>54</v>
      </c>
      <c r="D252" s="15">
        <f t="shared" si="47"/>
        <v>985.27664560307119</v>
      </c>
      <c r="E252" s="5">
        <v>28000</v>
      </c>
      <c r="F252" s="5">
        <v>54</v>
      </c>
      <c r="G252" s="6">
        <v>1.2</v>
      </c>
      <c r="H252" s="6">
        <f t="shared" si="48"/>
        <v>0.23918525199925825</v>
      </c>
    </row>
    <row r="253" spans="1:8" x14ac:dyDescent="0.3">
      <c r="A253" s="3" t="s">
        <v>113</v>
      </c>
      <c r="B253" s="3" t="s">
        <v>146</v>
      </c>
      <c r="C253" s="3" t="s">
        <v>54</v>
      </c>
      <c r="D253" s="15">
        <f t="shared" si="47"/>
        <v>985.27664560307119</v>
      </c>
      <c r="E253" s="5">
        <v>28000</v>
      </c>
      <c r="F253" s="5">
        <v>54</v>
      </c>
      <c r="G253" s="6">
        <v>1.2</v>
      </c>
      <c r="H253" s="6">
        <f t="shared" si="48"/>
        <v>0.23918525199925825</v>
      </c>
    </row>
    <row r="254" spans="1:8" x14ac:dyDescent="0.3">
      <c r="A254" s="3" t="s">
        <v>113</v>
      </c>
      <c r="B254" s="3" t="s">
        <v>146</v>
      </c>
      <c r="C254" s="3" t="s">
        <v>54</v>
      </c>
      <c r="D254" s="15">
        <f t="shared" si="47"/>
        <v>985.27664560307119</v>
      </c>
      <c r="E254" s="5">
        <v>28000</v>
      </c>
      <c r="F254" s="5">
        <v>54</v>
      </c>
      <c r="G254" s="6">
        <v>1.2</v>
      </c>
      <c r="H254" s="6">
        <f t="shared" si="48"/>
        <v>0.23918525199925825</v>
      </c>
    </row>
    <row r="255" spans="1:8" x14ac:dyDescent="0.3">
      <c r="A255" s="3" t="s">
        <v>113</v>
      </c>
      <c r="B255" s="3" t="s">
        <v>146</v>
      </c>
      <c r="C255" s="3" t="s">
        <v>54</v>
      </c>
      <c r="D255" s="15">
        <f t="shared" si="47"/>
        <v>985.27664560307119</v>
      </c>
      <c r="E255" s="5">
        <v>28000</v>
      </c>
      <c r="F255" s="5">
        <v>54</v>
      </c>
      <c r="G255" s="6">
        <v>1.2</v>
      </c>
      <c r="H255" s="6">
        <f t="shared" si="48"/>
        <v>0.23918525199925825</v>
      </c>
    </row>
    <row r="256" spans="1:8" x14ac:dyDescent="0.3">
      <c r="A256" s="3" t="s">
        <v>113</v>
      </c>
      <c r="B256" s="3" t="s">
        <v>146</v>
      </c>
      <c r="C256" s="3" t="s">
        <v>54</v>
      </c>
      <c r="D256" s="15">
        <f t="shared" si="47"/>
        <v>985.27664560307119</v>
      </c>
      <c r="E256" s="5">
        <v>28000</v>
      </c>
      <c r="F256" s="5">
        <v>54</v>
      </c>
      <c r="G256" s="6">
        <v>1.2</v>
      </c>
      <c r="H256" s="6">
        <f t="shared" si="48"/>
        <v>0.23918525199925825</v>
      </c>
    </row>
    <row r="257" spans="1:8" x14ac:dyDescent="0.3">
      <c r="A257" s="3" t="s">
        <v>113</v>
      </c>
      <c r="B257" s="3" t="s">
        <v>146</v>
      </c>
      <c r="C257" s="3" t="s">
        <v>54</v>
      </c>
      <c r="D257" s="15">
        <f t="shared" si="47"/>
        <v>985.27664560307119</v>
      </c>
      <c r="E257" s="5">
        <v>28000</v>
      </c>
      <c r="F257" s="5">
        <v>54</v>
      </c>
      <c r="G257" s="6">
        <v>1.2</v>
      </c>
      <c r="H257" s="6">
        <f t="shared" si="48"/>
        <v>0.23918525199925825</v>
      </c>
    </row>
    <row r="258" spans="1:8" x14ac:dyDescent="0.3">
      <c r="A258" s="3" t="s">
        <v>113</v>
      </c>
      <c r="B258" s="3" t="s">
        <v>146</v>
      </c>
      <c r="C258" s="3" t="s">
        <v>54</v>
      </c>
      <c r="D258" s="15">
        <f t="shared" si="47"/>
        <v>985.27664560307119</v>
      </c>
      <c r="E258" s="5">
        <v>28000</v>
      </c>
      <c r="F258" s="5">
        <v>54</v>
      </c>
      <c r="G258" s="6">
        <v>1.2</v>
      </c>
      <c r="H258" s="6">
        <f t="shared" si="48"/>
        <v>0.23918525199925825</v>
      </c>
    </row>
    <row r="259" spans="1:8" x14ac:dyDescent="0.3">
      <c r="A259" s="3" t="s">
        <v>113</v>
      </c>
      <c r="B259" s="3" t="s">
        <v>146</v>
      </c>
      <c r="C259" s="3" t="s">
        <v>54</v>
      </c>
      <c r="D259" s="15">
        <f t="shared" si="47"/>
        <v>985.27664560307119</v>
      </c>
      <c r="E259" s="5">
        <v>28000</v>
      </c>
      <c r="F259" s="5">
        <v>54</v>
      </c>
      <c r="G259" s="6">
        <v>1.2</v>
      </c>
      <c r="H259" s="6">
        <f t="shared" si="48"/>
        <v>0.23918525199925825</v>
      </c>
    </row>
    <row r="260" spans="1:8" x14ac:dyDescent="0.3">
      <c r="A260" s="3" t="s">
        <v>113</v>
      </c>
      <c r="B260" s="3" t="s">
        <v>146</v>
      </c>
      <c r="C260" s="3" t="s">
        <v>54</v>
      </c>
      <c r="D260" s="15">
        <f t="shared" si="47"/>
        <v>985.27664560307119</v>
      </c>
      <c r="E260" s="5">
        <v>28000</v>
      </c>
      <c r="F260" s="5">
        <v>54</v>
      </c>
      <c r="G260" s="6">
        <v>1.2</v>
      </c>
      <c r="H260" s="6">
        <f t="shared" si="48"/>
        <v>0.23918525199925825</v>
      </c>
    </row>
    <row r="261" spans="1:8" x14ac:dyDescent="0.3">
      <c r="A261" s="3" t="s">
        <v>113</v>
      </c>
      <c r="B261" s="3" t="s">
        <v>146</v>
      </c>
      <c r="C261" s="3" t="s">
        <v>54</v>
      </c>
      <c r="D261" s="15">
        <f t="shared" si="47"/>
        <v>985.27664560307119</v>
      </c>
      <c r="E261" s="5">
        <v>28000</v>
      </c>
      <c r="F261" s="5">
        <v>54</v>
      </c>
      <c r="G261" s="6">
        <v>1.2</v>
      </c>
      <c r="H261" s="6">
        <f t="shared" si="48"/>
        <v>0.23918525199925825</v>
      </c>
    </row>
    <row r="262" spans="1:8" x14ac:dyDescent="0.3">
      <c r="A262" s="3" t="s">
        <v>113</v>
      </c>
      <c r="B262" s="3" t="s">
        <v>146</v>
      </c>
      <c r="C262" s="3" t="s">
        <v>54</v>
      </c>
      <c r="D262" s="15">
        <f t="shared" si="47"/>
        <v>985.27664560307119</v>
      </c>
      <c r="E262" s="5">
        <v>28000</v>
      </c>
      <c r="F262" s="5">
        <v>54</v>
      </c>
      <c r="G262" s="6">
        <v>1.2</v>
      </c>
      <c r="H262" s="6">
        <f t="shared" si="48"/>
        <v>0.23918525199925825</v>
      </c>
    </row>
    <row r="263" spans="1:8" x14ac:dyDescent="0.3">
      <c r="A263" s="3" t="s">
        <v>113</v>
      </c>
      <c r="B263" s="3" t="s">
        <v>146</v>
      </c>
      <c r="C263" s="3" t="s">
        <v>54</v>
      </c>
      <c r="D263" s="15">
        <f t="shared" si="47"/>
        <v>985.27664560307119</v>
      </c>
      <c r="E263" s="5">
        <v>28000</v>
      </c>
      <c r="F263" s="5">
        <v>54</v>
      </c>
      <c r="G263" s="6">
        <v>1.2</v>
      </c>
      <c r="H263" s="6">
        <f t="shared" si="48"/>
        <v>0.23918525199925825</v>
      </c>
    </row>
    <row r="264" spans="1:8" x14ac:dyDescent="0.3">
      <c r="A264" s="3" t="s">
        <v>113</v>
      </c>
      <c r="B264" s="3" t="s">
        <v>146</v>
      </c>
      <c r="C264" s="3" t="s">
        <v>54</v>
      </c>
      <c r="D264" s="15">
        <f t="shared" si="47"/>
        <v>985.27664560307119</v>
      </c>
      <c r="E264" s="5">
        <v>28000</v>
      </c>
      <c r="F264" s="5">
        <v>54</v>
      </c>
      <c r="G264" s="6">
        <v>1.2</v>
      </c>
      <c r="H264" s="6">
        <f t="shared" si="48"/>
        <v>0.23918525199925825</v>
      </c>
    </row>
    <row r="265" spans="1:8" x14ac:dyDescent="0.3">
      <c r="A265" s="3" t="s">
        <v>113</v>
      </c>
      <c r="B265" s="3" t="s">
        <v>146</v>
      </c>
      <c r="C265" s="3" t="s">
        <v>54</v>
      </c>
      <c r="D265" s="15">
        <f t="shared" si="47"/>
        <v>985.27664560307119</v>
      </c>
      <c r="E265" s="5">
        <v>28000</v>
      </c>
      <c r="F265" s="5">
        <v>54</v>
      </c>
      <c r="G265" s="6">
        <v>1.2</v>
      </c>
      <c r="H265" s="6">
        <f t="shared" si="48"/>
        <v>0.23918525199925825</v>
      </c>
    </row>
    <row r="266" spans="1:8" x14ac:dyDescent="0.3">
      <c r="A266" s="3" t="s">
        <v>113</v>
      </c>
      <c r="B266" s="3" t="s">
        <v>146</v>
      </c>
      <c r="C266" s="3" t="s">
        <v>54</v>
      </c>
      <c r="D266" s="15">
        <f t="shared" si="47"/>
        <v>985.27664560307119</v>
      </c>
      <c r="E266" s="5">
        <v>28000</v>
      </c>
      <c r="F266" s="5">
        <v>54</v>
      </c>
      <c r="G266" s="6">
        <v>1.2</v>
      </c>
      <c r="H266" s="6">
        <f t="shared" si="48"/>
        <v>0.23918525199925825</v>
      </c>
    </row>
    <row r="267" spans="1:8" x14ac:dyDescent="0.3">
      <c r="A267" s="3" t="s">
        <v>113</v>
      </c>
      <c r="B267" s="3" t="s">
        <v>146</v>
      </c>
      <c r="C267" s="3" t="s">
        <v>54</v>
      </c>
      <c r="D267" s="15">
        <f t="shared" si="47"/>
        <v>985.27664560307119</v>
      </c>
      <c r="E267" s="5">
        <v>28000</v>
      </c>
      <c r="F267" s="5">
        <v>54</v>
      </c>
      <c r="G267" s="6">
        <v>1.2</v>
      </c>
      <c r="H267" s="6">
        <f t="shared" si="48"/>
        <v>0.23918525199925825</v>
      </c>
    </row>
    <row r="268" spans="1:8" x14ac:dyDescent="0.3">
      <c r="A268" s="3" t="s">
        <v>113</v>
      </c>
      <c r="B268" s="3" t="s">
        <v>146</v>
      </c>
      <c r="C268" s="3" t="s">
        <v>54</v>
      </c>
      <c r="D268" s="15">
        <f t="shared" si="47"/>
        <v>985.27664560307119</v>
      </c>
      <c r="E268" s="5">
        <v>28000</v>
      </c>
      <c r="F268" s="5">
        <v>54</v>
      </c>
      <c r="G268" s="6">
        <v>1.2</v>
      </c>
      <c r="H268" s="6">
        <f t="shared" si="48"/>
        <v>0.23918525199925825</v>
      </c>
    </row>
    <row r="269" spans="1:8" x14ac:dyDescent="0.3">
      <c r="A269" s="3" t="s">
        <v>113</v>
      </c>
      <c r="B269" s="3" t="s">
        <v>146</v>
      </c>
      <c r="C269" s="3" t="s">
        <v>54</v>
      </c>
      <c r="D269" s="15">
        <f t="shared" si="47"/>
        <v>985.27664560307119</v>
      </c>
      <c r="E269" s="5">
        <v>28000</v>
      </c>
      <c r="F269" s="5">
        <v>54</v>
      </c>
      <c r="G269" s="6">
        <v>1.2</v>
      </c>
      <c r="H269" s="6">
        <f t="shared" si="48"/>
        <v>0.23918525199925825</v>
      </c>
    </row>
    <row r="270" spans="1:8" x14ac:dyDescent="0.3">
      <c r="A270" s="3" t="s">
        <v>113</v>
      </c>
      <c r="B270" s="3" t="s">
        <v>146</v>
      </c>
      <c r="C270" s="3" t="s">
        <v>54</v>
      </c>
      <c r="D270" s="15">
        <f t="shared" si="47"/>
        <v>985.27664560307119</v>
      </c>
      <c r="E270" s="5">
        <v>28000</v>
      </c>
      <c r="F270" s="5">
        <v>54</v>
      </c>
      <c r="G270" s="6">
        <v>1.2</v>
      </c>
      <c r="H270" s="6">
        <f t="shared" si="48"/>
        <v>0.23918525199925825</v>
      </c>
    </row>
    <row r="271" spans="1:8" x14ac:dyDescent="0.3">
      <c r="A271" s="3" t="s">
        <v>113</v>
      </c>
      <c r="B271" s="3" t="s">
        <v>146</v>
      </c>
      <c r="C271" s="3" t="s">
        <v>54</v>
      </c>
      <c r="D271" s="15">
        <f t="shared" si="47"/>
        <v>985.27664560307119</v>
      </c>
      <c r="E271" s="5">
        <v>28000</v>
      </c>
      <c r="F271" s="5">
        <v>54</v>
      </c>
      <c r="G271" s="6">
        <v>1.2</v>
      </c>
      <c r="H271" s="6">
        <f t="shared" si="48"/>
        <v>0.23918525199925825</v>
      </c>
    </row>
    <row r="272" spans="1:8" x14ac:dyDescent="0.3">
      <c r="A272" s="3" t="s">
        <v>113</v>
      </c>
      <c r="B272" s="3" t="s">
        <v>146</v>
      </c>
      <c r="C272" s="3" t="s">
        <v>54</v>
      </c>
      <c r="D272" s="15">
        <f t="shared" si="47"/>
        <v>985.27664560307119</v>
      </c>
      <c r="E272" s="5">
        <v>28000</v>
      </c>
      <c r="F272" s="5">
        <v>54</v>
      </c>
      <c r="G272" s="6">
        <v>1.2</v>
      </c>
      <c r="H272" s="6">
        <f t="shared" si="48"/>
        <v>0.23918525199925825</v>
      </c>
    </row>
    <row r="273" spans="1:8" x14ac:dyDescent="0.3">
      <c r="A273" s="3" t="s">
        <v>113</v>
      </c>
      <c r="B273" s="3" t="s">
        <v>146</v>
      </c>
      <c r="C273" s="3" t="s">
        <v>54</v>
      </c>
      <c r="D273" s="15">
        <f t="shared" si="47"/>
        <v>985.27664560307119</v>
      </c>
      <c r="E273" s="5">
        <v>28000</v>
      </c>
      <c r="F273" s="5">
        <v>54</v>
      </c>
      <c r="G273" s="6">
        <v>1.2</v>
      </c>
      <c r="H273" s="6">
        <f t="shared" si="48"/>
        <v>0.23918525199925825</v>
      </c>
    </row>
    <row r="274" spans="1:8" x14ac:dyDescent="0.3">
      <c r="A274" s="3" t="s">
        <v>113</v>
      </c>
      <c r="B274" s="3" t="s">
        <v>146</v>
      </c>
      <c r="C274" s="3" t="s">
        <v>54</v>
      </c>
      <c r="D274" s="15">
        <f t="shared" si="47"/>
        <v>985.27664560307119</v>
      </c>
      <c r="E274" s="5">
        <v>28000</v>
      </c>
      <c r="F274" s="5">
        <v>54</v>
      </c>
      <c r="G274" s="6">
        <v>1.2</v>
      </c>
      <c r="H274" s="6">
        <f t="shared" si="48"/>
        <v>0.23918525199925825</v>
      </c>
    </row>
    <row r="275" spans="1:8" x14ac:dyDescent="0.3">
      <c r="A275" s="3" t="s">
        <v>113</v>
      </c>
      <c r="B275" s="3" t="s">
        <v>146</v>
      </c>
      <c r="C275" s="3" t="s">
        <v>54</v>
      </c>
      <c r="D275" s="15">
        <f t="shared" si="47"/>
        <v>985.27664560307119</v>
      </c>
      <c r="E275" s="5">
        <v>28000</v>
      </c>
      <c r="F275" s="5">
        <v>54</v>
      </c>
      <c r="G275" s="6">
        <v>1.2</v>
      </c>
      <c r="H275" s="6">
        <f t="shared" si="48"/>
        <v>0.23918525199925825</v>
      </c>
    </row>
    <row r="276" spans="1:8" x14ac:dyDescent="0.3">
      <c r="A276" s="3" t="s">
        <v>109</v>
      </c>
      <c r="B276" s="3" t="s">
        <v>146</v>
      </c>
      <c r="C276" s="3" t="s">
        <v>54</v>
      </c>
      <c r="D276" s="15">
        <f>1686.44997378085/2</f>
        <v>843.22498689042504</v>
      </c>
      <c r="E276" s="5">
        <v>28000</v>
      </c>
      <c r="F276" s="5">
        <v>54</v>
      </c>
      <c r="G276" s="6">
        <v>1.2</v>
      </c>
      <c r="H276" s="6">
        <f t="shared" ref="H276" si="49">(E276+(F276*(D276^G276)))/1000000</f>
        <v>0.20319669961142386</v>
      </c>
    </row>
    <row r="277" spans="1:8" x14ac:dyDescent="0.3">
      <c r="A277" s="3" t="s">
        <v>109</v>
      </c>
      <c r="B277" s="3" t="s">
        <v>146</v>
      </c>
      <c r="C277" s="3" t="s">
        <v>54</v>
      </c>
      <c r="D277" s="15">
        <f>1686.44997378085/2</f>
        <v>843.22498689042504</v>
      </c>
      <c r="E277" s="5">
        <v>28000</v>
      </c>
      <c r="F277" s="5">
        <v>54</v>
      </c>
      <c r="G277" s="6">
        <v>1.2</v>
      </c>
      <c r="H277" s="6">
        <f t="shared" ref="H277" si="50">(E277+(F277*(D277^G277)))/1000000</f>
        <v>0.20319669961142386</v>
      </c>
    </row>
    <row r="278" spans="1:8" x14ac:dyDescent="0.3">
      <c r="A278" s="3" t="s">
        <v>114</v>
      </c>
      <c r="B278" s="3" t="s">
        <v>146</v>
      </c>
      <c r="C278" s="3" t="s">
        <v>54</v>
      </c>
      <c r="D278" s="15">
        <v>56.023424998073402</v>
      </c>
      <c r="E278" s="5">
        <v>28000</v>
      </c>
      <c r="F278" s="5">
        <v>54</v>
      </c>
      <c r="G278" s="6">
        <v>1.2</v>
      </c>
      <c r="H278" s="6">
        <f t="shared" ref="H278" si="51">(E278+(F278*(D278^G278)))/1000000</f>
        <v>3.476764153186538E-2</v>
      </c>
    </row>
    <row r="279" spans="1:8" x14ac:dyDescent="0.3">
      <c r="A279" s="3" t="s">
        <v>106</v>
      </c>
      <c r="B279" s="3" t="s">
        <v>146</v>
      </c>
      <c r="C279" s="3" t="s">
        <v>54</v>
      </c>
      <c r="D279" s="15">
        <f>4484.78066035944/5</f>
        <v>896.95613207188796</v>
      </c>
      <c r="E279" s="5">
        <v>28000</v>
      </c>
      <c r="F279" s="5">
        <v>54</v>
      </c>
      <c r="G279" s="6">
        <v>1.2</v>
      </c>
      <c r="H279" s="6">
        <f t="shared" si="46"/>
        <v>0.21667710491819722</v>
      </c>
    </row>
    <row r="280" spans="1:8" x14ac:dyDescent="0.3">
      <c r="A280" s="3" t="s">
        <v>106</v>
      </c>
      <c r="B280" s="3" t="s">
        <v>146</v>
      </c>
      <c r="C280" s="3" t="s">
        <v>54</v>
      </c>
      <c r="D280" s="15">
        <f t="shared" ref="D280:D283" si="52">4484.78066035944/5</f>
        <v>896.95613207188796</v>
      </c>
      <c r="E280" s="5">
        <v>28000</v>
      </c>
      <c r="F280" s="5">
        <v>54</v>
      </c>
      <c r="G280" s="6">
        <v>1.2</v>
      </c>
      <c r="H280" s="6">
        <f t="shared" ref="H280:H283" si="53">(E280+(F280*(D280^G280)))/1000000</f>
        <v>0.21667710491819722</v>
      </c>
    </row>
    <row r="281" spans="1:8" x14ac:dyDescent="0.3">
      <c r="A281" s="3" t="s">
        <v>106</v>
      </c>
      <c r="B281" s="3" t="s">
        <v>146</v>
      </c>
      <c r="C281" s="3" t="s">
        <v>54</v>
      </c>
      <c r="D281" s="15">
        <f t="shared" si="52"/>
        <v>896.95613207188796</v>
      </c>
      <c r="E281" s="5">
        <v>28000</v>
      </c>
      <c r="F281" s="5">
        <v>54</v>
      </c>
      <c r="G281" s="6">
        <v>1.2</v>
      </c>
      <c r="H281" s="6">
        <f t="shared" si="53"/>
        <v>0.21667710491819722</v>
      </c>
    </row>
    <row r="282" spans="1:8" x14ac:dyDescent="0.3">
      <c r="A282" s="3" t="s">
        <v>106</v>
      </c>
      <c r="B282" s="3" t="s">
        <v>146</v>
      </c>
      <c r="C282" s="3" t="s">
        <v>54</v>
      </c>
      <c r="D282" s="15">
        <f t="shared" si="52"/>
        <v>896.95613207188796</v>
      </c>
      <c r="E282" s="5">
        <v>28000</v>
      </c>
      <c r="F282" s="5">
        <v>54</v>
      </c>
      <c r="G282" s="6">
        <v>1.2</v>
      </c>
      <c r="H282" s="6">
        <f t="shared" si="53"/>
        <v>0.21667710491819722</v>
      </c>
    </row>
    <row r="283" spans="1:8" x14ac:dyDescent="0.3">
      <c r="A283" s="3" t="s">
        <v>106</v>
      </c>
      <c r="B283" s="3" t="s">
        <v>146</v>
      </c>
      <c r="C283" s="3" t="s">
        <v>54</v>
      </c>
      <c r="D283" s="15">
        <f t="shared" si="52"/>
        <v>896.95613207188796</v>
      </c>
      <c r="E283" s="5">
        <v>28000</v>
      </c>
      <c r="F283" s="5">
        <v>54</v>
      </c>
      <c r="G283" s="6">
        <v>1.2</v>
      </c>
      <c r="H283" s="6">
        <f t="shared" si="53"/>
        <v>0.21667710491819722</v>
      </c>
    </row>
    <row r="284" spans="1:8" x14ac:dyDescent="0.3">
      <c r="A284" s="3" t="s">
        <v>124</v>
      </c>
      <c r="B284" s="3" t="s">
        <v>146</v>
      </c>
      <c r="C284" s="3" t="s">
        <v>54</v>
      </c>
      <c r="D284" s="15">
        <v>124.698100247532</v>
      </c>
      <c r="E284" s="5">
        <v>28000</v>
      </c>
      <c r="F284" s="5">
        <v>54</v>
      </c>
      <c r="G284" s="6">
        <v>1.2</v>
      </c>
      <c r="H284" s="6">
        <f t="shared" ref="H284" si="54">(E284+(F284*(D284^G284)))/1000000</f>
        <v>4.5677692061256443E-2</v>
      </c>
    </row>
    <row r="285" spans="1:8" x14ac:dyDescent="0.3">
      <c r="A285" s="3" t="s">
        <v>107</v>
      </c>
      <c r="B285" s="3" t="s">
        <v>146</v>
      </c>
      <c r="C285" s="3" t="s">
        <v>54</v>
      </c>
      <c r="D285" s="15">
        <f>1009.39004754304/2</f>
        <v>504.69502377152003</v>
      </c>
      <c r="E285" s="5">
        <v>28000</v>
      </c>
      <c r="F285" s="5">
        <v>54</v>
      </c>
      <c r="G285" s="6">
        <v>1.2</v>
      </c>
      <c r="H285" s="6">
        <f t="shared" si="46"/>
        <v>0.12262994485807768</v>
      </c>
    </row>
    <row r="286" spans="1:8" x14ac:dyDescent="0.3">
      <c r="A286" s="3" t="s">
        <v>107</v>
      </c>
      <c r="B286" s="3" t="s">
        <v>146</v>
      </c>
      <c r="C286" s="3" t="s">
        <v>54</v>
      </c>
      <c r="D286" s="15">
        <f>1009.39004754304/2</f>
        <v>504.69502377152003</v>
      </c>
      <c r="E286" s="5">
        <v>28000</v>
      </c>
      <c r="F286" s="5">
        <v>54</v>
      </c>
      <c r="G286" s="6">
        <v>1.2</v>
      </c>
      <c r="H286" s="6">
        <f t="shared" ref="H286" si="55">(E286+(F286*(D286^G286)))/1000000</f>
        <v>0.12262994485807768</v>
      </c>
    </row>
    <row r="287" spans="1:8" x14ac:dyDescent="0.3">
      <c r="A287" s="3" t="s">
        <v>116</v>
      </c>
      <c r="B287" s="3" t="s">
        <v>146</v>
      </c>
      <c r="C287" s="3" t="s">
        <v>54</v>
      </c>
      <c r="D287" s="15">
        <f>1075.35745149403/2</f>
        <v>537.67872574701505</v>
      </c>
      <c r="E287" s="5">
        <v>28000</v>
      </c>
      <c r="F287" s="5">
        <v>54</v>
      </c>
      <c r="G287" s="6">
        <v>1.2</v>
      </c>
      <c r="H287" s="6">
        <f t="shared" si="46"/>
        <v>0.13009892833448666</v>
      </c>
    </row>
    <row r="288" spans="1:8" x14ac:dyDescent="0.3">
      <c r="A288" s="3" t="s">
        <v>116</v>
      </c>
      <c r="B288" s="3" t="s">
        <v>146</v>
      </c>
      <c r="C288" s="3" t="s">
        <v>54</v>
      </c>
      <c r="D288" s="15">
        <f>1075.35745149403/2</f>
        <v>537.67872574701505</v>
      </c>
      <c r="E288" s="5">
        <v>28000</v>
      </c>
      <c r="F288" s="5">
        <v>54</v>
      </c>
      <c r="G288" s="6">
        <v>1.2</v>
      </c>
      <c r="H288" s="6">
        <f t="shared" ref="H288" si="56">(E288+(F288*(D288^G288)))/1000000</f>
        <v>0.13009892833448666</v>
      </c>
    </row>
    <row r="289" spans="1:8" ht="14.25" customHeight="1" x14ac:dyDescent="0.3">
      <c r="A289" s="3" t="s">
        <v>123</v>
      </c>
      <c r="B289" s="3" t="s">
        <v>146</v>
      </c>
      <c r="C289" s="3" t="s">
        <v>54</v>
      </c>
      <c r="D289" s="15">
        <v>25.619587914725098</v>
      </c>
      <c r="E289" s="5">
        <v>28000</v>
      </c>
      <c r="F289" s="5">
        <v>54</v>
      </c>
      <c r="G289" s="6">
        <v>1.2</v>
      </c>
      <c r="H289" s="6">
        <f t="shared" ref="H289" si="57">(E289+(F289*(D289^G289)))/1000000</f>
        <v>3.064655136762191E-2</v>
      </c>
    </row>
    <row r="290" spans="1:8" ht="14.25" customHeight="1" x14ac:dyDescent="0.3">
      <c r="A290" s="3" t="s">
        <v>115</v>
      </c>
      <c r="B290" s="3" t="s">
        <v>146</v>
      </c>
      <c r="C290" s="3" t="s">
        <v>54</v>
      </c>
      <c r="D290" s="15">
        <v>240.531703410695</v>
      </c>
      <c r="E290" s="5">
        <v>28000</v>
      </c>
      <c r="F290" s="5">
        <v>54</v>
      </c>
      <c r="G290" s="6">
        <v>1.2</v>
      </c>
      <c r="H290" s="6">
        <f t="shared" si="46"/>
        <v>6.6886651868366925E-2</v>
      </c>
    </row>
    <row r="291" spans="1:8" x14ac:dyDescent="0.3">
      <c r="A291" s="3" t="s">
        <v>122</v>
      </c>
      <c r="B291" s="3" t="s">
        <v>146</v>
      </c>
      <c r="C291" s="3" t="s">
        <v>54</v>
      </c>
      <c r="D291" s="15">
        <f>1325.19293207844/2</f>
        <v>662.59646603921999</v>
      </c>
      <c r="E291" s="5">
        <v>28000</v>
      </c>
      <c r="F291" s="5">
        <v>54</v>
      </c>
      <c r="G291" s="6">
        <v>1.2</v>
      </c>
      <c r="H291" s="6">
        <f t="shared" si="46"/>
        <v>0.15918757315708765</v>
      </c>
    </row>
    <row r="292" spans="1:8" x14ac:dyDescent="0.3">
      <c r="A292" s="3" t="s">
        <v>122</v>
      </c>
      <c r="B292" s="3" t="s">
        <v>146</v>
      </c>
      <c r="C292" s="3" t="s">
        <v>54</v>
      </c>
      <c r="D292" s="15">
        <f>1325.19293207844/2</f>
        <v>662.59646603921999</v>
      </c>
      <c r="E292" s="5">
        <v>28000</v>
      </c>
      <c r="F292" s="5">
        <v>54</v>
      </c>
      <c r="G292" s="6">
        <v>1.2</v>
      </c>
      <c r="H292" s="6">
        <f t="shared" ref="H292" si="58">(E292+(F292*(D292^G292)))/1000000</f>
        <v>0.15918757315708765</v>
      </c>
    </row>
    <row r="293" spans="1:8" x14ac:dyDescent="0.3">
      <c r="A293" s="3" t="s">
        <v>104</v>
      </c>
      <c r="B293" s="3" t="s">
        <v>146</v>
      </c>
      <c r="C293" s="3" t="s">
        <v>54</v>
      </c>
      <c r="D293" s="15">
        <v>11.5372718544125</v>
      </c>
      <c r="E293" s="5">
        <v>28000</v>
      </c>
      <c r="F293" s="5">
        <v>54</v>
      </c>
      <c r="G293" s="6">
        <v>1.2</v>
      </c>
      <c r="H293" s="6">
        <f t="shared" si="46"/>
        <v>2.9016055687335413E-2</v>
      </c>
    </row>
    <row r="294" spans="1:8" x14ac:dyDescent="0.3">
      <c r="A294" s="3" t="s">
        <v>110</v>
      </c>
      <c r="B294" s="3" t="s">
        <v>146</v>
      </c>
      <c r="C294" s="3" t="s">
        <v>54</v>
      </c>
      <c r="D294" s="15">
        <v>52.724438980798801</v>
      </c>
      <c r="E294" s="5">
        <v>28000</v>
      </c>
      <c r="F294" s="5">
        <v>54</v>
      </c>
      <c r="G294" s="6">
        <v>1.2</v>
      </c>
      <c r="H294" s="6">
        <f t="shared" si="46"/>
        <v>3.42922811667081E-2</v>
      </c>
    </row>
    <row r="295" spans="1:8" x14ac:dyDescent="0.3">
      <c r="A295" s="3" t="s">
        <v>105</v>
      </c>
      <c r="B295" s="3" t="s">
        <v>146</v>
      </c>
      <c r="C295" s="3" t="s">
        <v>54</v>
      </c>
      <c r="D295" s="15">
        <f>5048.7151520657/6</f>
        <v>841.45252534428334</v>
      </c>
      <c r="E295" s="5">
        <v>28000</v>
      </c>
      <c r="F295" s="5">
        <v>54</v>
      </c>
      <c r="G295" s="6">
        <v>1.2</v>
      </c>
      <c r="H295" s="6">
        <f t="shared" ref="H295:H316" si="59">(E295+(F295*(D295^G295)))/1000000</f>
        <v>0.20275487574534268</v>
      </c>
    </row>
    <row r="296" spans="1:8" x14ac:dyDescent="0.3">
      <c r="A296" s="3" t="s">
        <v>105</v>
      </c>
      <c r="B296" s="3" t="s">
        <v>146</v>
      </c>
      <c r="C296" s="3" t="s">
        <v>54</v>
      </c>
      <c r="D296" s="15">
        <f t="shared" ref="D296:D300" si="60">5048.7151520657/6</f>
        <v>841.45252534428334</v>
      </c>
      <c r="E296" s="5">
        <v>28000</v>
      </c>
      <c r="F296" s="5">
        <v>54</v>
      </c>
      <c r="G296" s="6">
        <v>1.2</v>
      </c>
      <c r="H296" s="6">
        <f t="shared" ref="H296:H300" si="61">(E296+(F296*(D296^G296)))/1000000</f>
        <v>0.20275487574534268</v>
      </c>
    </row>
    <row r="297" spans="1:8" x14ac:dyDescent="0.3">
      <c r="A297" s="3" t="s">
        <v>105</v>
      </c>
      <c r="B297" s="3" t="s">
        <v>146</v>
      </c>
      <c r="C297" s="3" t="s">
        <v>54</v>
      </c>
      <c r="D297" s="15">
        <f t="shared" si="60"/>
        <v>841.45252534428334</v>
      </c>
      <c r="E297" s="5">
        <v>28000</v>
      </c>
      <c r="F297" s="5">
        <v>54</v>
      </c>
      <c r="G297" s="6">
        <v>1.2</v>
      </c>
      <c r="H297" s="6">
        <f t="shared" si="61"/>
        <v>0.20275487574534268</v>
      </c>
    </row>
    <row r="298" spans="1:8" x14ac:dyDescent="0.3">
      <c r="A298" s="3" t="s">
        <v>105</v>
      </c>
      <c r="B298" s="3" t="s">
        <v>146</v>
      </c>
      <c r="C298" s="3" t="s">
        <v>54</v>
      </c>
      <c r="D298" s="15">
        <f t="shared" si="60"/>
        <v>841.45252534428334</v>
      </c>
      <c r="E298" s="5">
        <v>28000</v>
      </c>
      <c r="F298" s="5">
        <v>54</v>
      </c>
      <c r="G298" s="6">
        <v>1.2</v>
      </c>
      <c r="H298" s="6">
        <f t="shared" si="61"/>
        <v>0.20275487574534268</v>
      </c>
    </row>
    <row r="299" spans="1:8" x14ac:dyDescent="0.3">
      <c r="A299" s="3" t="s">
        <v>105</v>
      </c>
      <c r="B299" s="3" t="s">
        <v>146</v>
      </c>
      <c r="C299" s="3" t="s">
        <v>54</v>
      </c>
      <c r="D299" s="15">
        <f t="shared" si="60"/>
        <v>841.45252534428334</v>
      </c>
      <c r="E299" s="5">
        <v>28000</v>
      </c>
      <c r="F299" s="5">
        <v>54</v>
      </c>
      <c r="G299" s="6">
        <v>1.2</v>
      </c>
      <c r="H299" s="6">
        <f t="shared" si="61"/>
        <v>0.20275487574534268</v>
      </c>
    </row>
    <row r="300" spans="1:8" x14ac:dyDescent="0.3">
      <c r="A300" s="3" t="s">
        <v>105</v>
      </c>
      <c r="B300" s="3" t="s">
        <v>146</v>
      </c>
      <c r="C300" s="3" t="s">
        <v>54</v>
      </c>
      <c r="D300" s="15">
        <f t="shared" si="60"/>
        <v>841.45252534428334</v>
      </c>
      <c r="E300" s="5">
        <v>28000</v>
      </c>
      <c r="F300" s="5">
        <v>54</v>
      </c>
      <c r="G300" s="6">
        <v>1.2</v>
      </c>
      <c r="H300" s="6">
        <f t="shared" si="61"/>
        <v>0.20275487574534268</v>
      </c>
    </row>
    <row r="301" spans="1:8" x14ac:dyDescent="0.3">
      <c r="A301" s="3" t="s">
        <v>111</v>
      </c>
      <c r="B301" s="3" t="s">
        <v>146</v>
      </c>
      <c r="C301" s="3" t="s">
        <v>54</v>
      </c>
      <c r="D301" s="15">
        <f>1035.50229373246/2</f>
        <v>517.75114686622999</v>
      </c>
      <c r="E301" s="5">
        <v>28000</v>
      </c>
      <c r="F301" s="5">
        <v>54</v>
      </c>
      <c r="G301" s="6">
        <v>1.2</v>
      </c>
      <c r="H301" s="6">
        <f t="shared" si="59"/>
        <v>0.12557510859705304</v>
      </c>
    </row>
    <row r="302" spans="1:8" x14ac:dyDescent="0.3">
      <c r="A302" s="3" t="s">
        <v>111</v>
      </c>
      <c r="B302" s="3" t="s">
        <v>146</v>
      </c>
      <c r="C302" s="3" t="s">
        <v>54</v>
      </c>
      <c r="D302" s="15">
        <f>1035.50229373246/2</f>
        <v>517.75114686622999</v>
      </c>
      <c r="E302" s="5">
        <v>28000</v>
      </c>
      <c r="F302" s="5">
        <v>54</v>
      </c>
      <c r="G302" s="6">
        <v>1.2</v>
      </c>
      <c r="H302" s="6">
        <f t="shared" ref="H302" si="62">(E302+(F302*(D302^G302)))/1000000</f>
        <v>0.12557510859705304</v>
      </c>
    </row>
    <row r="303" spans="1:8" x14ac:dyDescent="0.3">
      <c r="A303" s="3" t="s">
        <v>117</v>
      </c>
      <c r="B303" s="3" t="s">
        <v>146</v>
      </c>
      <c r="C303" s="3" t="s">
        <v>54</v>
      </c>
      <c r="D303" s="15">
        <f>12227.777545278/13</f>
        <v>940.59827271369238</v>
      </c>
      <c r="E303" s="5">
        <v>28000</v>
      </c>
      <c r="F303" s="5">
        <v>54</v>
      </c>
      <c r="G303" s="6">
        <v>1.2</v>
      </c>
      <c r="H303" s="6">
        <f t="shared" si="59"/>
        <v>0.22774631318976651</v>
      </c>
    </row>
    <row r="304" spans="1:8" x14ac:dyDescent="0.3">
      <c r="A304" s="3" t="s">
        <v>117</v>
      </c>
      <c r="B304" s="3" t="s">
        <v>146</v>
      </c>
      <c r="C304" s="3" t="s">
        <v>54</v>
      </c>
      <c r="D304" s="15">
        <f t="shared" ref="D304:D315" si="63">12227.777545278/13</f>
        <v>940.59827271369238</v>
      </c>
      <c r="E304" s="5">
        <v>28000</v>
      </c>
      <c r="F304" s="5">
        <v>54</v>
      </c>
      <c r="G304" s="6">
        <v>1.2</v>
      </c>
      <c r="H304" s="6">
        <f t="shared" ref="H304:H315" si="64">(E304+(F304*(D304^G304)))/1000000</f>
        <v>0.22774631318976651</v>
      </c>
    </row>
    <row r="305" spans="1:8" x14ac:dyDescent="0.3">
      <c r="A305" s="3" t="s">
        <v>117</v>
      </c>
      <c r="B305" s="3" t="s">
        <v>146</v>
      </c>
      <c r="C305" s="3" t="s">
        <v>54</v>
      </c>
      <c r="D305" s="15">
        <f t="shared" si="63"/>
        <v>940.59827271369238</v>
      </c>
      <c r="E305" s="5">
        <v>28000</v>
      </c>
      <c r="F305" s="5">
        <v>54</v>
      </c>
      <c r="G305" s="6">
        <v>1.2</v>
      </c>
      <c r="H305" s="6">
        <f t="shared" si="64"/>
        <v>0.22774631318976651</v>
      </c>
    </row>
    <row r="306" spans="1:8" x14ac:dyDescent="0.3">
      <c r="A306" s="3" t="s">
        <v>117</v>
      </c>
      <c r="B306" s="3" t="s">
        <v>146</v>
      </c>
      <c r="C306" s="3" t="s">
        <v>54</v>
      </c>
      <c r="D306" s="15">
        <f t="shared" si="63"/>
        <v>940.59827271369238</v>
      </c>
      <c r="E306" s="5">
        <v>28000</v>
      </c>
      <c r="F306" s="5">
        <v>54</v>
      </c>
      <c r="G306" s="6">
        <v>1.2</v>
      </c>
      <c r="H306" s="6">
        <f t="shared" si="64"/>
        <v>0.22774631318976651</v>
      </c>
    </row>
    <row r="307" spans="1:8" x14ac:dyDescent="0.3">
      <c r="A307" s="3" t="s">
        <v>117</v>
      </c>
      <c r="B307" s="3" t="s">
        <v>146</v>
      </c>
      <c r="C307" s="3" t="s">
        <v>54</v>
      </c>
      <c r="D307" s="15">
        <f t="shared" si="63"/>
        <v>940.59827271369238</v>
      </c>
      <c r="E307" s="5">
        <v>28000</v>
      </c>
      <c r="F307" s="5">
        <v>54</v>
      </c>
      <c r="G307" s="6">
        <v>1.2</v>
      </c>
      <c r="H307" s="6">
        <f t="shared" si="64"/>
        <v>0.22774631318976651</v>
      </c>
    </row>
    <row r="308" spans="1:8" x14ac:dyDescent="0.3">
      <c r="A308" s="3" t="s">
        <v>117</v>
      </c>
      <c r="B308" s="3" t="s">
        <v>146</v>
      </c>
      <c r="C308" s="3" t="s">
        <v>54</v>
      </c>
      <c r="D308" s="15">
        <f t="shared" si="63"/>
        <v>940.59827271369238</v>
      </c>
      <c r="E308" s="5">
        <v>28000</v>
      </c>
      <c r="F308" s="5">
        <v>54</v>
      </c>
      <c r="G308" s="6">
        <v>1.2</v>
      </c>
      <c r="H308" s="6">
        <f t="shared" si="64"/>
        <v>0.22774631318976651</v>
      </c>
    </row>
    <row r="309" spans="1:8" x14ac:dyDescent="0.3">
      <c r="A309" s="3" t="s">
        <v>117</v>
      </c>
      <c r="B309" s="3" t="s">
        <v>146</v>
      </c>
      <c r="C309" s="3" t="s">
        <v>54</v>
      </c>
      <c r="D309" s="15">
        <f t="shared" si="63"/>
        <v>940.59827271369238</v>
      </c>
      <c r="E309" s="5">
        <v>28000</v>
      </c>
      <c r="F309" s="5">
        <v>54</v>
      </c>
      <c r="G309" s="6">
        <v>1.2</v>
      </c>
      <c r="H309" s="6">
        <f t="shared" si="64"/>
        <v>0.22774631318976651</v>
      </c>
    </row>
    <row r="310" spans="1:8" x14ac:dyDescent="0.3">
      <c r="A310" s="3" t="s">
        <v>117</v>
      </c>
      <c r="B310" s="3" t="s">
        <v>146</v>
      </c>
      <c r="C310" s="3" t="s">
        <v>54</v>
      </c>
      <c r="D310" s="15">
        <f t="shared" si="63"/>
        <v>940.59827271369238</v>
      </c>
      <c r="E310" s="5">
        <v>28000</v>
      </c>
      <c r="F310" s="5">
        <v>54</v>
      </c>
      <c r="G310" s="6">
        <v>1.2</v>
      </c>
      <c r="H310" s="6">
        <f t="shared" si="64"/>
        <v>0.22774631318976651</v>
      </c>
    </row>
    <row r="311" spans="1:8" x14ac:dyDescent="0.3">
      <c r="A311" s="3" t="s">
        <v>117</v>
      </c>
      <c r="B311" s="3" t="s">
        <v>146</v>
      </c>
      <c r="C311" s="3" t="s">
        <v>54</v>
      </c>
      <c r="D311" s="15">
        <f t="shared" si="63"/>
        <v>940.59827271369238</v>
      </c>
      <c r="E311" s="5">
        <v>28000</v>
      </c>
      <c r="F311" s="5">
        <v>54</v>
      </c>
      <c r="G311" s="6">
        <v>1.2</v>
      </c>
      <c r="H311" s="6">
        <f t="shared" si="64"/>
        <v>0.22774631318976651</v>
      </c>
    </row>
    <row r="312" spans="1:8" x14ac:dyDescent="0.3">
      <c r="A312" s="3" t="s">
        <v>117</v>
      </c>
      <c r="B312" s="3" t="s">
        <v>146</v>
      </c>
      <c r="C312" s="3" t="s">
        <v>54</v>
      </c>
      <c r="D312" s="15">
        <f t="shared" si="63"/>
        <v>940.59827271369238</v>
      </c>
      <c r="E312" s="5">
        <v>28000</v>
      </c>
      <c r="F312" s="5">
        <v>54</v>
      </c>
      <c r="G312" s="6">
        <v>1.2</v>
      </c>
      <c r="H312" s="6">
        <f t="shared" si="64"/>
        <v>0.22774631318976651</v>
      </c>
    </row>
    <row r="313" spans="1:8" x14ac:dyDescent="0.3">
      <c r="A313" s="3" t="s">
        <v>117</v>
      </c>
      <c r="B313" s="3" t="s">
        <v>146</v>
      </c>
      <c r="C313" s="3" t="s">
        <v>54</v>
      </c>
      <c r="D313" s="15">
        <f t="shared" si="63"/>
        <v>940.59827271369238</v>
      </c>
      <c r="E313" s="5">
        <v>28000</v>
      </c>
      <c r="F313" s="5">
        <v>54</v>
      </c>
      <c r="G313" s="6">
        <v>1.2</v>
      </c>
      <c r="H313" s="6">
        <f t="shared" si="64"/>
        <v>0.22774631318976651</v>
      </c>
    </row>
    <row r="314" spans="1:8" x14ac:dyDescent="0.3">
      <c r="A314" s="3" t="s">
        <v>117</v>
      </c>
      <c r="B314" s="3" t="s">
        <v>146</v>
      </c>
      <c r="C314" s="3" t="s">
        <v>54</v>
      </c>
      <c r="D314" s="15">
        <f t="shared" si="63"/>
        <v>940.59827271369238</v>
      </c>
      <c r="E314" s="5">
        <v>28000</v>
      </c>
      <c r="F314" s="5">
        <v>54</v>
      </c>
      <c r="G314" s="6">
        <v>1.2</v>
      </c>
      <c r="H314" s="6">
        <f t="shared" si="64"/>
        <v>0.22774631318976651</v>
      </c>
    </row>
    <row r="315" spans="1:8" x14ac:dyDescent="0.3">
      <c r="A315" s="3" t="s">
        <v>117</v>
      </c>
      <c r="B315" s="3" t="s">
        <v>146</v>
      </c>
      <c r="C315" s="3" t="s">
        <v>54</v>
      </c>
      <c r="D315" s="15">
        <f t="shared" si="63"/>
        <v>940.59827271369238</v>
      </c>
      <c r="E315" s="5">
        <v>28000</v>
      </c>
      <c r="F315" s="5">
        <v>54</v>
      </c>
      <c r="G315" s="6">
        <v>1.2</v>
      </c>
      <c r="H315" s="6">
        <f t="shared" si="64"/>
        <v>0.22774631318976651</v>
      </c>
    </row>
    <row r="316" spans="1:8" x14ac:dyDescent="0.3">
      <c r="A316" s="3" t="s">
        <v>112</v>
      </c>
      <c r="B316" s="3" t="s">
        <v>146</v>
      </c>
      <c r="C316" s="3" t="s">
        <v>54</v>
      </c>
      <c r="D316" s="15">
        <v>817.38898319121904</v>
      </c>
      <c r="E316" s="5">
        <v>28000</v>
      </c>
      <c r="F316" s="5">
        <v>54</v>
      </c>
      <c r="G316" s="6">
        <v>1.2</v>
      </c>
      <c r="H316" s="6">
        <f t="shared" si="59"/>
        <v>0.19677506961305033</v>
      </c>
    </row>
    <row r="317" spans="1:8" x14ac:dyDescent="0.3">
      <c r="A317" s="3"/>
      <c r="B317" s="2" t="s">
        <v>129</v>
      </c>
      <c r="C317" s="3"/>
      <c r="D317" s="15"/>
      <c r="E317" s="5"/>
      <c r="F317" s="5"/>
      <c r="G317" s="6"/>
      <c r="H317" s="8">
        <f>SUM(H29:H316)</f>
        <v>64.12176959490219</v>
      </c>
    </row>
    <row r="318" spans="1:8" x14ac:dyDescent="0.3">
      <c r="A318" s="44" t="s">
        <v>58</v>
      </c>
      <c r="B318" s="45"/>
      <c r="C318" s="45"/>
      <c r="D318" s="45"/>
      <c r="E318" s="45"/>
      <c r="F318" s="45"/>
      <c r="G318" s="45"/>
      <c r="H318" s="46"/>
    </row>
    <row r="319" spans="1:8" x14ac:dyDescent="0.3">
      <c r="A319" s="26" t="s">
        <v>220</v>
      </c>
      <c r="B319" s="3" t="s">
        <v>133</v>
      </c>
      <c r="C319" s="3" t="s">
        <v>134</v>
      </c>
      <c r="D319" s="15">
        <f>142800/3/10^3</f>
        <v>47.6</v>
      </c>
      <c r="E319" s="5">
        <v>80000</v>
      </c>
      <c r="F319" s="5">
        <v>109000</v>
      </c>
      <c r="G319" s="6">
        <v>0.8</v>
      </c>
      <c r="H319" s="6">
        <f t="shared" ref="H319" si="65">(E319+(F319*(D319^G319)))/1000000</f>
        <v>2.476139288281467</v>
      </c>
    </row>
    <row r="320" spans="1:8" x14ac:dyDescent="0.3">
      <c r="A320" s="26" t="s">
        <v>220</v>
      </c>
      <c r="B320" s="3" t="s">
        <v>133</v>
      </c>
      <c r="C320" s="3" t="s">
        <v>134</v>
      </c>
      <c r="D320" s="15">
        <f t="shared" ref="D320:D321" si="66">142800/3/10^3</f>
        <v>47.6</v>
      </c>
      <c r="E320" s="5">
        <v>80000</v>
      </c>
      <c r="F320" s="5">
        <v>109000</v>
      </c>
      <c r="G320" s="6">
        <v>0.8</v>
      </c>
      <c r="H320" s="6">
        <f t="shared" ref="H320:H321" si="67">(E320+(F320*(D320^G320)))/1000000</f>
        <v>2.476139288281467</v>
      </c>
    </row>
    <row r="321" spans="1:9" x14ac:dyDescent="0.3">
      <c r="A321" s="26" t="s">
        <v>220</v>
      </c>
      <c r="B321" s="3" t="s">
        <v>133</v>
      </c>
      <c r="C321" s="3" t="s">
        <v>134</v>
      </c>
      <c r="D321" s="15">
        <f t="shared" si="66"/>
        <v>47.6</v>
      </c>
      <c r="E321" s="5">
        <v>80000</v>
      </c>
      <c r="F321" s="5">
        <v>109000</v>
      </c>
      <c r="G321" s="6">
        <v>0.8</v>
      </c>
      <c r="H321" s="6">
        <f t="shared" si="67"/>
        <v>2.476139288281467</v>
      </c>
    </row>
    <row r="322" spans="1:9" x14ac:dyDescent="0.3">
      <c r="A322" s="26" t="s">
        <v>228</v>
      </c>
      <c r="B322" s="3" t="s">
        <v>133</v>
      </c>
      <c r="C322" s="3" t="s">
        <v>134</v>
      </c>
      <c r="D322" s="15">
        <f>67.23/2</f>
        <v>33.615000000000002</v>
      </c>
      <c r="E322" s="5">
        <v>80000</v>
      </c>
      <c r="F322" s="5">
        <v>109000</v>
      </c>
      <c r="G322" s="6">
        <v>0.8</v>
      </c>
      <c r="H322" s="6">
        <f t="shared" ref="H322:H323" si="68">(E322+(F322*(D322^G322)))/1000000</f>
        <v>1.8940656104661262</v>
      </c>
    </row>
    <row r="323" spans="1:9" x14ac:dyDescent="0.3">
      <c r="A323" s="26" t="s">
        <v>228</v>
      </c>
      <c r="B323" s="3" t="s">
        <v>133</v>
      </c>
      <c r="C323" s="3" t="s">
        <v>134</v>
      </c>
      <c r="D323" s="15">
        <f>67.23/2</f>
        <v>33.615000000000002</v>
      </c>
      <c r="E323" s="5">
        <v>80000</v>
      </c>
      <c r="F323" s="5">
        <v>109000</v>
      </c>
      <c r="G323" s="6">
        <v>0.8</v>
      </c>
      <c r="H323" s="6">
        <f t="shared" si="68"/>
        <v>1.8940656104661262</v>
      </c>
    </row>
    <row r="324" spans="1:9" x14ac:dyDescent="0.3">
      <c r="A324" s="3"/>
      <c r="B324" s="2" t="s">
        <v>129</v>
      </c>
      <c r="C324" s="3"/>
      <c r="D324" s="15"/>
      <c r="E324" s="5"/>
      <c r="F324" s="5"/>
      <c r="G324" s="6"/>
      <c r="H324" s="8">
        <f>SUM(H319:H323)</f>
        <v>11.216549085776654</v>
      </c>
    </row>
    <row r="325" spans="1:9" x14ac:dyDescent="0.3">
      <c r="A325" s="41" t="s">
        <v>138</v>
      </c>
      <c r="B325" s="42"/>
      <c r="C325" s="42"/>
      <c r="D325" s="42"/>
      <c r="E325" s="42"/>
      <c r="F325" s="42"/>
      <c r="G325" s="42"/>
      <c r="H325" s="43"/>
    </row>
    <row r="326" spans="1:9" x14ac:dyDescent="0.3">
      <c r="A326" s="3" t="s">
        <v>49</v>
      </c>
      <c r="B326" s="3" t="s">
        <v>147</v>
      </c>
      <c r="C326" s="3" t="s">
        <v>59</v>
      </c>
      <c r="D326" s="15">
        <f>Q13</f>
        <v>16264.620956858045</v>
      </c>
      <c r="E326" s="5">
        <v>17400</v>
      </c>
      <c r="F326" s="5">
        <v>79</v>
      </c>
      <c r="G326" s="6">
        <v>0.85</v>
      </c>
      <c r="H326" s="6">
        <f t="shared" si="11"/>
        <v>0.31744365410042968</v>
      </c>
    </row>
    <row r="327" spans="1:9" x14ac:dyDescent="0.3">
      <c r="A327" s="3" t="s">
        <v>50</v>
      </c>
      <c r="B327" s="3" t="s">
        <v>147</v>
      </c>
      <c r="C327" s="3" t="s">
        <v>59</v>
      </c>
      <c r="D327" s="15">
        <f>Q14/2</f>
        <v>148666.61607198414</v>
      </c>
      <c r="E327" s="5">
        <v>17400</v>
      </c>
      <c r="F327" s="5">
        <v>79</v>
      </c>
      <c r="G327" s="6">
        <v>0.85</v>
      </c>
      <c r="H327" s="6">
        <f t="shared" si="11"/>
        <v>1.9853249371530897</v>
      </c>
    </row>
    <row r="328" spans="1:9" x14ac:dyDescent="0.3">
      <c r="A328" s="3" t="s">
        <v>50</v>
      </c>
      <c r="B328" s="3" t="s">
        <v>147</v>
      </c>
      <c r="C328" s="3" t="s">
        <v>59</v>
      </c>
      <c r="D328" s="15">
        <f>D327</f>
        <v>148666.61607198414</v>
      </c>
      <c r="E328" s="5">
        <v>17400</v>
      </c>
      <c r="F328" s="5">
        <v>79</v>
      </c>
      <c r="G328" s="6">
        <v>0.85</v>
      </c>
      <c r="H328" s="6">
        <f t="shared" ref="H328" si="69">(E328+(F328*(D328^G328)))/1000000</f>
        <v>1.9853249371530897</v>
      </c>
    </row>
    <row r="329" spans="1:9" x14ac:dyDescent="0.3">
      <c r="A329" s="3" t="s">
        <v>130</v>
      </c>
      <c r="B329" s="3" t="s">
        <v>147</v>
      </c>
      <c r="C329" s="3" t="s">
        <v>59</v>
      </c>
      <c r="D329" s="15">
        <f>Q15/2</f>
        <v>145882.96656252953</v>
      </c>
      <c r="E329" s="5">
        <v>17400</v>
      </c>
      <c r="F329" s="5">
        <v>79</v>
      </c>
      <c r="G329" s="6">
        <v>0.85</v>
      </c>
      <c r="H329" s="6">
        <f t="shared" si="11"/>
        <v>1.9539601444195545</v>
      </c>
    </row>
    <row r="330" spans="1:9" x14ac:dyDescent="0.3">
      <c r="A330" s="3" t="s">
        <v>130</v>
      </c>
      <c r="B330" s="3" t="s">
        <v>147</v>
      </c>
      <c r="C330" s="3" t="s">
        <v>59</v>
      </c>
      <c r="D330" s="15">
        <f>D329</f>
        <v>145882.96656252953</v>
      </c>
      <c r="E330" s="5">
        <v>17400</v>
      </c>
      <c r="F330" s="5">
        <v>79</v>
      </c>
      <c r="G330" s="6">
        <v>0.85</v>
      </c>
      <c r="H330" s="6">
        <f t="shared" ref="H330" si="70">(E330+(F330*(D330^G330)))/1000000</f>
        <v>1.9539601444195545</v>
      </c>
    </row>
    <row r="331" spans="1:9" x14ac:dyDescent="0.3">
      <c r="A331" s="3" t="s">
        <v>131</v>
      </c>
      <c r="B331" s="3" t="s">
        <v>147</v>
      </c>
      <c r="C331" s="3" t="s">
        <v>59</v>
      </c>
      <c r="D331" s="15">
        <f>Q16</f>
        <v>4111.3109829217756</v>
      </c>
      <c r="E331" s="5">
        <v>17400</v>
      </c>
      <c r="F331" s="5">
        <v>79</v>
      </c>
      <c r="G331" s="6">
        <v>0.85</v>
      </c>
      <c r="H331" s="6">
        <f t="shared" ref="H331" si="71">(E331+(F331*(D331^G331)))/1000000</f>
        <v>0.11062027299794096</v>
      </c>
    </row>
    <row r="332" spans="1:9" x14ac:dyDescent="0.3">
      <c r="A332" s="3"/>
      <c r="B332" s="2" t="s">
        <v>129</v>
      </c>
      <c r="C332" s="3"/>
      <c r="D332" s="15"/>
      <c r="E332" s="5"/>
      <c r="F332" s="5"/>
      <c r="G332" s="6"/>
      <c r="H332" s="8">
        <f>SUM(H326:H331)</f>
        <v>8.3066340902436586</v>
      </c>
    </row>
    <row r="333" spans="1:9" x14ac:dyDescent="0.3">
      <c r="A333" s="41" t="s">
        <v>221</v>
      </c>
      <c r="B333" s="42"/>
      <c r="C333" s="42"/>
      <c r="D333" s="42"/>
      <c r="E333" s="42"/>
      <c r="F333" s="42"/>
      <c r="G333" s="42"/>
      <c r="H333" s="43"/>
    </row>
    <row r="334" spans="1:9" x14ac:dyDescent="0.3">
      <c r="A334" s="3" t="s">
        <v>140</v>
      </c>
      <c r="B334" s="3" t="s">
        <v>147</v>
      </c>
      <c r="C334" s="3" t="s">
        <v>59</v>
      </c>
      <c r="D334" s="6">
        <f>Q17</f>
        <v>42876.96748200828</v>
      </c>
      <c r="E334" s="5">
        <v>17400</v>
      </c>
      <c r="F334" s="5">
        <v>79</v>
      </c>
      <c r="G334" s="6">
        <v>0.85</v>
      </c>
      <c r="H334" s="6">
        <f t="shared" ref="H334" si="72">(E334+(F334*(D334^G334)))/1000000</f>
        <v>0.70133927528759765</v>
      </c>
      <c r="I334" t="s">
        <v>222</v>
      </c>
    </row>
    <row r="335" spans="1:9" x14ac:dyDescent="0.3">
      <c r="A335" s="3" t="s">
        <v>143</v>
      </c>
      <c r="B335" s="3" t="s">
        <v>141</v>
      </c>
      <c r="C335" s="3" t="s">
        <v>142</v>
      </c>
      <c r="D335" s="6">
        <f>K17</f>
        <v>5.234</v>
      </c>
      <c r="E335" s="5">
        <v>130</v>
      </c>
      <c r="F335" s="5">
        <v>440</v>
      </c>
      <c r="G335" s="6">
        <v>1.8</v>
      </c>
      <c r="H335" s="6">
        <f>(E335+(F335*(D335^G335)))*I335/1000000</f>
        <v>0.36904223904813094</v>
      </c>
      <c r="I335" s="38">
        <v>42</v>
      </c>
    </row>
    <row r="336" spans="1:9" x14ac:dyDescent="0.3">
      <c r="A336" s="3"/>
      <c r="B336" s="2" t="s">
        <v>129</v>
      </c>
      <c r="C336" s="3"/>
      <c r="D336" s="15"/>
      <c r="E336" s="5"/>
      <c r="F336" s="5"/>
      <c r="G336" s="6"/>
      <c r="H336" s="8">
        <f>SUM(H334:H335)</f>
        <v>1.0703815143357285</v>
      </c>
    </row>
    <row r="337" spans="1:8" x14ac:dyDescent="0.3">
      <c r="A337" s="2"/>
      <c r="B337" s="2" t="s">
        <v>132</v>
      </c>
      <c r="C337" s="2"/>
      <c r="D337" s="7"/>
      <c r="E337" s="7"/>
      <c r="F337" s="7"/>
      <c r="G337" s="7"/>
      <c r="H337" s="8">
        <f>H24+H27+H317+H324+H332+H336</f>
        <v>112.33936681205728</v>
      </c>
    </row>
    <row r="339" spans="1:8" x14ac:dyDescent="0.3">
      <c r="A339" s="17" t="s">
        <v>34</v>
      </c>
      <c r="B339" s="15">
        <v>532.9</v>
      </c>
    </row>
    <row r="340" spans="1:8" x14ac:dyDescent="0.3">
      <c r="A340" s="17" t="s">
        <v>178</v>
      </c>
      <c r="B340" s="15">
        <v>803.6</v>
      </c>
    </row>
    <row r="341" spans="1:8" x14ac:dyDescent="0.3">
      <c r="A341" s="17" t="s">
        <v>179</v>
      </c>
      <c r="B341" s="15">
        <f>H337*B340/B339</f>
        <v>169.40498249234236</v>
      </c>
    </row>
    <row r="342" spans="1:8" x14ac:dyDescent="0.3">
      <c r="A342" s="17" t="s">
        <v>60</v>
      </c>
      <c r="B342" s="15">
        <f>(B341)*((1+C3)+(C2+C5+C4+C6+C7+C8)/C9)*C9</f>
        <v>633.57463452136051</v>
      </c>
    </row>
    <row r="343" spans="1:8" x14ac:dyDescent="0.3">
      <c r="A343" s="17" t="s">
        <v>61</v>
      </c>
      <c r="B343" s="15">
        <f>0.3*B342</f>
        <v>190.07239035640814</v>
      </c>
    </row>
    <row r="344" spans="1:8" x14ac:dyDescent="0.3">
      <c r="A344" s="17" t="s">
        <v>62</v>
      </c>
      <c r="B344" s="15">
        <f>0.3*SUM(B342:B343)</f>
        <v>247.0941074633306</v>
      </c>
    </row>
    <row r="345" spans="1:8" x14ac:dyDescent="0.3">
      <c r="A345" s="17" t="s">
        <v>63</v>
      </c>
      <c r="B345" s="15">
        <f>0.1*SUM(B342:B343)</f>
        <v>82.364702487776867</v>
      </c>
      <c r="C345" s="21"/>
    </row>
    <row r="346" spans="1:8" x14ac:dyDescent="0.3">
      <c r="A346" s="17" t="s">
        <v>64</v>
      </c>
      <c r="B346" s="15">
        <f>B342*(1+0.3)*(1+0.3+0.1)</f>
        <v>1153.1058348288761</v>
      </c>
      <c r="C346" s="22">
        <f>B346/B341</f>
        <v>6.8068000000000008</v>
      </c>
    </row>
    <row r="347" spans="1:8" x14ac:dyDescent="0.3">
      <c r="A347" s="17" t="s">
        <v>67</v>
      </c>
      <c r="B347" s="15">
        <f>B346*0.15</f>
        <v>172.96587522433143</v>
      </c>
    </row>
    <row r="348" spans="1:8" x14ac:dyDescent="0.3">
      <c r="A348" s="17" t="s">
        <v>65</v>
      </c>
      <c r="B348" s="20">
        <f>B346+B347</f>
        <v>1326.0717100532077</v>
      </c>
    </row>
    <row r="349" spans="1:8" x14ac:dyDescent="0.3">
      <c r="A349" s="17" t="s">
        <v>27</v>
      </c>
      <c r="B349" s="9">
        <v>25</v>
      </c>
    </row>
    <row r="350" spans="1:8" x14ac:dyDescent="0.3">
      <c r="A350" s="17" t="s">
        <v>28</v>
      </c>
      <c r="B350" s="9">
        <v>0.12</v>
      </c>
    </row>
    <row r="351" spans="1:8" x14ac:dyDescent="0.3">
      <c r="A351" s="17" t="s">
        <v>29</v>
      </c>
      <c r="B351" s="11">
        <f>(B350*((1+B350)^B349))/(((1+B350)^B349)-1)</f>
        <v>0.12749996980950773</v>
      </c>
    </row>
    <row r="352" spans="1:8" x14ac:dyDescent="0.3">
      <c r="A352" s="17" t="s">
        <v>66</v>
      </c>
      <c r="B352" s="15">
        <f>B351*B348</f>
        <v>169.07410299702627</v>
      </c>
    </row>
    <row r="353" spans="1:2" x14ac:dyDescent="0.3">
      <c r="A353" s="18" t="s">
        <v>36</v>
      </c>
      <c r="B353" s="12">
        <f>B352</f>
        <v>169.07410299702627</v>
      </c>
    </row>
    <row r="401" spans="9:9" x14ac:dyDescent="0.3">
      <c r="I401" s="2" t="s">
        <v>148</v>
      </c>
    </row>
    <row r="402" spans="9:9" x14ac:dyDescent="0.3">
      <c r="I402" s="29">
        <v>10</v>
      </c>
    </row>
    <row r="405" spans="9:9" x14ac:dyDescent="0.3">
      <c r="I405" s="2" t="s">
        <v>148</v>
      </c>
    </row>
    <row r="406" spans="9:9" x14ac:dyDescent="0.3">
      <c r="I406" s="29">
        <v>10</v>
      </c>
    </row>
    <row r="409" spans="9:9" x14ac:dyDescent="0.3">
      <c r="I409" s="2" t="s">
        <v>148</v>
      </c>
    </row>
    <row r="410" spans="9:9" x14ac:dyDescent="0.3">
      <c r="I410" s="29">
        <v>1</v>
      </c>
    </row>
    <row r="413" spans="9:9" x14ac:dyDescent="0.3">
      <c r="I413" s="2" t="s">
        <v>148</v>
      </c>
    </row>
    <row r="414" spans="9:9" x14ac:dyDescent="0.3">
      <c r="I414" s="29">
        <v>2</v>
      </c>
    </row>
  </sheetData>
  <mergeCells count="6">
    <mergeCell ref="A333:H333"/>
    <mergeCell ref="A13:H13"/>
    <mergeCell ref="A28:H28"/>
    <mergeCell ref="A318:H318"/>
    <mergeCell ref="A325:H325"/>
    <mergeCell ref="A25:H25"/>
  </mergeCells>
  <phoneticPr fontId="9" type="noConversion"/>
  <conditionalFormatting sqref="D29:D316">
    <cfRule type="cellIs" dxfId="0" priority="1" operator="greaterThan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0"/>
  <sheetViews>
    <sheetView zoomScale="120" zoomScaleNormal="120" workbookViewId="0">
      <selection activeCell="B22" sqref="B22"/>
    </sheetView>
  </sheetViews>
  <sheetFormatPr defaultRowHeight="14.4" x14ac:dyDescent="0.3"/>
  <cols>
    <col min="1" max="1" width="16" bestFit="1" customWidth="1"/>
    <col min="2" max="2" width="34.44140625" customWidth="1"/>
    <col min="3" max="3" width="8.6640625" bestFit="1" customWidth="1"/>
  </cols>
  <sheetData>
    <row r="4" spans="1:3" x14ac:dyDescent="0.3">
      <c r="A4" s="2" t="s">
        <v>71</v>
      </c>
      <c r="B4" s="2" t="s">
        <v>72</v>
      </c>
      <c r="C4" s="10" t="s">
        <v>37</v>
      </c>
    </row>
    <row r="5" spans="1:3" x14ac:dyDescent="0.3">
      <c r="A5" s="47" t="s">
        <v>68</v>
      </c>
      <c r="B5" s="47"/>
      <c r="C5" s="47"/>
    </row>
    <row r="6" spans="1:3" x14ac:dyDescent="0.3">
      <c r="A6" s="9" t="s">
        <v>81</v>
      </c>
      <c r="B6" s="9" t="s">
        <v>93</v>
      </c>
      <c r="C6" s="9">
        <f>50000*9*9/1000000</f>
        <v>4.05</v>
      </c>
    </row>
    <row r="7" spans="1:3" x14ac:dyDescent="0.3">
      <c r="A7" s="9" t="s">
        <v>69</v>
      </c>
      <c r="B7" s="9" t="s">
        <v>70</v>
      </c>
      <c r="C7" s="15">
        <f>0.25*C6</f>
        <v>1.0125</v>
      </c>
    </row>
    <row r="8" spans="1:3" x14ac:dyDescent="0.3">
      <c r="A8" s="9" t="s">
        <v>73</v>
      </c>
      <c r="B8" s="9" t="s">
        <v>74</v>
      </c>
      <c r="C8" s="15">
        <f>0.45*(C6+C7)</f>
        <v>2.2781250000000002</v>
      </c>
    </row>
    <row r="9" spans="1:3" x14ac:dyDescent="0.3">
      <c r="A9" s="41"/>
      <c r="B9" s="43"/>
      <c r="C9" s="12">
        <f>SUM(C6:C8)</f>
        <v>7.3406250000000002</v>
      </c>
    </row>
    <row r="10" spans="1:3" x14ac:dyDescent="0.3">
      <c r="A10" s="47" t="s">
        <v>75</v>
      </c>
      <c r="B10" s="47"/>
      <c r="C10" s="47"/>
    </row>
    <row r="11" spans="1:3" x14ac:dyDescent="0.3">
      <c r="A11" s="9" t="s">
        <v>76</v>
      </c>
      <c r="B11" s="9" t="s">
        <v>77</v>
      </c>
      <c r="C11" s="15">
        <f>0.03*CAPEX!B342</f>
        <v>19.007239035640815</v>
      </c>
    </row>
    <row r="12" spans="1:3" x14ac:dyDescent="0.3">
      <c r="A12" s="47"/>
      <c r="B12" s="47"/>
      <c r="C12" s="19">
        <f>C11</f>
        <v>19.007239035640815</v>
      </c>
    </row>
    <row r="13" spans="1:3" x14ac:dyDescent="0.3">
      <c r="A13" s="41" t="s">
        <v>79</v>
      </c>
      <c r="B13" s="42"/>
      <c r="C13" s="43"/>
    </row>
    <row r="14" spans="1:3" x14ac:dyDescent="0.3">
      <c r="A14" s="9" t="s">
        <v>80</v>
      </c>
      <c r="B14" s="9" t="s">
        <v>82</v>
      </c>
      <c r="C14" s="15">
        <f>0.65*(C6+C7+C8+C11)</f>
        <v>17.12611162316653</v>
      </c>
    </row>
    <row r="15" spans="1:3" x14ac:dyDescent="0.3">
      <c r="A15" s="9" t="s">
        <v>83</v>
      </c>
      <c r="B15" s="9" t="s">
        <v>85</v>
      </c>
      <c r="C15" s="15">
        <f>0.02*(CAPEX!B342+CAPEX!B343)</f>
        <v>16.472940497555374</v>
      </c>
    </row>
    <row r="16" spans="1:3" x14ac:dyDescent="0.3">
      <c r="A16" s="47"/>
      <c r="B16" s="47"/>
      <c r="C16" s="19">
        <f>SUM(C14:C15)</f>
        <v>33.599052120721907</v>
      </c>
    </row>
    <row r="17" spans="1:3" x14ac:dyDescent="0.3">
      <c r="A17" s="41" t="s">
        <v>86</v>
      </c>
      <c r="B17" s="42"/>
      <c r="C17" s="43"/>
    </row>
    <row r="18" spans="1:3" x14ac:dyDescent="0.3">
      <c r="A18" s="9" t="s">
        <v>87</v>
      </c>
      <c r="B18" s="9" t="s">
        <v>88</v>
      </c>
      <c r="C18" s="15">
        <f>0.06*CAPEX!B347</f>
        <v>10.377952513459885</v>
      </c>
    </row>
    <row r="19" spans="1:3" x14ac:dyDescent="0.3">
      <c r="A19" s="47"/>
      <c r="B19" s="47"/>
      <c r="C19" s="12">
        <f>C18</f>
        <v>10.377952513459885</v>
      </c>
    </row>
    <row r="20" spans="1:3" x14ac:dyDescent="0.3">
      <c r="A20" s="41" t="s">
        <v>91</v>
      </c>
      <c r="B20" s="43"/>
      <c r="C20" s="12">
        <f>C9+C12+C16+C19</f>
        <v>70.324868669822607</v>
      </c>
    </row>
  </sheetData>
  <mergeCells count="9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35"/>
  <sheetViews>
    <sheetView zoomScale="120" zoomScaleNormal="120" workbookViewId="0">
      <selection activeCell="B37" sqref="B37"/>
    </sheetView>
  </sheetViews>
  <sheetFormatPr defaultColWidth="8.88671875" defaultRowHeight="14.4" x14ac:dyDescent="0.3"/>
  <cols>
    <col min="2" max="2" width="23.33203125" bestFit="1" customWidth="1"/>
    <col min="3" max="3" width="9.33203125" bestFit="1" customWidth="1"/>
    <col min="4" max="4" width="8.5546875" style="25" bestFit="1" customWidth="1"/>
    <col min="5" max="5" width="12.6640625" bestFit="1" customWidth="1"/>
    <col min="6" max="6" width="9.44140625" bestFit="1" customWidth="1"/>
    <col min="7" max="7" width="9.77734375" bestFit="1" customWidth="1"/>
    <col min="8" max="8" width="69.44140625" bestFit="1" customWidth="1"/>
    <col min="10" max="10" width="11.33203125" bestFit="1" customWidth="1"/>
    <col min="12" max="12" width="11" bestFit="1" customWidth="1"/>
  </cols>
  <sheetData>
    <row r="3" spans="2:13" x14ac:dyDescent="0.3">
      <c r="B3" s="2" t="s">
        <v>23</v>
      </c>
      <c r="C3" s="2" t="s">
        <v>30</v>
      </c>
      <c r="D3" s="2" t="s">
        <v>31</v>
      </c>
      <c r="E3" s="2" t="s">
        <v>32</v>
      </c>
      <c r="F3" s="2" t="s">
        <v>24</v>
      </c>
      <c r="G3" s="2" t="s">
        <v>182</v>
      </c>
      <c r="H3" s="2" t="s">
        <v>92</v>
      </c>
    </row>
    <row r="4" spans="2:13" x14ac:dyDescent="0.3">
      <c r="B4" s="41" t="s">
        <v>154</v>
      </c>
      <c r="C4" s="42"/>
      <c r="D4" s="42"/>
      <c r="E4" s="42"/>
      <c r="F4" s="42"/>
      <c r="G4" s="42"/>
      <c r="H4" s="43"/>
      <c r="I4" s="1"/>
      <c r="K4" s="3" t="s">
        <v>175</v>
      </c>
      <c r="L4" s="3" t="s">
        <v>174</v>
      </c>
      <c r="M4" s="3" t="s">
        <v>102</v>
      </c>
    </row>
    <row r="5" spans="2:13" x14ac:dyDescent="0.3">
      <c r="B5" s="3" t="s">
        <v>207</v>
      </c>
      <c r="C5" s="3" t="s">
        <v>33</v>
      </c>
      <c r="D5" s="27">
        <f>105460.319659424/1000</f>
        <v>105.460319659424</v>
      </c>
      <c r="E5" s="27">
        <v>150.86179999999999</v>
      </c>
      <c r="F5" s="27">
        <f t="shared" ref="F5:F6" si="0">E5*D5</f>
        <v>15909.93365239609</v>
      </c>
      <c r="G5" s="27">
        <f>F5*C32/C29</f>
        <v>21199.175398881609</v>
      </c>
      <c r="H5" s="37" t="s">
        <v>208</v>
      </c>
      <c r="I5" s="1"/>
      <c r="J5" s="9" t="s">
        <v>173</v>
      </c>
      <c r="K5" s="3">
        <f>13.4/1000</f>
        <v>1.34E-2</v>
      </c>
      <c r="L5" s="24">
        <f>K5/1.06</f>
        <v>1.2641509433962264E-2</v>
      </c>
      <c r="M5" s="24">
        <f>L5*55</f>
        <v>0.69528301886792454</v>
      </c>
    </row>
    <row r="6" spans="2:13" x14ac:dyDescent="0.3">
      <c r="B6" s="3" t="s">
        <v>223</v>
      </c>
      <c r="C6" s="3" t="s">
        <v>33</v>
      </c>
      <c r="D6" s="27">
        <f>13643.0072402954/1000</f>
        <v>13.643007240295399</v>
      </c>
      <c r="E6" s="27">
        <v>80.3</v>
      </c>
      <c r="F6" s="27">
        <f t="shared" si="0"/>
        <v>1095.5334813957204</v>
      </c>
      <c r="G6" s="27">
        <f>F6*C32/C30</f>
        <v>1449.1698858429645</v>
      </c>
      <c r="H6" s="3" t="s">
        <v>224</v>
      </c>
      <c r="I6" s="1"/>
      <c r="K6" s="16"/>
      <c r="L6" s="39"/>
      <c r="M6" s="39"/>
    </row>
    <row r="7" spans="2:13" x14ac:dyDescent="0.3">
      <c r="B7" s="31" t="s">
        <v>163</v>
      </c>
      <c r="C7" s="3" t="s">
        <v>33</v>
      </c>
      <c r="D7" s="27">
        <v>0</v>
      </c>
      <c r="E7" s="27">
        <v>1293</v>
      </c>
      <c r="F7" s="27">
        <f t="shared" ref="F7:F8" si="1">E7*D7</f>
        <v>0</v>
      </c>
      <c r="G7" s="27">
        <f>F7*C32/C30</f>
        <v>0</v>
      </c>
      <c r="H7" s="3" t="s">
        <v>169</v>
      </c>
    </row>
    <row r="8" spans="2:13" x14ac:dyDescent="0.3">
      <c r="B8" s="31" t="s">
        <v>96</v>
      </c>
      <c r="C8" s="3" t="s">
        <v>33</v>
      </c>
      <c r="D8" s="27">
        <v>0</v>
      </c>
      <c r="E8" s="27">
        <v>2090</v>
      </c>
      <c r="F8" s="27">
        <f t="shared" si="1"/>
        <v>0</v>
      </c>
      <c r="G8" s="27">
        <f>F8*C32/C30</f>
        <v>0</v>
      </c>
      <c r="H8" s="3" t="s">
        <v>169</v>
      </c>
    </row>
    <row r="9" spans="2:13" x14ac:dyDescent="0.3">
      <c r="B9" s="2" t="s">
        <v>164</v>
      </c>
      <c r="C9" s="2"/>
      <c r="D9" s="14"/>
      <c r="E9" s="14"/>
      <c r="F9" s="14"/>
      <c r="G9" s="14">
        <f>SUM(G5:G8)</f>
        <v>22648.345284724572</v>
      </c>
      <c r="H9" s="2"/>
    </row>
    <row r="10" spans="2:13" x14ac:dyDescent="0.3">
      <c r="B10" s="41" t="s">
        <v>155</v>
      </c>
      <c r="C10" s="42"/>
      <c r="D10" s="42"/>
      <c r="E10" s="42"/>
      <c r="F10" s="42"/>
      <c r="G10" s="42"/>
      <c r="H10" s="43"/>
    </row>
    <row r="11" spans="2:13" ht="16.2" x14ac:dyDescent="0.3">
      <c r="B11" s="3" t="s">
        <v>25</v>
      </c>
      <c r="C11" s="3" t="s">
        <v>170</v>
      </c>
      <c r="D11" s="27">
        <f>33280979.3147413/1000</f>
        <v>33280.9793147413</v>
      </c>
      <c r="E11" s="27">
        <f>3.6/100</f>
        <v>3.6000000000000004E-2</v>
      </c>
      <c r="F11" s="27">
        <f>E11*D11</f>
        <v>1198.115255330687</v>
      </c>
      <c r="G11" s="27">
        <f>F11*C32/C30</f>
        <v>1584.8648875452511</v>
      </c>
      <c r="H11" s="3" t="s">
        <v>169</v>
      </c>
    </row>
    <row r="12" spans="2:13" x14ac:dyDescent="0.3">
      <c r="B12" s="3" t="s">
        <v>26</v>
      </c>
      <c r="C12" s="3" t="s">
        <v>171</v>
      </c>
      <c r="D12" s="27">
        <f>33732.628163305/1000</f>
        <v>33.732628163305002</v>
      </c>
      <c r="E12" s="27">
        <v>69.599999999999994</v>
      </c>
      <c r="F12" s="27">
        <f>E12*D12</f>
        <v>2347.7909201660277</v>
      </c>
      <c r="G12" s="27">
        <f>F12*C32/C30</f>
        <v>3105.6539645192097</v>
      </c>
      <c r="H12" s="3" t="s">
        <v>169</v>
      </c>
    </row>
    <row r="13" spans="2:13" x14ac:dyDescent="0.3">
      <c r="B13" s="3" t="s">
        <v>201</v>
      </c>
      <c r="C13" s="3" t="s">
        <v>33</v>
      </c>
      <c r="D13" s="27">
        <f>13579.1453483624/1000</f>
        <v>13.579145348362399</v>
      </c>
      <c r="E13" s="27">
        <v>524</v>
      </c>
      <c r="F13" s="27">
        <f>E13*D13</f>
        <v>7115.472162541897</v>
      </c>
      <c r="G13" s="27">
        <f>F13*C32/C31</f>
        <v>7365.7006696105482</v>
      </c>
      <c r="H13" s="3" t="s">
        <v>206</v>
      </c>
    </row>
    <row r="14" spans="2:13" x14ac:dyDescent="0.3">
      <c r="B14" s="3" t="s">
        <v>168</v>
      </c>
      <c r="C14" s="3" t="s">
        <v>33</v>
      </c>
      <c r="D14" s="27">
        <f>92155.8484079724/1000</f>
        <v>92.1558484079724</v>
      </c>
      <c r="E14" s="27">
        <v>15.6</v>
      </c>
      <c r="F14" s="27">
        <f>E14*D14</f>
        <v>1437.6312351643694</v>
      </c>
      <c r="G14" s="27">
        <f>F14*C32/C30</f>
        <v>1901.6962314042589</v>
      </c>
      <c r="H14" s="3" t="s">
        <v>169</v>
      </c>
    </row>
    <row r="15" spans="2:13" x14ac:dyDescent="0.3">
      <c r="B15" s="2" t="s">
        <v>164</v>
      </c>
      <c r="C15" s="2"/>
      <c r="D15" s="14"/>
      <c r="E15" s="14"/>
      <c r="F15" s="14"/>
      <c r="G15" s="14">
        <f>SUM(G11:G14)</f>
        <v>13957.915753079267</v>
      </c>
      <c r="H15" s="2"/>
    </row>
    <row r="16" spans="2:13" x14ac:dyDescent="0.3">
      <c r="B16" s="41" t="s">
        <v>156</v>
      </c>
      <c r="C16" s="42"/>
      <c r="D16" s="42"/>
      <c r="E16" s="42"/>
      <c r="F16" s="42"/>
      <c r="G16" s="42"/>
      <c r="H16" s="43"/>
    </row>
    <row r="17" spans="2:8" ht="15.6" x14ac:dyDescent="0.35">
      <c r="B17" s="3" t="s">
        <v>165</v>
      </c>
      <c r="C17" s="3" t="s">
        <v>33</v>
      </c>
      <c r="D17" s="27">
        <v>0</v>
      </c>
      <c r="E17" s="16">
        <v>15</v>
      </c>
      <c r="F17" s="27">
        <f>E17*D17</f>
        <v>0</v>
      </c>
      <c r="G17" s="27">
        <f>F17*C$32/C$28</f>
        <v>0</v>
      </c>
      <c r="H17" s="3" t="s">
        <v>177</v>
      </c>
    </row>
    <row r="18" spans="2:8" ht="16.2" x14ac:dyDescent="0.3">
      <c r="B18" s="3" t="s">
        <v>172</v>
      </c>
      <c r="C18" s="3" t="s">
        <v>170</v>
      </c>
      <c r="D18" s="27">
        <f>49617.3631348832/1000</f>
        <v>49.617363134883199</v>
      </c>
      <c r="E18" s="27">
        <v>1.6</v>
      </c>
      <c r="F18" s="27">
        <f t="shared" ref="F18:F19" si="2">E18*D18</f>
        <v>79.387781015813118</v>
      </c>
      <c r="G18" s="27">
        <f>F18*C32/C30</f>
        <v>105.01402604824267</v>
      </c>
      <c r="H18" s="3" t="s">
        <v>169</v>
      </c>
    </row>
    <row r="19" spans="2:8" x14ac:dyDescent="0.3">
      <c r="B19" s="3" t="s">
        <v>55</v>
      </c>
      <c r="C19" s="3" t="s">
        <v>33</v>
      </c>
      <c r="D19" s="27">
        <v>0</v>
      </c>
      <c r="E19" s="27">
        <v>200</v>
      </c>
      <c r="F19" s="27">
        <f t="shared" si="2"/>
        <v>0</v>
      </c>
      <c r="G19" s="27">
        <f>F19*C32/C29</f>
        <v>0</v>
      </c>
      <c r="H19" s="3" t="s">
        <v>176</v>
      </c>
    </row>
    <row r="20" spans="2:8" x14ac:dyDescent="0.3">
      <c r="B20" s="2" t="s">
        <v>164</v>
      </c>
      <c r="C20" s="2"/>
      <c r="D20" s="14"/>
      <c r="E20" s="14"/>
      <c r="F20" s="14"/>
      <c r="G20" s="14">
        <f>SUM(G17:G19)</f>
        <v>105.01402604824267</v>
      </c>
      <c r="H20" s="2"/>
    </row>
    <row r="21" spans="2:8" x14ac:dyDescent="0.3">
      <c r="B21" s="41" t="s">
        <v>167</v>
      </c>
      <c r="C21" s="42"/>
      <c r="D21" s="42"/>
      <c r="E21" s="42"/>
      <c r="F21" s="42"/>
      <c r="G21" s="42"/>
      <c r="H21" s="43"/>
    </row>
    <row r="22" spans="2:8" x14ac:dyDescent="0.3">
      <c r="B22" s="2" t="s">
        <v>168</v>
      </c>
      <c r="C22" s="2" t="s">
        <v>33</v>
      </c>
      <c r="D22" s="14">
        <v>0</v>
      </c>
      <c r="E22" s="16">
        <v>15.6</v>
      </c>
      <c r="F22" s="27">
        <f>E22*D22</f>
        <v>0</v>
      </c>
      <c r="G22" s="27">
        <f>F22*C32/C30</f>
        <v>0</v>
      </c>
      <c r="H22" s="3" t="s">
        <v>169</v>
      </c>
    </row>
    <row r="23" spans="2:8" x14ac:dyDescent="0.3">
      <c r="B23" s="2" t="s">
        <v>164</v>
      </c>
      <c r="C23" s="2"/>
      <c r="D23" s="14"/>
      <c r="E23" s="14"/>
      <c r="F23" s="14"/>
      <c r="G23" s="14">
        <f>SUM(G22)</f>
        <v>0</v>
      </c>
      <c r="H23" s="2"/>
    </row>
    <row r="24" spans="2:8" x14ac:dyDescent="0.3">
      <c r="B24" s="2" t="s">
        <v>103</v>
      </c>
      <c r="C24" s="13" t="s">
        <v>37</v>
      </c>
      <c r="D24" s="27"/>
      <c r="E24" s="27"/>
      <c r="F24" s="27"/>
      <c r="G24" s="14">
        <v>0</v>
      </c>
      <c r="H24" s="3" t="s">
        <v>157</v>
      </c>
    </row>
    <row r="25" spans="2:8" x14ac:dyDescent="0.3">
      <c r="B25" s="2" t="s">
        <v>153</v>
      </c>
      <c r="C25" s="13" t="s">
        <v>37</v>
      </c>
      <c r="D25" s="3"/>
      <c r="E25" s="3"/>
      <c r="F25" s="14"/>
      <c r="G25" s="14">
        <f>(G9+G15+G20+G23)*8000/1000000+G$24</f>
        <v>293.69020051081662</v>
      </c>
      <c r="H25" s="3"/>
    </row>
    <row r="26" spans="2:8" x14ac:dyDescent="0.3">
      <c r="B26" s="16"/>
      <c r="C26" s="16"/>
      <c r="D26" s="16"/>
      <c r="E26" s="16"/>
      <c r="F26" s="16"/>
      <c r="G26" s="16"/>
      <c r="H26" s="16"/>
    </row>
    <row r="27" spans="2:8" x14ac:dyDescent="0.3">
      <c r="B27" s="10" t="s">
        <v>95</v>
      </c>
      <c r="D27" s="16"/>
      <c r="E27" s="16"/>
      <c r="F27" s="16"/>
      <c r="G27" s="16"/>
      <c r="H27" s="16"/>
    </row>
    <row r="28" spans="2:8" x14ac:dyDescent="0.3">
      <c r="B28" s="9" t="s">
        <v>166</v>
      </c>
      <c r="C28" s="15">
        <v>575.4</v>
      </c>
      <c r="D28" s="16"/>
      <c r="E28" s="16"/>
      <c r="F28" s="16"/>
      <c r="G28" s="16"/>
      <c r="H28" s="16"/>
    </row>
    <row r="29" spans="2:8" x14ac:dyDescent="0.3">
      <c r="B29" s="9" t="s">
        <v>94</v>
      </c>
      <c r="C29" s="15">
        <v>603.1</v>
      </c>
      <c r="D29" s="16"/>
      <c r="E29" s="16"/>
      <c r="F29" s="16"/>
      <c r="G29" s="16"/>
      <c r="H29" s="16"/>
    </row>
    <row r="30" spans="2:8" x14ac:dyDescent="0.3">
      <c r="B30" s="9" t="s">
        <v>35</v>
      </c>
      <c r="C30" s="15">
        <v>607.5</v>
      </c>
      <c r="D30" s="16"/>
      <c r="E30" s="16"/>
      <c r="F30" s="16"/>
      <c r="G30" s="16"/>
      <c r="H30" s="16"/>
    </row>
    <row r="31" spans="2:8" x14ac:dyDescent="0.3">
      <c r="B31" s="9" t="s">
        <v>181</v>
      </c>
      <c r="C31" s="15">
        <v>776.3</v>
      </c>
      <c r="D31" s="16"/>
      <c r="E31" s="16"/>
      <c r="F31" s="16"/>
      <c r="G31" s="16"/>
      <c r="H31" s="16"/>
    </row>
    <row r="32" spans="2:8" x14ac:dyDescent="0.3">
      <c r="B32" s="9" t="s">
        <v>178</v>
      </c>
      <c r="C32" s="15">
        <v>803.6</v>
      </c>
      <c r="D32" s="16"/>
      <c r="E32" s="16"/>
      <c r="F32" s="16"/>
      <c r="G32" s="16"/>
      <c r="H32" s="16"/>
    </row>
    <row r="33" spans="2:8" x14ac:dyDescent="0.3">
      <c r="B33" s="16"/>
      <c r="C33" s="16"/>
      <c r="D33" s="16"/>
      <c r="E33" s="16"/>
      <c r="F33" s="16"/>
      <c r="G33" s="16"/>
      <c r="H33" s="16"/>
    </row>
    <row r="34" spans="2:8" x14ac:dyDescent="0.3">
      <c r="B34" s="16"/>
      <c r="C34" s="16"/>
      <c r="D34" s="16"/>
      <c r="E34" s="16"/>
      <c r="F34" s="16"/>
      <c r="G34" s="16"/>
      <c r="H34" s="16"/>
    </row>
    <row r="35" spans="2:8" x14ac:dyDescent="0.3">
      <c r="B35" s="16"/>
      <c r="C35" s="16"/>
      <c r="D35" s="16"/>
      <c r="E35" s="16"/>
      <c r="F35" s="16"/>
      <c r="G35" s="16"/>
      <c r="H35" s="16"/>
    </row>
  </sheetData>
  <mergeCells count="4">
    <mergeCell ref="B21:H21"/>
    <mergeCell ref="B4:H4"/>
    <mergeCell ref="B10:H10"/>
    <mergeCell ref="B16:H16"/>
  </mergeCells>
  <hyperlinks>
    <hyperlink ref="H5" r:id="rId1" xr:uid="{3BC42788-EE7A-4682-B498-958F2D293028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58"/>
  <sheetViews>
    <sheetView tabSelected="1" zoomScale="130" zoomScaleNormal="130" workbookViewId="0">
      <selection activeCell="E8" sqref="E8"/>
    </sheetView>
  </sheetViews>
  <sheetFormatPr defaultRowHeight="14.4" x14ac:dyDescent="0.3"/>
  <cols>
    <col min="2" max="2" width="39.109375" bestFit="1" customWidth="1"/>
    <col min="3" max="3" width="9.5546875" bestFit="1" customWidth="1"/>
    <col min="5" max="5" width="22.5546875" bestFit="1" customWidth="1"/>
    <col min="6" max="7" width="16.88671875" bestFit="1" customWidth="1"/>
    <col min="8" max="8" width="16.33203125" bestFit="1" customWidth="1"/>
    <col min="9" max="9" width="5.5546875" bestFit="1" customWidth="1"/>
    <col min="10" max="10" width="15.6640625" bestFit="1" customWidth="1"/>
    <col min="11" max="11" width="16.33203125" bestFit="1" customWidth="1"/>
  </cols>
  <sheetData>
    <row r="3" spans="2:11" x14ac:dyDescent="0.3">
      <c r="B3" s="9" t="s">
        <v>180</v>
      </c>
      <c r="C3" s="15">
        <f>SUM(CAPEX!B341)</f>
        <v>169.40498249234236</v>
      </c>
      <c r="E3" s="47" t="s">
        <v>183</v>
      </c>
      <c r="F3" s="47"/>
      <c r="G3" s="47"/>
      <c r="H3" s="47"/>
      <c r="J3" s="41" t="s">
        <v>184</v>
      </c>
      <c r="K3" s="43"/>
    </row>
    <row r="4" spans="2:11" x14ac:dyDescent="0.3">
      <c r="B4" s="17" t="s">
        <v>60</v>
      </c>
      <c r="C4" s="15">
        <f>SUM(CAPEX!B342)</f>
        <v>633.57463452136051</v>
      </c>
      <c r="E4" s="2" t="s">
        <v>101</v>
      </c>
      <c r="F4" s="2" t="s">
        <v>196</v>
      </c>
      <c r="G4" s="2" t="s">
        <v>185</v>
      </c>
      <c r="H4" s="2" t="s">
        <v>186</v>
      </c>
      <c r="J4" s="2" t="s">
        <v>101</v>
      </c>
      <c r="K4" s="35" t="s">
        <v>186</v>
      </c>
    </row>
    <row r="5" spans="2:11" x14ac:dyDescent="0.3">
      <c r="B5" s="17" t="s">
        <v>61</v>
      </c>
      <c r="C5" s="15">
        <f>SUM(CAPEX!B343)</f>
        <v>190.07239035640814</v>
      </c>
      <c r="E5" s="3" t="s">
        <v>57</v>
      </c>
      <c r="F5" s="27">
        <f>CAPEX!H24</f>
        <v>27.612693556476859</v>
      </c>
      <c r="G5" s="27">
        <f>F5*CAPEX!$B$340/CAPEX!$B$339</f>
        <v>41.639257913276047</v>
      </c>
      <c r="H5" s="27">
        <f>(G5*CAPEX!$C$346+Summary!G5*CAPEX!$C$346*0.15)*CAPEX!$B$351</f>
        <v>41.557928684105917</v>
      </c>
      <c r="J5" s="31" t="s">
        <v>57</v>
      </c>
      <c r="K5" s="27">
        <f>H5</f>
        <v>41.557928684105917</v>
      </c>
    </row>
    <row r="6" spans="2:11" x14ac:dyDescent="0.3">
      <c r="B6" s="17" t="s">
        <v>84</v>
      </c>
      <c r="C6" s="15">
        <f>SUM(CAPEX!B344)</f>
        <v>247.0941074633306</v>
      </c>
      <c r="E6" s="3" t="s">
        <v>137</v>
      </c>
      <c r="F6" s="27">
        <f>CAPEX!H27</f>
        <v>1.1338970322198487E-2</v>
      </c>
      <c r="G6" s="27">
        <f>F6*CAPEX!$B$340/CAPEX!$B$339</f>
        <v>1.7098886378154821E-2</v>
      </c>
      <c r="H6" s="27">
        <f>(G6*CAPEX!$C$346+Summary!G6*CAPEX!$C$346*0.15)*CAPEX!$B$351</f>
        <v>1.7065489067095641E-2</v>
      </c>
      <c r="J6" s="31" t="s">
        <v>137</v>
      </c>
      <c r="K6" s="27">
        <f t="shared" ref="K6:K10" si="0">H6</f>
        <v>1.7065489067095641E-2</v>
      </c>
    </row>
    <row r="7" spans="2:11" x14ac:dyDescent="0.3">
      <c r="B7" s="17" t="s">
        <v>63</v>
      </c>
      <c r="C7" s="15">
        <f>SUM(CAPEX!B345)</f>
        <v>82.364702487776867</v>
      </c>
      <c r="E7" s="3" t="s">
        <v>139</v>
      </c>
      <c r="F7" s="27">
        <f>CAPEX!H317</f>
        <v>64.12176959490219</v>
      </c>
      <c r="G7" s="27">
        <f>F7*CAPEX!$B$340/CAPEX!$B$339</f>
        <v>96.694040244817799</v>
      </c>
      <c r="H7" s="27">
        <f>(G7*CAPEX!$C$346+Summary!G7*CAPEX!$C$346*0.15)*CAPEX!$B$351</f>
        <v>96.505178767631165</v>
      </c>
      <c r="J7" s="31" t="s">
        <v>139</v>
      </c>
      <c r="K7" s="27">
        <f t="shared" si="0"/>
        <v>96.505178767631165</v>
      </c>
    </row>
    <row r="8" spans="2:11" x14ac:dyDescent="0.3">
      <c r="B8" s="17" t="s">
        <v>64</v>
      </c>
      <c r="C8" s="15">
        <f>SUM(CAPEX!B346)</f>
        <v>1153.1058348288761</v>
      </c>
      <c r="E8" s="3" t="s">
        <v>58</v>
      </c>
      <c r="F8" s="27">
        <f>CAPEX!H324</f>
        <v>11.216549085776654</v>
      </c>
      <c r="G8" s="27">
        <f>F8*CAPEX!$B$340/CAPEX!$B$339</f>
        <v>16.914278186020116</v>
      </c>
      <c r="H8" s="27">
        <f>(G8*CAPEX!$C$346+Summary!G8*CAPEX!$C$346*0.15)*CAPEX!$B$351</f>
        <v>16.881241449157436</v>
      </c>
      <c r="J8" s="31" t="s">
        <v>58</v>
      </c>
      <c r="K8" s="27">
        <f t="shared" si="0"/>
        <v>16.881241449157436</v>
      </c>
    </row>
    <row r="9" spans="2:11" x14ac:dyDescent="0.3">
      <c r="B9" s="17" t="s">
        <v>67</v>
      </c>
      <c r="C9" s="15">
        <f>SUM(CAPEX!B347)</f>
        <v>172.96587522433143</v>
      </c>
      <c r="E9" s="3" t="s">
        <v>138</v>
      </c>
      <c r="F9" s="27">
        <f>CAPEX!H332</f>
        <v>8.3066340902436586</v>
      </c>
      <c r="G9" s="27">
        <f>F9*CAPEX!$B$340/CAPEX!$B$339</f>
        <v>12.526198451716654</v>
      </c>
      <c r="H9" s="27">
        <f>(G9*CAPEX!$C$346+Summary!G9*CAPEX!$C$346*0.15)*CAPEX!$B$351</f>
        <v>12.501732452187268</v>
      </c>
      <c r="J9" s="31" t="s">
        <v>138</v>
      </c>
      <c r="K9" s="27">
        <f t="shared" si="0"/>
        <v>12.501732452187268</v>
      </c>
    </row>
    <row r="10" spans="2:11" x14ac:dyDescent="0.3">
      <c r="B10" s="9" t="s">
        <v>65</v>
      </c>
      <c r="C10" s="15">
        <f>SUM(CAPEX!B348)</f>
        <v>1326.0717100532077</v>
      </c>
      <c r="E10" s="3" t="s">
        <v>187</v>
      </c>
      <c r="F10" s="27">
        <f>CAPEX!H336</f>
        <v>1.0703815143357285</v>
      </c>
      <c r="G10" s="27">
        <f>F10*CAPEX!$B$340/CAPEX!$B$339</f>
        <v>1.6141088101335925</v>
      </c>
      <c r="H10" s="27">
        <f>(G10*CAPEX!$C$346+Summary!G10*CAPEX!$C$346*0.15)*CAPEX!$B$351</f>
        <v>1.6109561548773845</v>
      </c>
      <c r="J10" s="31" t="s">
        <v>187</v>
      </c>
      <c r="K10" s="27">
        <f t="shared" si="0"/>
        <v>1.6109561548773845</v>
      </c>
    </row>
    <row r="11" spans="2:11" x14ac:dyDescent="0.3">
      <c r="B11" s="9" t="s">
        <v>89</v>
      </c>
      <c r="C11" s="15">
        <f>SUM('Production costs'!C9)</f>
        <v>7.3406250000000002</v>
      </c>
      <c r="E11" s="2" t="s">
        <v>129</v>
      </c>
      <c r="F11" s="14">
        <f>SUM(F5:F10)</f>
        <v>112.33936681205728</v>
      </c>
      <c r="G11" s="14">
        <f>SUM(G5:G10)</f>
        <v>169.40498249234236</v>
      </c>
      <c r="H11" s="14">
        <f>SUM(H5:H10)</f>
        <v>169.07410299702627</v>
      </c>
      <c r="J11" s="34" t="s">
        <v>129</v>
      </c>
      <c r="K11" s="14">
        <f>SUM(K5:K10)</f>
        <v>169.07410299702627</v>
      </c>
    </row>
    <row r="12" spans="2:11" x14ac:dyDescent="0.3">
      <c r="B12" s="9" t="s">
        <v>90</v>
      </c>
      <c r="C12" s="15">
        <f>SUM('Production costs'!C12)</f>
        <v>19.007239035640815</v>
      </c>
    </row>
    <row r="13" spans="2:11" x14ac:dyDescent="0.3">
      <c r="B13" s="9" t="s">
        <v>78</v>
      </c>
      <c r="C13" s="15">
        <f>SUM('Production costs'!C16)</f>
        <v>33.599052120721907</v>
      </c>
      <c r="E13" s="41" t="s">
        <v>188</v>
      </c>
      <c r="F13" s="43"/>
      <c r="J13" s="41" t="s">
        <v>189</v>
      </c>
      <c r="K13" s="43"/>
    </row>
    <row r="14" spans="2:11" x14ac:dyDescent="0.3">
      <c r="B14" s="9" t="s">
        <v>86</v>
      </c>
      <c r="C14" s="15">
        <f>SUM('Production costs'!C19)</f>
        <v>10.377952513459885</v>
      </c>
      <c r="E14" s="2" t="s">
        <v>190</v>
      </c>
      <c r="F14" s="2" t="s">
        <v>37</v>
      </c>
      <c r="J14" s="2" t="s">
        <v>190</v>
      </c>
      <c r="K14" s="2" t="s">
        <v>37</v>
      </c>
    </row>
    <row r="15" spans="2:11" x14ac:dyDescent="0.3">
      <c r="B15" s="9" t="s">
        <v>27</v>
      </c>
      <c r="C15" s="15">
        <f>SUM(CAPEX!B349)</f>
        <v>25</v>
      </c>
      <c r="E15" s="3" t="s">
        <v>81</v>
      </c>
      <c r="F15" s="27">
        <f>'Production costs'!C6</f>
        <v>4.05</v>
      </c>
      <c r="J15" s="3" t="s">
        <v>191</v>
      </c>
      <c r="K15" s="27">
        <f>F15+F16+F17</f>
        <v>7.3406250000000002</v>
      </c>
    </row>
    <row r="16" spans="2:11" x14ac:dyDescent="0.3">
      <c r="B16" s="9" t="s">
        <v>28</v>
      </c>
      <c r="C16" s="15">
        <f>SUM(CAPEX!B350)</f>
        <v>0.12</v>
      </c>
      <c r="E16" s="3" t="s">
        <v>69</v>
      </c>
      <c r="F16" s="27">
        <f>'Production costs'!C7</f>
        <v>1.0125</v>
      </c>
      <c r="J16" s="3" t="s">
        <v>76</v>
      </c>
      <c r="K16" s="27">
        <f>F18</f>
        <v>19.007239035640815</v>
      </c>
    </row>
    <row r="17" spans="2:11" x14ac:dyDescent="0.3">
      <c r="B17" s="9" t="s">
        <v>29</v>
      </c>
      <c r="C17" s="11">
        <f>SUM(CAPEX!B351)</f>
        <v>0.12749996980950773</v>
      </c>
      <c r="E17" s="3" t="s">
        <v>73</v>
      </c>
      <c r="F17" s="27">
        <f>'Production costs'!C8</f>
        <v>2.2781250000000002</v>
      </c>
      <c r="J17" s="3" t="s">
        <v>192</v>
      </c>
      <c r="K17" s="27">
        <f>F19+F20</f>
        <v>33.599052120721907</v>
      </c>
    </row>
    <row r="18" spans="2:11" x14ac:dyDescent="0.3">
      <c r="B18" s="10" t="s">
        <v>36</v>
      </c>
      <c r="C18" s="12">
        <f>SUM(CAPEX!B353)</f>
        <v>169.07410299702627</v>
      </c>
      <c r="E18" s="3" t="s">
        <v>76</v>
      </c>
      <c r="F18" s="27">
        <f>'Production costs'!C11</f>
        <v>19.007239035640815</v>
      </c>
      <c r="J18" s="3" t="s">
        <v>86</v>
      </c>
      <c r="K18" s="27">
        <f>F21</f>
        <v>10.377952513459885</v>
      </c>
    </row>
    <row r="19" spans="2:11" x14ac:dyDescent="0.3">
      <c r="B19" s="10" t="s">
        <v>158</v>
      </c>
      <c r="C19" s="12">
        <f>'Production costs'!C20</f>
        <v>70.324868669822607</v>
      </c>
      <c r="E19" s="3" t="s">
        <v>80</v>
      </c>
      <c r="F19" s="27">
        <f>'Production costs'!C14</f>
        <v>17.12611162316653</v>
      </c>
      <c r="J19" s="2" t="s">
        <v>129</v>
      </c>
      <c r="K19" s="14">
        <f>SUM(K15:K18)</f>
        <v>70.324868669822607</v>
      </c>
    </row>
    <row r="20" spans="2:11" x14ac:dyDescent="0.3">
      <c r="B20" s="10" t="s">
        <v>56</v>
      </c>
      <c r="C20" s="12">
        <f>OPEX!G25</f>
        <v>293.69020051081662</v>
      </c>
      <c r="E20" s="3" t="s">
        <v>83</v>
      </c>
      <c r="F20" s="27">
        <f>'Production costs'!C15</f>
        <v>16.472940497555374</v>
      </c>
    </row>
    <row r="21" spans="2:11" x14ac:dyDescent="0.3">
      <c r="B21" s="10" t="s">
        <v>159</v>
      </c>
      <c r="C21" s="12">
        <f>($C$18+$C$19+C20)</f>
        <v>533.08917217766543</v>
      </c>
      <c r="E21" s="3" t="s">
        <v>87</v>
      </c>
      <c r="F21" s="27">
        <f>'Production costs'!C18</f>
        <v>10.377952513459885</v>
      </c>
    </row>
    <row r="22" spans="2:11" x14ac:dyDescent="0.3">
      <c r="B22" s="10" t="s">
        <v>160</v>
      </c>
      <c r="C22" s="12">
        <f>(C21)*1000000/8000</f>
        <v>66636.146522208175</v>
      </c>
      <c r="E22" s="2" t="s">
        <v>129</v>
      </c>
      <c r="F22" s="14">
        <f>SUM(F15:F21)</f>
        <v>70.324868669822607</v>
      </c>
    </row>
    <row r="23" spans="2:11" x14ac:dyDescent="0.3">
      <c r="B23" s="10" t="s">
        <v>225</v>
      </c>
      <c r="C23" s="12">
        <v>76989.801294639095</v>
      </c>
    </row>
    <row r="24" spans="2:11" x14ac:dyDescent="0.3">
      <c r="B24" s="32" t="s">
        <v>226</v>
      </c>
      <c r="C24" s="23">
        <f>C22/C23</f>
        <v>0.86551913892065258</v>
      </c>
      <c r="E24" s="41" t="s">
        <v>193</v>
      </c>
      <c r="F24" s="43"/>
    </row>
    <row r="25" spans="2:11" x14ac:dyDescent="0.3">
      <c r="B25" s="32" t="s">
        <v>227</v>
      </c>
      <c r="C25" s="33">
        <f>C24*1000</f>
        <v>865.51913892065261</v>
      </c>
      <c r="E25" s="2" t="s">
        <v>190</v>
      </c>
      <c r="F25" s="2" t="s">
        <v>37</v>
      </c>
    </row>
    <row r="26" spans="2:11" x14ac:dyDescent="0.3">
      <c r="E26" s="3" t="s">
        <v>207</v>
      </c>
      <c r="F26" s="27">
        <f>OPEX!G5*8000/10^6</f>
        <v>169.59340319105289</v>
      </c>
      <c r="I26" s="36"/>
    </row>
    <row r="27" spans="2:11" x14ac:dyDescent="0.3">
      <c r="E27" s="3" t="s">
        <v>200</v>
      </c>
      <c r="F27" s="27">
        <f>OPEX!G6*8000/10^6</f>
        <v>11.593359086743716</v>
      </c>
    </row>
    <row r="28" spans="2:11" x14ac:dyDescent="0.3">
      <c r="E28" s="3" t="s">
        <v>163</v>
      </c>
      <c r="F28" s="27">
        <f>OPEX!G7*8000/10^6</f>
        <v>0</v>
      </c>
    </row>
    <row r="29" spans="2:11" x14ac:dyDescent="0.3">
      <c r="E29" s="3" t="s">
        <v>96</v>
      </c>
      <c r="F29" s="27">
        <f>OPEX!G8*8000/10^6</f>
        <v>0</v>
      </c>
    </row>
    <row r="30" spans="2:11" x14ac:dyDescent="0.3">
      <c r="E30" s="3" t="s">
        <v>25</v>
      </c>
      <c r="F30" s="27">
        <f>OPEX!G11*8000/10^6</f>
        <v>12.678919100362009</v>
      </c>
    </row>
    <row r="31" spans="2:11" x14ac:dyDescent="0.3">
      <c r="E31" s="3" t="s">
        <v>26</v>
      </c>
      <c r="F31" s="27">
        <f>OPEX!G12*8000/10^6</f>
        <v>24.845231716153677</v>
      </c>
    </row>
    <row r="32" spans="2:11" x14ac:dyDescent="0.3">
      <c r="E32" s="3" t="s">
        <v>201</v>
      </c>
      <c r="F32" s="27">
        <f>OPEX!G13*8000/10^6</f>
        <v>58.925605356884383</v>
      </c>
    </row>
    <row r="33" spans="5:9" ht="15.6" x14ac:dyDescent="0.35">
      <c r="E33" s="3" t="s">
        <v>194</v>
      </c>
      <c r="F33" s="27">
        <f>OPEX!G17*8000/10^6</f>
        <v>0</v>
      </c>
    </row>
    <row r="34" spans="5:9" x14ac:dyDescent="0.3">
      <c r="E34" s="3" t="s">
        <v>172</v>
      </c>
      <c r="F34" s="27">
        <f>OPEX!G18*8000/10^6</f>
        <v>0.84011220838594136</v>
      </c>
    </row>
    <row r="35" spans="5:9" x14ac:dyDescent="0.3">
      <c r="E35" s="3" t="s">
        <v>55</v>
      </c>
      <c r="F35" s="27">
        <f>OPEX!G19*8000/10^6</f>
        <v>0</v>
      </c>
    </row>
    <row r="36" spans="5:9" x14ac:dyDescent="0.3">
      <c r="E36" s="3" t="s">
        <v>168</v>
      </c>
      <c r="F36" s="27">
        <f>OPEX!G14*8000/10^6</f>
        <v>15.213569851234071</v>
      </c>
    </row>
    <row r="37" spans="5:9" x14ac:dyDescent="0.3">
      <c r="E37" s="3" t="s">
        <v>195</v>
      </c>
      <c r="F37" s="27">
        <f>OPEX!G24</f>
        <v>0</v>
      </c>
    </row>
    <row r="38" spans="5:9" x14ac:dyDescent="0.3">
      <c r="E38" s="2" t="s">
        <v>129</v>
      </c>
      <c r="F38" s="14">
        <f>SUM(F26:F37)</f>
        <v>293.69020051081668</v>
      </c>
    </row>
    <row r="40" spans="5:9" x14ac:dyDescent="0.3">
      <c r="E40" s="41" t="s">
        <v>197</v>
      </c>
      <c r="F40" s="42"/>
      <c r="G40" s="42"/>
      <c r="H40" s="42"/>
      <c r="I40" s="43"/>
    </row>
    <row r="41" spans="5:9" x14ac:dyDescent="0.3">
      <c r="E41" s="2" t="s">
        <v>190</v>
      </c>
      <c r="F41" s="2" t="s">
        <v>205</v>
      </c>
      <c r="G41" s="2" t="s">
        <v>203</v>
      </c>
      <c r="H41" s="2" t="s">
        <v>30</v>
      </c>
      <c r="I41" s="40" t="s">
        <v>229</v>
      </c>
    </row>
    <row r="42" spans="5:9" x14ac:dyDescent="0.3">
      <c r="E42" s="3" t="s">
        <v>161</v>
      </c>
      <c r="F42" s="24">
        <v>0</v>
      </c>
      <c r="G42" s="24">
        <v>0</v>
      </c>
      <c r="H42" s="3" t="s">
        <v>33</v>
      </c>
      <c r="I42" s="27">
        <f>F42/$F$58*100</f>
        <v>0</v>
      </c>
    </row>
    <row r="43" spans="5:9" x14ac:dyDescent="0.3">
      <c r="E43" s="3" t="s">
        <v>200</v>
      </c>
      <c r="F43" s="24">
        <f>F27*10^9/8000/$C$23</f>
        <v>18.822881231983022</v>
      </c>
      <c r="G43" s="24">
        <v>0</v>
      </c>
      <c r="H43" s="3" t="s">
        <v>33</v>
      </c>
      <c r="I43" s="27">
        <f t="shared" ref="I43:I57" si="1">F43/$F$58*100</f>
        <v>2.1747504342256514</v>
      </c>
    </row>
    <row r="44" spans="5:9" x14ac:dyDescent="0.3">
      <c r="E44" s="3" t="s">
        <v>207</v>
      </c>
      <c r="F44" s="24">
        <f>F26*10^9/8000/$C$23</f>
        <v>275.35043658253653</v>
      </c>
      <c r="G44" s="24">
        <f>SUM(OPEX!D5)</f>
        <v>105.460319659424</v>
      </c>
      <c r="H44" s="3" t="s">
        <v>33</v>
      </c>
      <c r="I44" s="27">
        <f t="shared" si="1"/>
        <v>31.813327308499815</v>
      </c>
    </row>
    <row r="45" spans="5:9" x14ac:dyDescent="0.3">
      <c r="E45" s="3" t="s">
        <v>162</v>
      </c>
      <c r="F45" s="24">
        <v>0</v>
      </c>
      <c r="G45" s="24">
        <v>0</v>
      </c>
      <c r="H45" s="3" t="s">
        <v>33</v>
      </c>
      <c r="I45" s="27">
        <f t="shared" si="1"/>
        <v>0</v>
      </c>
    </row>
    <row r="46" spans="5:9" x14ac:dyDescent="0.3">
      <c r="E46" s="3" t="s">
        <v>96</v>
      </c>
      <c r="F46" s="24">
        <v>0</v>
      </c>
      <c r="G46" s="24">
        <v>0</v>
      </c>
      <c r="H46" s="3" t="s">
        <v>33</v>
      </c>
      <c r="I46" s="27">
        <f t="shared" si="1"/>
        <v>0</v>
      </c>
    </row>
    <row r="47" spans="5:9" x14ac:dyDescent="0.3">
      <c r="E47" s="3" t="s">
        <v>163</v>
      </c>
      <c r="F47" s="24">
        <f>F28*10^9/8000/$C$23</f>
        <v>0</v>
      </c>
      <c r="G47" s="24">
        <f>SUM(OPEX!D7)</f>
        <v>0</v>
      </c>
      <c r="H47" s="3" t="s">
        <v>33</v>
      </c>
      <c r="I47" s="27">
        <f t="shared" si="1"/>
        <v>0</v>
      </c>
    </row>
    <row r="48" spans="5:9" ht="16.2" x14ac:dyDescent="0.3">
      <c r="E48" s="3" t="s">
        <v>25</v>
      </c>
      <c r="F48" s="24">
        <f t="shared" ref="F48:F55" si="2">F30*10^9/8000/$C$23</f>
        <v>20.585387426576037</v>
      </c>
      <c r="G48" s="24">
        <f>SUM(OPEX!D11)</f>
        <v>33280.9793147413</v>
      </c>
      <c r="H48" s="3" t="s">
        <v>170</v>
      </c>
      <c r="I48" s="27">
        <f t="shared" si="1"/>
        <v>2.3783861616563531</v>
      </c>
    </row>
    <row r="49" spans="5:9" x14ac:dyDescent="0.3">
      <c r="E49" s="3" t="s">
        <v>26</v>
      </c>
      <c r="F49" s="24">
        <f t="shared" si="2"/>
        <v>40.338511235194737</v>
      </c>
      <c r="G49" s="24">
        <f>SUM(OPEX!D12)</f>
        <v>33.732628163305002</v>
      </c>
      <c r="H49" s="3" t="s">
        <v>171</v>
      </c>
      <c r="I49" s="27">
        <f t="shared" si="1"/>
        <v>4.6606145862353712</v>
      </c>
    </row>
    <row r="50" spans="5:9" x14ac:dyDescent="0.3">
      <c r="E50" s="3" t="s">
        <v>201</v>
      </c>
      <c r="F50" s="24">
        <f t="shared" si="2"/>
        <v>95.671121963571451</v>
      </c>
      <c r="G50" s="24">
        <f>SUM(OPEX!D13)</f>
        <v>13.579145348362399</v>
      </c>
      <c r="H50" s="3" t="s">
        <v>33</v>
      </c>
      <c r="I50" s="27">
        <f t="shared" si="1"/>
        <v>11.053611371653581</v>
      </c>
    </row>
    <row r="51" spans="5:9" x14ac:dyDescent="0.3">
      <c r="E51" s="3" t="s">
        <v>202</v>
      </c>
      <c r="F51" s="24">
        <f t="shared" si="2"/>
        <v>0</v>
      </c>
      <c r="G51" s="24">
        <f>SUM(OPEX!D17)</f>
        <v>0</v>
      </c>
      <c r="H51" s="3" t="s">
        <v>33</v>
      </c>
      <c r="I51" s="27">
        <f t="shared" si="1"/>
        <v>0</v>
      </c>
    </row>
    <row r="52" spans="5:9" ht="16.2" x14ac:dyDescent="0.3">
      <c r="E52" s="3" t="s">
        <v>172</v>
      </c>
      <c r="F52" s="24">
        <f t="shared" si="2"/>
        <v>1.3639991827794851</v>
      </c>
      <c r="G52" s="24">
        <f>SUM(OPEX!D18)</f>
        <v>49.617363134883199</v>
      </c>
      <c r="H52" s="3" t="s">
        <v>170</v>
      </c>
      <c r="I52" s="27">
        <f t="shared" si="1"/>
        <v>0.1575931855742049</v>
      </c>
    </row>
    <row r="53" spans="5:9" x14ac:dyDescent="0.3">
      <c r="E53" s="3" t="s">
        <v>55</v>
      </c>
      <c r="F53" s="24">
        <f t="shared" si="2"/>
        <v>0</v>
      </c>
      <c r="G53" s="24">
        <f>SUM(OPEX!D19)</f>
        <v>0</v>
      </c>
      <c r="H53" s="3" t="s">
        <v>33</v>
      </c>
      <c r="I53" s="27">
        <f t="shared" si="1"/>
        <v>0</v>
      </c>
    </row>
    <row r="54" spans="5:9" x14ac:dyDescent="0.3">
      <c r="E54" s="3" t="s">
        <v>168</v>
      </c>
      <c r="F54" s="24">
        <f t="shared" si="2"/>
        <v>24.700625270176875</v>
      </c>
      <c r="G54" s="24">
        <f>SUM(OPEX!D14)</f>
        <v>92.1558484079724</v>
      </c>
      <c r="H54" s="3" t="s">
        <v>33</v>
      </c>
      <c r="I54" s="27">
        <f t="shared" si="1"/>
        <v>2.8538508462077257</v>
      </c>
    </row>
    <row r="55" spans="5:9" x14ac:dyDescent="0.3">
      <c r="E55" s="3" t="s">
        <v>195</v>
      </c>
      <c r="F55" s="24">
        <f t="shared" si="2"/>
        <v>0</v>
      </c>
      <c r="G55" s="24">
        <v>0</v>
      </c>
      <c r="H55" s="3" t="s">
        <v>204</v>
      </c>
      <c r="I55" s="27">
        <f t="shared" si="1"/>
        <v>0</v>
      </c>
    </row>
    <row r="56" spans="5:9" x14ac:dyDescent="0.3">
      <c r="E56" s="3" t="s">
        <v>199</v>
      </c>
      <c r="F56" s="24">
        <f>F22*10^9/8000/$C$23</f>
        <v>114.17887091416519</v>
      </c>
      <c r="G56" s="24">
        <v>0</v>
      </c>
      <c r="H56" s="3" t="s">
        <v>204</v>
      </c>
      <c r="I56" s="27">
        <f t="shared" si="1"/>
        <v>13.191952179885028</v>
      </c>
    </row>
    <row r="57" spans="5:9" x14ac:dyDescent="0.3">
      <c r="E57" s="3" t="s">
        <v>198</v>
      </c>
      <c r="F57" s="24">
        <f>H11*10^9/8000/$C$23</f>
        <v>274.50730511366953</v>
      </c>
      <c r="G57" s="24">
        <v>0</v>
      </c>
      <c r="H57" s="3" t="s">
        <v>204</v>
      </c>
      <c r="I57" s="27">
        <f t="shared" si="1"/>
        <v>31.71591392606226</v>
      </c>
    </row>
    <row r="58" spans="5:9" x14ac:dyDescent="0.3">
      <c r="E58" s="2" t="s">
        <v>129</v>
      </c>
      <c r="F58" s="13">
        <f>SUM(F42:F57)</f>
        <v>865.51913892065295</v>
      </c>
      <c r="G58" s="9"/>
      <c r="H58" s="9"/>
      <c r="I58" s="9"/>
    </row>
  </sheetData>
  <mergeCells count="6">
    <mergeCell ref="E40:I40"/>
    <mergeCell ref="E3:H3"/>
    <mergeCell ref="J3:K3"/>
    <mergeCell ref="E13:F13"/>
    <mergeCell ref="J13:K13"/>
    <mergeCell ref="E24:F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2023-04-18T08:18:00Z</dcterms:modified>
</cp:coreProperties>
</file>