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gas to 1-propanol\"/>
    </mc:Choice>
  </mc:AlternateContent>
  <xr:revisionPtr revIDLastSave="0" documentId="13_ncr:1_{013F3DF9-5CC7-4B40-9A6C-A2D10B1E7AE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Ethylene calculations" sheetId="1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3" l="1"/>
  <c r="B4" i="13"/>
  <c r="B3" i="13"/>
  <c r="B6" i="13" l="1"/>
  <c r="B2" i="13" l="1"/>
  <c r="B7" i="13" s="1"/>
</calcChain>
</file>

<file path=xl/sharedStrings.xml><?xml version="1.0" encoding="utf-8"?>
<sst xmlns="http://schemas.openxmlformats.org/spreadsheetml/2006/main" count="18" uniqueCount="15">
  <si>
    <t>CEPCI 2019</t>
  </si>
  <si>
    <t>CEPCI 2018</t>
  </si>
  <si>
    <t>Reference Data</t>
  </si>
  <si>
    <t>CEPCI 2008</t>
  </si>
  <si>
    <t>CEPCI 2022</t>
  </si>
  <si>
    <t>CEPCI 2021</t>
  </si>
  <si>
    <t>Methanol price</t>
  </si>
  <si>
    <t>$/t</t>
  </si>
  <si>
    <t>Methanol required</t>
  </si>
  <si>
    <t>kg/kg ethylene</t>
  </si>
  <si>
    <t>Price of fossil methanol</t>
  </si>
  <si>
    <t>Price of fMTO</t>
  </si>
  <si>
    <t>Price of fMTO without methanol</t>
  </si>
  <si>
    <t>$/t ethylene</t>
  </si>
  <si>
    <t>Price of bio ethylene (bEthylene)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</si>
</sst>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2" fontId="0" fillId="0" borderId="0" xfId="0" applyNumberFormat="1"/>
  </cellXfs>
  <cellStyles count="2">
    <cellStyle name="Normal" xfId="0" builtinId="0"/>
    <cellStyle name="Normal 2" xfId="1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nomics;%20biogas%20to%20methanol%20(20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"/>
      <sheetName val="Production costs"/>
      <sheetName val="OPEX"/>
      <sheetName val="Summary"/>
    </sheetNames>
    <sheetDataSet>
      <sheetData sheetId="0"/>
      <sheetData sheetId="1"/>
      <sheetData sheetId="2"/>
      <sheetData sheetId="3">
        <row r="25">
          <cell r="C25">
            <v>865.51913892065261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28DB-D130-45F6-AB0F-04BD02D43A75}">
  <dimension ref="A2:C15"/>
  <sheetViews>
    <sheetView tabSelected="1" zoomScale="130" zoomScaleNormal="130" workbookViewId="0">
      <selection activeCell="F20" sqref="F20"/>
    </sheetView>
  </sheetViews>
  <sheetFormatPr defaultRowHeight="14.4" x14ac:dyDescent="0.3"/>
  <cols>
    <col min="1" max="1" width="28.33203125" bestFit="1" customWidth="1"/>
    <col min="2" max="2" width="7.5546875" bestFit="1" customWidth="1"/>
    <col min="3" max="3" width="27.88671875" bestFit="1" customWidth="1"/>
  </cols>
  <sheetData>
    <row r="2" spans="1:3" x14ac:dyDescent="0.3">
      <c r="A2" t="s">
        <v>6</v>
      </c>
      <c r="B2" s="4">
        <f>[1]Summary!$C$25</f>
        <v>865.51913892065261</v>
      </c>
      <c r="C2" t="s">
        <v>7</v>
      </c>
    </row>
    <row r="3" spans="1:3" x14ac:dyDescent="0.3">
      <c r="A3" t="s">
        <v>8</v>
      </c>
      <c r="B3" s="4">
        <f>4.58*0.55</f>
        <v>2.5190000000000001</v>
      </c>
      <c r="C3" t="s">
        <v>9</v>
      </c>
    </row>
    <row r="4" spans="1:3" x14ac:dyDescent="0.3">
      <c r="A4" t="s">
        <v>10</v>
      </c>
      <c r="B4" s="4">
        <f>328.8*B15/B13</f>
        <v>434.93609876543206</v>
      </c>
      <c r="C4" t="s">
        <v>7</v>
      </c>
    </row>
    <row r="5" spans="1:3" x14ac:dyDescent="0.3">
      <c r="A5" t="s">
        <v>11</v>
      </c>
      <c r="B5" s="4">
        <f>1073.44*B15/B13</f>
        <v>1419.9446650205762</v>
      </c>
      <c r="C5" t="s">
        <v>13</v>
      </c>
    </row>
    <row r="6" spans="1:3" x14ac:dyDescent="0.3">
      <c r="A6" t="s">
        <v>12</v>
      </c>
      <c r="B6">
        <f>B5-B4*B3</f>
        <v>324.34063223045268</v>
      </c>
      <c r="C6" t="s">
        <v>13</v>
      </c>
    </row>
    <row r="7" spans="1:3" x14ac:dyDescent="0.3">
      <c r="A7" t="s">
        <v>14</v>
      </c>
      <c r="B7" s="4">
        <f>B2*B3+B6</f>
        <v>2504.5833431715769</v>
      </c>
      <c r="C7" t="s">
        <v>13</v>
      </c>
    </row>
    <row r="10" spans="1:3" x14ac:dyDescent="0.3">
      <c r="A10" s="2" t="s">
        <v>2</v>
      </c>
    </row>
    <row r="11" spans="1:3" x14ac:dyDescent="0.3">
      <c r="A11" s="1" t="s">
        <v>3</v>
      </c>
      <c r="B11" s="3">
        <v>575.4</v>
      </c>
    </row>
    <row r="12" spans="1:3" x14ac:dyDescent="0.3">
      <c r="A12" s="1" t="s">
        <v>1</v>
      </c>
      <c r="B12" s="3">
        <v>603.1</v>
      </c>
    </row>
    <row r="13" spans="1:3" x14ac:dyDescent="0.3">
      <c r="A13" s="1" t="s">
        <v>0</v>
      </c>
      <c r="B13" s="3">
        <v>607.5</v>
      </c>
    </row>
    <row r="14" spans="1:3" x14ac:dyDescent="0.3">
      <c r="A14" s="1" t="s">
        <v>5</v>
      </c>
      <c r="B14" s="3">
        <v>776.3</v>
      </c>
    </row>
    <row r="15" spans="1:3" x14ac:dyDescent="0.3">
      <c r="A15" s="1" t="s">
        <v>4</v>
      </c>
      <c r="B15" s="3">
        <v>803.6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Ethylene calculations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2022-09-13T07:01:16Z</dcterms:modified>
</cp:coreProperties>
</file>