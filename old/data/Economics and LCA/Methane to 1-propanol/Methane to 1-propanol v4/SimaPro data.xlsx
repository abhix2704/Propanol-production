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nabera\Desktop\Carbon dioxide to 1-propanol\Data\Economics\Methane to 1-propanol v4\"/>
    </mc:Choice>
  </mc:AlternateContent>
  <xr:revisionPtr revIDLastSave="0" documentId="13_ncr:1_{8C3E67C6-D0FD-40B1-89EF-F0AB1AE01F70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Material streams" sheetId="1" r:id="rId1"/>
    <sheet name="Electricity" sheetId="2" r:id="rId2"/>
    <sheet name="Utilities" sheetId="3" r:id="rId3"/>
    <sheet name="Hydroformylation catalyst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5" i="3" l="1"/>
  <c r="I4" i="3"/>
  <c r="I3" i="3"/>
  <c r="D18" i="2"/>
  <c r="D17" i="2"/>
  <c r="D16" i="2"/>
  <c r="D15" i="2"/>
  <c r="D14" i="2"/>
  <c r="D13" i="2"/>
  <c r="D12" i="2"/>
  <c r="D11" i="2"/>
  <c r="D10" i="2"/>
  <c r="D9" i="2"/>
  <c r="I6" i="3" l="1"/>
  <c r="D1" i="6"/>
  <c r="F4" i="6"/>
  <c r="G16" i="3"/>
  <c r="C7" i="3" s="1"/>
  <c r="D7" i="3" s="1"/>
  <c r="G15" i="3"/>
  <c r="C6" i="3" s="1"/>
  <c r="C22" i="2"/>
  <c r="D21" i="2"/>
  <c r="C8" i="1"/>
  <c r="D7" i="1"/>
  <c r="D6" i="3" l="1"/>
  <c r="J5" i="3"/>
  <c r="G4" i="6"/>
  <c r="D6" i="2"/>
  <c r="D5" i="2"/>
  <c r="D4" i="2"/>
  <c r="D3" i="2"/>
  <c r="G11" i="3"/>
  <c r="G12" i="3"/>
  <c r="C3" i="3" s="1"/>
  <c r="G13" i="3"/>
  <c r="C4" i="3" s="1"/>
  <c r="C2" i="3" l="1"/>
  <c r="D2" i="3" s="1"/>
  <c r="D4" i="3"/>
  <c r="J4" i="3"/>
  <c r="D3" i="3"/>
  <c r="D6" i="1"/>
  <c r="G14" i="3" l="1"/>
  <c r="C5" i="3" s="1"/>
  <c r="J3" i="3" s="1"/>
  <c r="J6" i="3" s="1"/>
  <c r="D5" i="3" l="1"/>
  <c r="D20" i="2"/>
  <c r="D19" i="2"/>
  <c r="D8" i="2"/>
  <c r="D7" i="2"/>
  <c r="D11" i="1"/>
  <c r="D10" i="1"/>
  <c r="D9" i="1"/>
  <c r="D8" i="1"/>
  <c r="D5" i="1"/>
  <c r="D4" i="1"/>
  <c r="D22" i="2" l="1"/>
</calcChain>
</file>

<file path=xl/sharedStrings.xml><?xml version="1.0" encoding="utf-8"?>
<sst xmlns="http://schemas.openxmlformats.org/spreadsheetml/2006/main" count="105" uniqueCount="74">
  <si>
    <t>Component</t>
  </si>
  <si>
    <t>Type</t>
  </si>
  <si>
    <t>Mass flow (kg/hr)</t>
  </si>
  <si>
    <t>Hydrogen</t>
  </si>
  <si>
    <t>kWh</t>
  </si>
  <si>
    <t>Block</t>
  </si>
  <si>
    <t>Compressor</t>
  </si>
  <si>
    <t>K-101</t>
  </si>
  <si>
    <t>K-100</t>
  </si>
  <si>
    <t>K-109</t>
  </si>
  <si>
    <t>Total</t>
  </si>
  <si>
    <t>Utility</t>
  </si>
  <si>
    <t>Load (kJ/h)</t>
  </si>
  <si>
    <t>Effective Cp (kJ/kg C)</t>
  </si>
  <si>
    <t>ΔT</t>
  </si>
  <si>
    <r>
      <t>T</t>
    </r>
    <r>
      <rPr>
        <b/>
        <vertAlign val="subscript"/>
        <sz val="11"/>
        <color theme="1"/>
        <rFont val="Calibri"/>
        <family val="2"/>
        <scheme val="minor"/>
      </rPr>
      <t>in</t>
    </r>
  </si>
  <si>
    <r>
      <t>T</t>
    </r>
    <r>
      <rPr>
        <b/>
        <vertAlign val="subscript"/>
        <sz val="11"/>
        <color theme="1"/>
        <rFont val="Calibri"/>
        <family val="2"/>
        <scheme val="minor"/>
      </rPr>
      <t>out</t>
    </r>
  </si>
  <si>
    <t>Feed</t>
  </si>
  <si>
    <t>HP Steam Generation</t>
  </si>
  <si>
    <t>LP Steam Generation</t>
  </si>
  <si>
    <t>MP Steam Generation</t>
  </si>
  <si>
    <t>Cooling water</t>
  </si>
  <si>
    <t>K-102</t>
  </si>
  <si>
    <t>K-103</t>
  </si>
  <si>
    <t>K-104</t>
  </si>
  <si>
    <t>K-105</t>
  </si>
  <si>
    <t>Unit operation</t>
  </si>
  <si>
    <t>Catalyst used</t>
  </si>
  <si>
    <t>Natural gas</t>
  </si>
  <si>
    <t>Oxygen</t>
  </si>
  <si>
    <t>Ethylene</t>
  </si>
  <si>
    <t>1-propanol (99.8 wt %)</t>
  </si>
  <si>
    <t>Product</t>
  </si>
  <si>
    <t>Waste water</t>
  </si>
  <si>
    <t>Emissions</t>
  </si>
  <si>
    <t>Caputred carbon dioxide</t>
  </si>
  <si>
    <t>kWh/kg propanol</t>
  </si>
  <si>
    <t>P-100</t>
  </si>
  <si>
    <t>P-101</t>
  </si>
  <si>
    <t>Pump</t>
  </si>
  <si>
    <t>P-102</t>
  </si>
  <si>
    <t>Data used for calculating the mass flow rate taken from Aspen Energy Analyzer</t>
  </si>
  <si>
    <t>Target load (kJ/h)</t>
  </si>
  <si>
    <t>Target flow rate (kg/h)</t>
  </si>
  <si>
    <t>Flow /kg propanol</t>
  </si>
  <si>
    <t>Flow rate (kg/h)</t>
  </si>
  <si>
    <t>Propanol produced</t>
  </si>
  <si>
    <t>Hydroformylation</t>
  </si>
  <si>
    <r>
      <t>Rh/PPh</t>
    </r>
    <r>
      <rPr>
        <vertAlign val="subscript"/>
        <sz val="11"/>
        <color theme="1"/>
        <rFont val="Calibri"/>
        <family val="2"/>
        <scheme val="minor"/>
      </rPr>
      <t>3</t>
    </r>
  </si>
  <si>
    <t>Price ($/kg)</t>
  </si>
  <si>
    <t>kg/hr</t>
  </si>
  <si>
    <r>
      <t>Loading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</si>
  <si>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r>
      <t>Reactor volume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</si>
  <si>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Catalyst required (kg/hr)</t>
  </si>
  <si>
    <t>Catalyst required (kg/kg propanol)</t>
  </si>
  <si>
    <t>K-106</t>
  </si>
  <si>
    <t>K-107</t>
  </si>
  <si>
    <t>K-108</t>
  </si>
  <si>
    <t>K-110</t>
  </si>
  <si>
    <t>K-111</t>
  </si>
  <si>
    <t>K-112</t>
  </si>
  <si>
    <t>K-113</t>
  </si>
  <si>
    <t>K-114</t>
  </si>
  <si>
    <t>K-115</t>
  </si>
  <si>
    <t>LP Steam</t>
  </si>
  <si>
    <t>HP Steam</t>
  </si>
  <si>
    <t>LP steam</t>
  </si>
  <si>
    <t>MP steam</t>
  </si>
  <si>
    <t>Net (kJ/h)</t>
  </si>
  <si>
    <t>HP steam</t>
  </si>
  <si>
    <t>Net (kg/h)</t>
  </si>
  <si>
    <t>Purge gas</t>
  </si>
  <si>
    <t>kg/kg propanol</t>
  </si>
  <si>
    <t>Final product: 1-propanol (99.8 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</si>
</sst>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2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1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2" fontId="0" fillId="0" borderId="1" xfId="0" applyNumberFormat="1" applyFont="1" applyBorder="1" applyAlignment="1">
      <alignment horizontal="center"/>
    </xf>
    <xf numFmtId="164" fontId="0" fillId="0" borderId="1" xfId="0" applyNumberFormat="1" applyFont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164" fontId="0" fillId="0" borderId="1" xfId="0" applyNumberFormat="1" applyFont="1" applyFill="1" applyBorder="1" applyAlignment="1">
      <alignment horizontal="center"/>
    </xf>
    <xf numFmtId="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0" fillId="0" borderId="0" xfId="0" applyNumberFormat="1"/>
    <xf numFmtId="0" fontId="0" fillId="0" borderId="1" xfId="0" applyBorder="1"/>
    <xf numFmtId="2" fontId="1" fillId="0" borderId="1" xfId="0" applyNumberFormat="1" applyFont="1" applyBorder="1"/>
    <xf numFmtId="0" fontId="1" fillId="0" borderId="1" xfId="0" applyFont="1" applyBorder="1" applyAlignment="1">
      <alignment horizontal="right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zoomScale="130" zoomScaleNormal="130" workbookViewId="0">
      <selection activeCell="A4" sqref="A4"/>
    </sheetView>
  </sheetViews>
  <sheetFormatPr defaultColWidth="9" defaultRowHeight="15" x14ac:dyDescent="0.25"/>
  <cols>
    <col min="1" max="1" width="33.85546875" style="1" bestFit="1" customWidth="1"/>
    <col min="2" max="2" width="21.140625" style="1" bestFit="1" customWidth="1"/>
    <col min="3" max="4" width="16.7109375" style="1" bestFit="1" customWidth="1"/>
    <col min="5" max="5" width="17" style="1" bestFit="1" customWidth="1"/>
    <col min="6" max="16384" width="9" style="1"/>
  </cols>
  <sheetData>
    <row r="1" spans="1:4" x14ac:dyDescent="0.25">
      <c r="A1" s="2" t="s">
        <v>73</v>
      </c>
    </row>
    <row r="2" spans="1:4" x14ac:dyDescent="0.25">
      <c r="A2" s="2"/>
    </row>
    <row r="3" spans="1:4" x14ac:dyDescent="0.25">
      <c r="A3" s="6" t="s">
        <v>0</v>
      </c>
      <c r="B3" s="6" t="s">
        <v>1</v>
      </c>
      <c r="C3" s="6" t="s">
        <v>2</v>
      </c>
      <c r="D3" s="6" t="s">
        <v>72</v>
      </c>
    </row>
    <row r="4" spans="1:4" x14ac:dyDescent="0.25">
      <c r="A4" s="3" t="s">
        <v>28</v>
      </c>
      <c r="B4" s="3" t="s">
        <v>17</v>
      </c>
      <c r="C4" s="4">
        <v>16042.900085449201</v>
      </c>
      <c r="D4" s="5">
        <f t="shared" ref="D4:D11" si="0">C4/C$11</f>
        <v>0.28281974574704649</v>
      </c>
    </row>
    <row r="5" spans="1:4" x14ac:dyDescent="0.25">
      <c r="A5" s="3" t="s">
        <v>29</v>
      </c>
      <c r="B5" s="3" t="s">
        <v>17</v>
      </c>
      <c r="C5" s="4">
        <v>22400</v>
      </c>
      <c r="D5" s="5">
        <f t="shared" si="0"/>
        <v>0.39488884621800951</v>
      </c>
    </row>
    <row r="6" spans="1:4" x14ac:dyDescent="0.25">
      <c r="A6" s="3" t="s">
        <v>30</v>
      </c>
      <c r="B6" s="3" t="s">
        <v>17</v>
      </c>
      <c r="C6" s="4">
        <v>26869.2727802304</v>
      </c>
      <c r="D6" s="5">
        <f t="shared" si="0"/>
        <v>0.47367750566527461</v>
      </c>
    </row>
    <row r="7" spans="1:4" x14ac:dyDescent="0.25">
      <c r="A7" s="3" t="s">
        <v>3</v>
      </c>
      <c r="B7" s="3" t="s">
        <v>17</v>
      </c>
      <c r="C7" s="4">
        <v>589.68000948429096</v>
      </c>
      <c r="D7" s="5">
        <f t="shared" ref="D7" si="1">C7/C$11</f>
        <v>1.0395449043887348E-2</v>
      </c>
    </row>
    <row r="8" spans="1:4" x14ac:dyDescent="0.25">
      <c r="A8" s="3" t="s">
        <v>33</v>
      </c>
      <c r="B8" s="3" t="s">
        <v>34</v>
      </c>
      <c r="C8" s="4">
        <f>6311.12452563969+153.467866279813+54.4282812188136+151.951113274288</f>
        <v>6670.9717864126051</v>
      </c>
      <c r="D8" s="5">
        <f t="shared" si="0"/>
        <v>0.11760233713791819</v>
      </c>
    </row>
    <row r="9" spans="1:4" x14ac:dyDescent="0.25">
      <c r="A9" s="3" t="s">
        <v>35</v>
      </c>
      <c r="B9" s="3" t="s">
        <v>34</v>
      </c>
      <c r="C9" s="4">
        <v>1839.2912389288999</v>
      </c>
      <c r="D9" s="5">
        <f t="shared" si="0"/>
        <v>3.2424803357121723E-2</v>
      </c>
    </row>
    <row r="10" spans="1:4" x14ac:dyDescent="0.25">
      <c r="A10" s="3" t="s">
        <v>71</v>
      </c>
      <c r="B10" s="3" t="s">
        <v>34</v>
      </c>
      <c r="C10" s="4">
        <v>730.17488510575299</v>
      </c>
      <c r="D10" s="5">
        <f t="shared" si="0"/>
        <v>1.2872228478427609E-2</v>
      </c>
    </row>
    <row r="11" spans="1:4" x14ac:dyDescent="0.25">
      <c r="A11" s="10" t="s">
        <v>31</v>
      </c>
      <c r="B11" s="10" t="s">
        <v>32</v>
      </c>
      <c r="C11" s="25">
        <v>56724.823237051998</v>
      </c>
      <c r="D11" s="11">
        <f t="shared" si="0"/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2"/>
  <sheetViews>
    <sheetView zoomScale="130" zoomScaleNormal="130" workbookViewId="0">
      <selection activeCell="C22" sqref="C22"/>
    </sheetView>
  </sheetViews>
  <sheetFormatPr defaultRowHeight="15" x14ac:dyDescent="0.25"/>
  <cols>
    <col min="1" max="1" width="9.5703125" style="1" bestFit="1" customWidth="1"/>
    <col min="2" max="2" width="15.7109375" style="1" bestFit="1" customWidth="1"/>
    <col min="3" max="3" width="11.7109375" style="1" bestFit="1" customWidth="1"/>
    <col min="4" max="4" width="16.5703125" style="1" bestFit="1" customWidth="1"/>
  </cols>
  <sheetData>
    <row r="2" spans="1:4" x14ac:dyDescent="0.25">
      <c r="A2" s="6" t="s">
        <v>5</v>
      </c>
      <c r="B2" s="6" t="s">
        <v>1</v>
      </c>
      <c r="C2" s="6" t="s">
        <v>4</v>
      </c>
      <c r="D2" s="6" t="s">
        <v>36</v>
      </c>
    </row>
    <row r="3" spans="1:4" x14ac:dyDescent="0.25">
      <c r="A3" s="15" t="s">
        <v>8</v>
      </c>
      <c r="B3" s="3" t="s">
        <v>6</v>
      </c>
      <c r="C3" s="19">
        <v>1601.5687773002901</v>
      </c>
      <c r="D3" s="19">
        <f>C3/'Material streams'!C$11</f>
        <v>2.823400208066517E-2</v>
      </c>
    </row>
    <row r="4" spans="1:4" x14ac:dyDescent="0.25">
      <c r="A4" s="15" t="s">
        <v>7</v>
      </c>
      <c r="B4" s="15" t="s">
        <v>6</v>
      </c>
      <c r="C4" s="19">
        <v>1729.4467383441699</v>
      </c>
      <c r="D4" s="19">
        <f>C4/'Material streams'!C$11</f>
        <v>3.0488358352688798E-2</v>
      </c>
    </row>
    <row r="5" spans="1:4" x14ac:dyDescent="0.25">
      <c r="A5" s="15" t="s">
        <v>22</v>
      </c>
      <c r="B5" s="15" t="s">
        <v>6</v>
      </c>
      <c r="C5" s="19">
        <v>1723.2621680627101</v>
      </c>
      <c r="D5" s="19">
        <f>C5/'Material streams'!C$11</f>
        <v>3.0379330771313804E-2</v>
      </c>
    </row>
    <row r="6" spans="1:4" x14ac:dyDescent="0.25">
      <c r="A6" s="15" t="s">
        <v>23</v>
      </c>
      <c r="B6" s="15" t="s">
        <v>6</v>
      </c>
      <c r="C6" s="19">
        <v>1176.5746910666501</v>
      </c>
      <c r="D6" s="19">
        <f>C6/'Material streams'!C$11</f>
        <v>2.0741795635920556E-2</v>
      </c>
    </row>
    <row r="7" spans="1:4" x14ac:dyDescent="0.25">
      <c r="A7" s="15" t="s">
        <v>24</v>
      </c>
      <c r="B7" s="15" t="s">
        <v>6</v>
      </c>
      <c r="C7" s="19">
        <v>32.9565354462366</v>
      </c>
      <c r="D7" s="19">
        <f>C7/'Material streams'!C$11</f>
        <v>5.8098965436193331E-4</v>
      </c>
    </row>
    <row r="8" spans="1:4" x14ac:dyDescent="0.25">
      <c r="A8" s="15" t="s">
        <v>25</v>
      </c>
      <c r="B8" s="15" t="s">
        <v>6</v>
      </c>
      <c r="C8" s="19">
        <v>9.0413622593960099</v>
      </c>
      <c r="D8" s="19">
        <f>C8/'Material streams'!C$11</f>
        <v>1.5938987102017617E-4</v>
      </c>
    </row>
    <row r="9" spans="1:4" x14ac:dyDescent="0.25">
      <c r="A9" s="15" t="s">
        <v>55</v>
      </c>
      <c r="B9" s="15" t="s">
        <v>6</v>
      </c>
      <c r="C9" s="19">
        <v>1.97376391480984</v>
      </c>
      <c r="D9" s="19">
        <f>C9/'Material streams'!C$11</f>
        <v>3.479541763508926E-5</v>
      </c>
    </row>
    <row r="10" spans="1:4" x14ac:dyDescent="0.25">
      <c r="A10" s="15" t="s">
        <v>56</v>
      </c>
      <c r="B10" s="15" t="s">
        <v>6</v>
      </c>
      <c r="C10" s="19">
        <v>2.1383839134734002</v>
      </c>
      <c r="D10" s="19">
        <f>C10/'Material streams'!C$11</f>
        <v>3.7697498051904597E-5</v>
      </c>
    </row>
    <row r="11" spans="1:4" x14ac:dyDescent="0.25">
      <c r="A11" s="15" t="s">
        <v>57</v>
      </c>
      <c r="B11" s="15" t="s">
        <v>6</v>
      </c>
      <c r="C11" s="19">
        <v>2.2037318885270301</v>
      </c>
      <c r="D11" s="19">
        <f>C11/'Material streams'!C$11</f>
        <v>3.8849515305101521E-5</v>
      </c>
    </row>
    <row r="12" spans="1:4" x14ac:dyDescent="0.25">
      <c r="A12" s="15" t="s">
        <v>9</v>
      </c>
      <c r="B12" s="15" t="s">
        <v>6</v>
      </c>
      <c r="C12" s="19">
        <v>1.5333216484760399</v>
      </c>
      <c r="D12" s="19">
        <f>C12/'Material streams'!C$11</f>
        <v>2.7030875743205347E-5</v>
      </c>
    </row>
    <row r="13" spans="1:4" x14ac:dyDescent="0.25">
      <c r="A13" s="15" t="s">
        <v>58</v>
      </c>
      <c r="B13" s="15" t="s">
        <v>6</v>
      </c>
      <c r="C13" s="19">
        <v>870.97161712170998</v>
      </c>
      <c r="D13" s="19">
        <f>C13/'Material streams'!C$11</f>
        <v>1.5354329329188661E-2</v>
      </c>
    </row>
    <row r="14" spans="1:4" x14ac:dyDescent="0.25">
      <c r="A14" s="15" t="s">
        <v>59</v>
      </c>
      <c r="B14" s="15" t="s">
        <v>6</v>
      </c>
      <c r="C14" s="19">
        <v>933.69627814133901</v>
      </c>
      <c r="D14" s="19">
        <f>C14/'Material streams'!C$11</f>
        <v>1.646010026755728E-2</v>
      </c>
    </row>
    <row r="15" spans="1:4" x14ac:dyDescent="0.25">
      <c r="A15" s="15" t="s">
        <v>60</v>
      </c>
      <c r="B15" s="15" t="s">
        <v>6</v>
      </c>
      <c r="C15" s="19">
        <v>913.25739024897996</v>
      </c>
      <c r="D15" s="19">
        <f>C15/'Material streams'!C$11</f>
        <v>1.6099783800691526E-2</v>
      </c>
    </row>
    <row r="16" spans="1:4" x14ac:dyDescent="0.25">
      <c r="A16" s="15" t="s">
        <v>61</v>
      </c>
      <c r="B16" s="15" t="s">
        <v>6</v>
      </c>
      <c r="C16" s="19">
        <v>535.21999714486299</v>
      </c>
      <c r="D16" s="19">
        <f>C16/'Material streams'!C$11</f>
        <v>9.4353753189884513E-3</v>
      </c>
    </row>
    <row r="17" spans="1:4" x14ac:dyDescent="0.25">
      <c r="A17" s="15" t="s">
        <v>62</v>
      </c>
      <c r="B17" s="15" t="s">
        <v>6</v>
      </c>
      <c r="C17" s="19">
        <v>220.96880708256899</v>
      </c>
      <c r="D17" s="19">
        <f>C17/'Material streams'!C$11</f>
        <v>3.8954516642413215E-3</v>
      </c>
    </row>
    <row r="18" spans="1:4" x14ac:dyDescent="0.25">
      <c r="A18" s="15" t="s">
        <v>63</v>
      </c>
      <c r="B18" s="15" t="s">
        <v>6</v>
      </c>
      <c r="C18" s="19">
        <v>282.27059441043701</v>
      </c>
      <c r="D18" s="19">
        <f>C18/'Material streams'!C$11</f>
        <v>4.9761388101789818E-3</v>
      </c>
    </row>
    <row r="19" spans="1:4" x14ac:dyDescent="0.25">
      <c r="A19" s="3" t="s">
        <v>37</v>
      </c>
      <c r="B19" s="3" t="s">
        <v>39</v>
      </c>
      <c r="C19" s="5">
        <v>3.3828168910633102E-2</v>
      </c>
      <c r="D19" s="5">
        <f>C19/'Material streams'!C$11</f>
        <v>5.9635565137445746E-7</v>
      </c>
    </row>
    <row r="20" spans="1:4" x14ac:dyDescent="0.25">
      <c r="A20" s="3" t="s">
        <v>38</v>
      </c>
      <c r="B20" s="3" t="s">
        <v>39</v>
      </c>
      <c r="C20" s="5">
        <v>44.895615918199198</v>
      </c>
      <c r="D20" s="5">
        <f>C20/'Material streams'!C$11</f>
        <v>7.9146330224038317E-4</v>
      </c>
    </row>
    <row r="21" spans="1:4" x14ac:dyDescent="0.25">
      <c r="A21" s="3" t="s">
        <v>40</v>
      </c>
      <c r="B21" s="3" t="s">
        <v>39</v>
      </c>
      <c r="C21" s="5">
        <v>17.0221641859717</v>
      </c>
      <c r="D21" s="5">
        <f>C21/'Material streams'!C$11</f>
        <v>3.0008315962195929E-4</v>
      </c>
    </row>
    <row r="22" spans="1:4" x14ac:dyDescent="0.25">
      <c r="A22" s="3"/>
      <c r="B22" s="13" t="s">
        <v>10</v>
      </c>
      <c r="C22" s="23">
        <f>SUM(C3:C21)</f>
        <v>10099.035766267718</v>
      </c>
      <c r="D22" s="16">
        <f>SUM(D3:D21)</f>
        <v>0.17803556168106566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6"/>
  <sheetViews>
    <sheetView zoomScale="140" zoomScaleNormal="140" workbookViewId="0">
      <selection activeCell="D22" sqref="D22"/>
    </sheetView>
  </sheetViews>
  <sheetFormatPr defaultRowHeight="15" x14ac:dyDescent="0.25"/>
  <cols>
    <col min="1" max="1" width="32.5703125" customWidth="1"/>
    <col min="2" max="2" width="17.140625" bestFit="1" customWidth="1"/>
    <col min="3" max="3" width="20.28515625" customWidth="1"/>
    <col min="4" max="4" width="20" bestFit="1" customWidth="1"/>
    <col min="5" max="5" width="7.7109375" bestFit="1" customWidth="1"/>
    <col min="6" max="6" width="4.7109375" bestFit="1" customWidth="1"/>
    <col min="7" max="7" width="5.28515625" bestFit="1" customWidth="1"/>
    <col min="8" max="8" width="12.140625" bestFit="1" customWidth="1"/>
    <col min="9" max="9" width="14.5703125" bestFit="1" customWidth="1"/>
    <col min="10" max="10" width="10.140625" bestFit="1" customWidth="1"/>
  </cols>
  <sheetData>
    <row r="1" spans="1:10" ht="18" x14ac:dyDescent="0.35">
      <c r="A1" s="14" t="s">
        <v>11</v>
      </c>
      <c r="B1" s="14" t="s">
        <v>12</v>
      </c>
      <c r="C1" s="14" t="s">
        <v>45</v>
      </c>
      <c r="D1" s="8" t="s">
        <v>44</v>
      </c>
    </row>
    <row r="2" spans="1:10" x14ac:dyDescent="0.25">
      <c r="A2" s="17" t="s">
        <v>21</v>
      </c>
      <c r="B2" s="20">
        <v>194299880.589284</v>
      </c>
      <c r="C2" s="26">
        <f>B2/D11/G11</f>
        <v>9289977.5562650748</v>
      </c>
      <c r="D2" s="27">
        <f>C2/'Material streams'!C$11</f>
        <v>163.7727017225321</v>
      </c>
      <c r="H2" s="31"/>
      <c r="I2" s="3" t="s">
        <v>68</v>
      </c>
      <c r="J2" s="31" t="s">
        <v>70</v>
      </c>
    </row>
    <row r="3" spans="1:10" x14ac:dyDescent="0.25">
      <c r="A3" s="21" t="s">
        <v>64</v>
      </c>
      <c r="B3" s="26">
        <v>1921036.7457634399</v>
      </c>
      <c r="C3" s="26">
        <f t="shared" ref="C3:C7" si="0">B3/D12/G12</f>
        <v>874.62973309207791</v>
      </c>
      <c r="D3" s="27">
        <f>C3/'Material streams'!C$11</f>
        <v>1.5418818132531084E-2</v>
      </c>
      <c r="E3" s="30"/>
      <c r="H3" s="3" t="s">
        <v>66</v>
      </c>
      <c r="I3" s="4">
        <f>B3-B5</f>
        <v>-112816636.74550156</v>
      </c>
      <c r="J3" s="4">
        <f>C3-C5</f>
        <v>-51364.340168230534</v>
      </c>
    </row>
    <row r="4" spans="1:10" x14ac:dyDescent="0.25">
      <c r="A4" s="21" t="s">
        <v>20</v>
      </c>
      <c r="B4" s="26">
        <v>5442034.9600184401</v>
      </c>
      <c r="C4" s="26">
        <f t="shared" si="0"/>
        <v>2746.5604925903099</v>
      </c>
      <c r="D4" s="27">
        <f>C4/'Material streams'!C$11</f>
        <v>4.8419022499417652E-2</v>
      </c>
      <c r="E4" s="30"/>
      <c r="H4" s="3" t="s">
        <v>67</v>
      </c>
      <c r="I4" s="4">
        <f>-B4</f>
        <v>-5442034.9600184401</v>
      </c>
      <c r="J4" s="4">
        <f>-C4</f>
        <v>-2746.5604925903099</v>
      </c>
    </row>
    <row r="5" spans="1:10" x14ac:dyDescent="0.25">
      <c r="A5" s="17" t="s">
        <v>19</v>
      </c>
      <c r="B5" s="26">
        <v>114737673.491265</v>
      </c>
      <c r="C5" s="26">
        <f t="shared" si="0"/>
        <v>52238.969901322613</v>
      </c>
      <c r="D5" s="27">
        <f>C5/'Material streams'!C$11</f>
        <v>0.92091904249779521</v>
      </c>
      <c r="H5" s="3" t="s">
        <v>69</v>
      </c>
      <c r="I5" s="4">
        <f>B6-B7</f>
        <v>-73119814.162806481</v>
      </c>
      <c r="J5" s="4">
        <f>C6-C7</f>
        <v>-42933.365135814973</v>
      </c>
    </row>
    <row r="6" spans="1:10" x14ac:dyDescent="0.25">
      <c r="A6" s="15" t="s">
        <v>65</v>
      </c>
      <c r="B6" s="18">
        <v>349363.038131229</v>
      </c>
      <c r="C6" s="18">
        <f t="shared" si="0"/>
        <v>205.13360233176502</v>
      </c>
      <c r="D6" s="19">
        <f>C6/'Material streams'!C$11</f>
        <v>3.6162933725595839E-3</v>
      </c>
      <c r="E6" s="30"/>
      <c r="H6" s="9" t="s">
        <v>10</v>
      </c>
      <c r="I6" s="32">
        <f>SUM(I3:I5)</f>
        <v>-191378485.86832649</v>
      </c>
      <c r="J6" s="32">
        <f>SUM(J3:J5)</f>
        <v>-97044.265796635824</v>
      </c>
    </row>
    <row r="7" spans="1:10" x14ac:dyDescent="0.25">
      <c r="A7" s="15" t="s">
        <v>18</v>
      </c>
      <c r="B7" s="18">
        <v>73469177.200937703</v>
      </c>
      <c r="C7" s="18">
        <f t="shared" si="0"/>
        <v>43138.498738146736</v>
      </c>
      <c r="D7" s="19">
        <f>C7/'Material streams'!C$11</f>
        <v>0.76048714260195649</v>
      </c>
    </row>
    <row r="9" spans="1:10" x14ac:dyDescent="0.25">
      <c r="A9" s="7" t="s">
        <v>41</v>
      </c>
    </row>
    <row r="10" spans="1:10" ht="18" x14ac:dyDescent="0.35">
      <c r="A10" s="6" t="s">
        <v>11</v>
      </c>
      <c r="B10" s="6" t="s">
        <v>42</v>
      </c>
      <c r="C10" s="6" t="s">
        <v>43</v>
      </c>
      <c r="D10" s="6" t="s">
        <v>13</v>
      </c>
      <c r="E10" s="9" t="s">
        <v>15</v>
      </c>
      <c r="F10" s="9" t="s">
        <v>16</v>
      </c>
      <c r="G10" s="9" t="s">
        <v>14</v>
      </c>
    </row>
    <row r="11" spans="1:10" x14ac:dyDescent="0.25">
      <c r="A11" s="17" t="s">
        <v>21</v>
      </c>
      <c r="B11" s="18">
        <v>194282724.75411901</v>
      </c>
      <c r="C11" s="18">
        <v>9289157.2916145809</v>
      </c>
      <c r="D11" s="15">
        <v>4.1829999999999998</v>
      </c>
      <c r="E11" s="17">
        <v>15</v>
      </c>
      <c r="F11" s="17">
        <v>20</v>
      </c>
      <c r="G11" s="15">
        <f t="shared" ref="G11:G16" si="1">F11-E11</f>
        <v>5</v>
      </c>
    </row>
    <row r="12" spans="1:10" x14ac:dyDescent="0.25">
      <c r="A12" s="21" t="s">
        <v>64</v>
      </c>
      <c r="B12" s="18">
        <v>1921036.7457634399</v>
      </c>
      <c r="C12" s="18">
        <v>874.629733092077</v>
      </c>
      <c r="D12" s="15">
        <v>2196.4</v>
      </c>
      <c r="E12" s="17">
        <v>124</v>
      </c>
      <c r="F12" s="17">
        <v>125</v>
      </c>
      <c r="G12" s="15">
        <f t="shared" si="1"/>
        <v>1</v>
      </c>
    </row>
    <row r="13" spans="1:10" x14ac:dyDescent="0.25">
      <c r="A13" s="21" t="s">
        <v>20</v>
      </c>
      <c r="B13" s="18">
        <v>17400853.822144199</v>
      </c>
      <c r="C13" s="18">
        <v>8782.1004452125599</v>
      </c>
      <c r="D13" s="15">
        <v>1981.4</v>
      </c>
      <c r="E13" s="17">
        <v>174</v>
      </c>
      <c r="F13" s="17">
        <v>175</v>
      </c>
      <c r="G13" s="15">
        <f t="shared" si="1"/>
        <v>1</v>
      </c>
    </row>
    <row r="14" spans="1:10" x14ac:dyDescent="0.25">
      <c r="A14" s="17" t="s">
        <v>19</v>
      </c>
      <c r="B14" s="18">
        <v>111747154.089362</v>
      </c>
      <c r="C14" s="18">
        <v>50877.414901367003</v>
      </c>
      <c r="D14" s="15">
        <v>2196.4</v>
      </c>
      <c r="E14" s="15">
        <v>124</v>
      </c>
      <c r="F14" s="15">
        <v>125</v>
      </c>
      <c r="G14" s="15">
        <f t="shared" si="1"/>
        <v>1</v>
      </c>
    </row>
    <row r="15" spans="1:10" x14ac:dyDescent="0.25">
      <c r="A15" s="15" t="s">
        <v>65</v>
      </c>
      <c r="B15" s="18">
        <v>349363.038131229</v>
      </c>
      <c r="C15" s="18">
        <v>205.13360233176499</v>
      </c>
      <c r="D15" s="15">
        <v>1703.1</v>
      </c>
      <c r="E15" s="15">
        <v>249</v>
      </c>
      <c r="F15" s="15">
        <v>250</v>
      </c>
      <c r="G15" s="15">
        <f t="shared" si="1"/>
        <v>1</v>
      </c>
    </row>
    <row r="16" spans="1:10" x14ac:dyDescent="0.25">
      <c r="A16" s="15" t="s">
        <v>18</v>
      </c>
      <c r="B16" s="18">
        <v>64518033.575879499</v>
      </c>
      <c r="C16" s="18">
        <v>37882.704231037198</v>
      </c>
      <c r="D16" s="15">
        <v>1703.1</v>
      </c>
      <c r="E16" s="15">
        <v>249</v>
      </c>
      <c r="F16" s="15">
        <v>250</v>
      </c>
      <c r="G16" s="15">
        <f t="shared" si="1"/>
        <v>1</v>
      </c>
    </row>
    <row r="17" spans="5:5" x14ac:dyDescent="0.25">
      <c r="E17" s="12"/>
    </row>
    <row r="18" spans="5:5" x14ac:dyDescent="0.25">
      <c r="E18" s="12"/>
    </row>
    <row r="19" spans="5:5" x14ac:dyDescent="0.25">
      <c r="E19" s="12"/>
    </row>
    <row r="20" spans="5:5" x14ac:dyDescent="0.25">
      <c r="E20" s="12"/>
    </row>
    <row r="21" spans="5:5" x14ac:dyDescent="0.25">
      <c r="E21" s="12"/>
    </row>
    <row r="22" spans="5:5" x14ac:dyDescent="0.25">
      <c r="E22" s="12"/>
    </row>
    <row r="23" spans="5:5" x14ac:dyDescent="0.25">
      <c r="E23" s="12"/>
    </row>
    <row r="24" spans="5:5" x14ac:dyDescent="0.25">
      <c r="E24" s="12"/>
    </row>
    <row r="25" spans="5:5" x14ac:dyDescent="0.25">
      <c r="E25" s="12"/>
    </row>
    <row r="26" spans="5:5" x14ac:dyDescent="0.25">
      <c r="E26" s="12"/>
    </row>
  </sheetData>
  <conditionalFormatting sqref="I6 J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"/>
  <sheetViews>
    <sheetView zoomScale="120" zoomScaleNormal="120" workbookViewId="0">
      <selection activeCell="K9" sqref="K9"/>
    </sheetView>
  </sheetViews>
  <sheetFormatPr defaultRowHeight="15" x14ac:dyDescent="0.25"/>
  <cols>
    <col min="1" max="1" width="17.85546875" bestFit="1" customWidth="1"/>
    <col min="2" max="2" width="12.7109375" bestFit="1" customWidth="1"/>
    <col min="3" max="3" width="15.42578125" bestFit="1" customWidth="1"/>
    <col min="4" max="4" width="15.28515625" bestFit="1" customWidth="1"/>
    <col min="5" max="5" width="19.5703125" bestFit="1" customWidth="1"/>
    <col min="6" max="6" width="28.28515625" bestFit="1" customWidth="1"/>
    <col min="7" max="7" width="32.7109375" bestFit="1" customWidth="1"/>
  </cols>
  <sheetData>
    <row r="1" spans="1:7" x14ac:dyDescent="0.25">
      <c r="A1" s="33" t="s">
        <v>46</v>
      </c>
      <c r="B1" s="33"/>
      <c r="C1" s="33"/>
      <c r="D1" s="28">
        <f>SUM('Material streams'!C11)</f>
        <v>56724.823237051998</v>
      </c>
      <c r="E1" s="29" t="s">
        <v>50</v>
      </c>
    </row>
    <row r="3" spans="1:7" ht="17.25" x14ac:dyDescent="0.25">
      <c r="A3" s="22" t="s">
        <v>26</v>
      </c>
      <c r="B3" s="24" t="s">
        <v>27</v>
      </c>
      <c r="C3" s="24" t="s">
        <v>49</v>
      </c>
      <c r="D3" s="9" t="s">
        <v>51</v>
      </c>
      <c r="E3" s="9" t="s">
        <v>52</v>
      </c>
      <c r="F3" s="9" t="s">
        <v>53</v>
      </c>
      <c r="G3" s="9" t="s">
        <v>54</v>
      </c>
    </row>
    <row r="4" spans="1:7" ht="18" x14ac:dyDescent="0.35">
      <c r="A4" s="21" t="s">
        <v>47</v>
      </c>
      <c r="B4" s="3" t="s">
        <v>48</v>
      </c>
      <c r="C4" s="3">
        <v>286000</v>
      </c>
      <c r="D4" s="5">
        <v>0.27</v>
      </c>
      <c r="E4" s="4">
        <v>240</v>
      </c>
      <c r="F4" s="3">
        <f>D4*E4/8000</f>
        <v>8.1000000000000013E-3</v>
      </c>
      <c r="G4" s="3">
        <f>F4/D1</f>
        <v>1.4279462742704812E-7</v>
      </c>
    </row>
  </sheetData>
  <mergeCells count="1">
    <mergeCell ref="A1:C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Material streams</vt:lpstr>
      <vt:lpstr>Electricity</vt:lpstr>
      <vt:lpstr>Utilities</vt:lpstr>
      <vt:lpstr>Hydroformylation catalyst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2020-04-23T14:14:32Z</dcterms:created>
  <dcterms:modified xsi:type="dcterms:W3CDTF">2022-07-25T12:58:03Z</dcterms:modified>
</cp:coreProperties>
</file>