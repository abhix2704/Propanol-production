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Economics\Methane to 1-propanol v4\"/>
    </mc:Choice>
  </mc:AlternateContent>
  <xr:revisionPtr revIDLastSave="0" documentId="13_ncr:1_{CB292D01-1ACD-43EF-B025-6AA19F36DE53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CAPEX" sheetId="7" r:id="rId1"/>
    <sheet name="Production costs" sheetId="12" r:id="rId2"/>
    <sheet name="Catalyst costs" sheetId="13" r:id="rId3"/>
    <sheet name="OPEX" sheetId="8" r:id="rId4"/>
    <sheet name="Summary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2" i="11" l="1"/>
  <c r="G51" i="11"/>
  <c r="G50" i="11"/>
  <c r="G49" i="11"/>
  <c r="G47" i="11"/>
  <c r="G46" i="11"/>
  <c r="G45" i="11"/>
  <c r="G44" i="11"/>
  <c r="G41" i="11"/>
  <c r="G43" i="11"/>
  <c r="M5" i="8"/>
  <c r="H105" i="7" l="1"/>
  <c r="D87" i="7"/>
  <c r="D86" i="7"/>
  <c r="H87" i="7"/>
  <c r="D74" i="7"/>
  <c r="H74" i="7" s="1"/>
  <c r="D73" i="7"/>
  <c r="H73" i="7" s="1"/>
  <c r="D72" i="7"/>
  <c r="D71" i="7"/>
  <c r="H71" i="7" s="1"/>
  <c r="D70" i="7"/>
  <c r="D64" i="7"/>
  <c r="H64" i="7" s="1"/>
  <c r="D63" i="7"/>
  <c r="D58" i="7"/>
  <c r="H58" i="7" s="1"/>
  <c r="D57" i="7"/>
  <c r="D44" i="7"/>
  <c r="H44" i="7" s="1"/>
  <c r="D43" i="7"/>
  <c r="H43" i="7" s="1"/>
  <c r="D42" i="7"/>
  <c r="K5" i="8"/>
  <c r="D20" i="8"/>
  <c r="F20" i="8" l="1"/>
  <c r="G20" i="8" s="1"/>
  <c r="F35" i="11" s="1"/>
  <c r="F52" i="11" s="1"/>
  <c r="L5" i="8"/>
  <c r="D17" i="8"/>
  <c r="F17" i="8" s="1"/>
  <c r="G17" i="8" s="1"/>
  <c r="F34" i="11" s="1"/>
  <c r="F51" i="11" s="1"/>
  <c r="D16" i="8"/>
  <c r="F16" i="8" s="1"/>
  <c r="G16" i="8" s="1"/>
  <c r="F33" i="11" s="1"/>
  <c r="F50" i="11" s="1"/>
  <c r="E11" i="8"/>
  <c r="D11" i="8"/>
  <c r="D12" i="8"/>
  <c r="D15" i="8"/>
  <c r="F15" i="8" s="1"/>
  <c r="G15" i="8" s="1"/>
  <c r="F32" i="11" s="1"/>
  <c r="F49" i="11" s="1"/>
  <c r="D8" i="8"/>
  <c r="F8" i="8" s="1"/>
  <c r="G8" i="8" s="1"/>
  <c r="F29" i="11" s="1"/>
  <c r="F44" i="11" s="1"/>
  <c r="D7" i="8"/>
  <c r="F7" i="8" s="1"/>
  <c r="G7" i="8" s="1"/>
  <c r="F28" i="11" s="1"/>
  <c r="F45" i="11" s="1"/>
  <c r="D6" i="8"/>
  <c r="F6" i="8" s="1"/>
  <c r="G6" i="8" s="1"/>
  <c r="F27" i="11" s="1"/>
  <c r="F43" i="11" s="1"/>
  <c r="D5" i="8"/>
  <c r="G18" i="8" l="1"/>
  <c r="G21" i="8"/>
  <c r="H29" i="7" l="1"/>
  <c r="H28" i="7"/>
  <c r="H27" i="7"/>
  <c r="H26" i="7"/>
  <c r="H25" i="7"/>
  <c r="H24" i="7"/>
  <c r="H23" i="7"/>
  <c r="H22" i="7"/>
  <c r="H21" i="7"/>
  <c r="H20" i="7"/>
  <c r="H104" i="7"/>
  <c r="H103" i="7"/>
  <c r="H102" i="7"/>
  <c r="H101" i="7"/>
  <c r="H100" i="7"/>
  <c r="H99" i="7"/>
  <c r="H98" i="7"/>
  <c r="H97" i="7"/>
  <c r="L23" i="7"/>
  <c r="M25" i="7"/>
  <c r="N25" i="7" s="1"/>
  <c r="O25" i="7" s="1"/>
  <c r="Q25" i="7" s="1"/>
  <c r="D135" i="7" s="1"/>
  <c r="H135" i="7" s="1"/>
  <c r="M24" i="7"/>
  <c r="N24" i="7" s="1"/>
  <c r="O24" i="7" s="1"/>
  <c r="Q24" i="7" s="1"/>
  <c r="D131" i="7" s="1"/>
  <c r="H131" i="7" s="1"/>
  <c r="M23" i="7"/>
  <c r="N23" i="7" s="1"/>
  <c r="H136" i="7"/>
  <c r="H132" i="7"/>
  <c r="H128" i="7"/>
  <c r="M22" i="7"/>
  <c r="N22" i="7" s="1"/>
  <c r="H124" i="7"/>
  <c r="H34" i="7"/>
  <c r="H33" i="7"/>
  <c r="H32" i="7"/>
  <c r="D110" i="7"/>
  <c r="H110" i="7" s="1"/>
  <c r="D109" i="7"/>
  <c r="H109" i="7" s="1"/>
  <c r="D108" i="7"/>
  <c r="H108" i="7" s="1"/>
  <c r="M13" i="7"/>
  <c r="N13" i="7" s="1"/>
  <c r="O13" i="7" s="1"/>
  <c r="Q13" i="7" s="1"/>
  <c r="D107" i="7" s="1"/>
  <c r="M21" i="7"/>
  <c r="N21" i="7" s="1"/>
  <c r="O21" i="7" s="1"/>
  <c r="Q21" i="7" s="1"/>
  <c r="D120" i="7" s="1"/>
  <c r="H120" i="7" s="1"/>
  <c r="M20" i="7"/>
  <c r="N20" i="7" s="1"/>
  <c r="O20" i="7" s="1"/>
  <c r="Q20" i="7" s="1"/>
  <c r="H96" i="7"/>
  <c r="H95" i="7"/>
  <c r="H94" i="7"/>
  <c r="H93" i="7"/>
  <c r="H92" i="7"/>
  <c r="H91" i="7"/>
  <c r="H90" i="7"/>
  <c r="H89" i="7"/>
  <c r="H88" i="7"/>
  <c r="H86" i="7"/>
  <c r="H85" i="7"/>
  <c r="H84" i="7"/>
  <c r="H83" i="7"/>
  <c r="H82" i="7"/>
  <c r="H81" i="7"/>
  <c r="H80" i="7"/>
  <c r="H79" i="7"/>
  <c r="H78" i="7"/>
  <c r="H77" i="7"/>
  <c r="H76" i="7"/>
  <c r="H75" i="7"/>
  <c r="H72" i="7"/>
  <c r="H70" i="7"/>
  <c r="H69" i="7"/>
  <c r="H68" i="7"/>
  <c r="H67" i="7"/>
  <c r="H66" i="7"/>
  <c r="H65" i="7"/>
  <c r="H63" i="7"/>
  <c r="H62" i="7"/>
  <c r="H61" i="7"/>
  <c r="H60" i="7"/>
  <c r="H59" i="7"/>
  <c r="H57" i="7"/>
  <c r="H56" i="7"/>
  <c r="H55" i="7"/>
  <c r="H54" i="7"/>
  <c r="O23" i="7" l="1"/>
  <c r="Q23" i="7" s="1"/>
  <c r="D127" i="7" s="1"/>
  <c r="H127" i="7" s="1"/>
  <c r="H129" i="7" s="1"/>
  <c r="H137" i="7"/>
  <c r="H133" i="7"/>
  <c r="O22" i="7"/>
  <c r="Q22" i="7" s="1"/>
  <c r="D123" i="7" s="1"/>
  <c r="H123" i="7" s="1"/>
  <c r="H125" i="7" s="1"/>
  <c r="H35" i="7"/>
  <c r="F6" i="11" s="1"/>
  <c r="G6" i="11" s="1"/>
  <c r="D119" i="7"/>
  <c r="H119" i="7" s="1"/>
  <c r="F5" i="8"/>
  <c r="G5" i="8" s="1"/>
  <c r="F26" i="11" s="1"/>
  <c r="F41" i="11" s="1"/>
  <c r="F10" i="11" l="1"/>
  <c r="G10" i="11" s="1"/>
  <c r="G9" i="8"/>
  <c r="E5" i="13"/>
  <c r="F5" i="13" s="1"/>
  <c r="G22" i="8" s="1"/>
  <c r="F36" i="11" s="1"/>
  <c r="F53" i="11" s="1"/>
  <c r="H53" i="7" l="1"/>
  <c r="H52" i="7"/>
  <c r="H51" i="7"/>
  <c r="H50" i="7"/>
  <c r="H49" i="7"/>
  <c r="H48" i="7"/>
  <c r="H47" i="7"/>
  <c r="H46" i="7"/>
  <c r="H45" i="7"/>
  <c r="H17" i="7"/>
  <c r="H16" i="7"/>
  <c r="H15" i="7"/>
  <c r="H14" i="7"/>
  <c r="C6" i="12" l="1"/>
  <c r="F15" i="11" s="1"/>
  <c r="C7" i="12" l="1"/>
  <c r="F16" i="11" s="1"/>
  <c r="C8" i="12" l="1"/>
  <c r="C9" i="12" l="1"/>
  <c r="C11" i="11" s="1"/>
  <c r="F17" i="11"/>
  <c r="C16" i="11"/>
  <c r="C15" i="11"/>
  <c r="M19" i="7"/>
  <c r="N19" i="7" s="1"/>
  <c r="O19" i="7" s="1"/>
  <c r="Q19" i="7" s="1"/>
  <c r="D118" i="7" s="1"/>
  <c r="H118" i="7" s="1"/>
  <c r="M18" i="7"/>
  <c r="N18" i="7" s="1"/>
  <c r="O18" i="7" s="1"/>
  <c r="Q18" i="7" s="1"/>
  <c r="D117" i="7" s="1"/>
  <c r="H117" i="7" s="1"/>
  <c r="M17" i="7"/>
  <c r="N17" i="7" s="1"/>
  <c r="O17" i="7" s="1"/>
  <c r="Q17" i="7" s="1"/>
  <c r="H42" i="7"/>
  <c r="H19" i="7"/>
  <c r="H18" i="7"/>
  <c r="H30" i="7" l="1"/>
  <c r="F5" i="11" s="1"/>
  <c r="G5" i="11" s="1"/>
  <c r="D116" i="7"/>
  <c r="H116" i="7" s="1"/>
  <c r="H41" i="7"/>
  <c r="H40" i="7"/>
  <c r="H39" i="7"/>
  <c r="H38" i="7"/>
  <c r="H37" i="7"/>
  <c r="F7" i="11" l="1"/>
  <c r="G7" i="11" s="1"/>
  <c r="F12" i="8"/>
  <c r="G12" i="8" s="1"/>
  <c r="F31" i="11" s="1"/>
  <c r="F47" i="11" s="1"/>
  <c r="F11" i="8"/>
  <c r="G11" i="8" s="1"/>
  <c r="F30" i="11" s="1"/>
  <c r="F46" i="11" s="1"/>
  <c r="B152" i="7"/>
  <c r="C17" i="11" s="1"/>
  <c r="G13" i="8" l="1"/>
  <c r="G23" i="8" s="1"/>
  <c r="C20" i="11" s="1"/>
  <c r="M16" i="7"/>
  <c r="N16" i="7" s="1"/>
  <c r="O16" i="7" s="1"/>
  <c r="Q16" i="7" s="1"/>
  <c r="M15" i="7"/>
  <c r="N15" i="7" s="1"/>
  <c r="O15" i="7" s="1"/>
  <c r="Q15" i="7" s="1"/>
  <c r="M14" i="7"/>
  <c r="N14" i="7" s="1"/>
  <c r="O14" i="7" s="1"/>
  <c r="Q14" i="7" s="1"/>
  <c r="D113" i="7" s="1"/>
  <c r="H113" i="7" s="1"/>
  <c r="D114" i="7" l="1"/>
  <c r="H114" i="7" s="1"/>
  <c r="D115" i="7"/>
  <c r="H115" i="7" s="1"/>
  <c r="H107" i="7"/>
  <c r="H111" i="7" s="1"/>
  <c r="F8" i="11" s="1"/>
  <c r="G8" i="11" s="1"/>
  <c r="H121" i="7" l="1"/>
  <c r="H138" i="7" l="1"/>
  <c r="B142" i="7" s="1"/>
  <c r="C3" i="11" s="1"/>
  <c r="F9" i="11"/>
  <c r="G9" i="11" s="1"/>
  <c r="B143" i="7" l="1"/>
  <c r="B144" i="7" s="1"/>
  <c r="C5" i="11" s="1"/>
  <c r="B146" i="7" l="1"/>
  <c r="C7" i="11" s="1"/>
  <c r="C15" i="12"/>
  <c r="F20" i="11" s="1"/>
  <c r="B147" i="7"/>
  <c r="B148" i="7" s="1"/>
  <c r="C18" i="12" s="1"/>
  <c r="B145" i="7"/>
  <c r="C6" i="11" s="1"/>
  <c r="C11" i="12"/>
  <c r="C4" i="11"/>
  <c r="C19" i="12" l="1"/>
  <c r="C14" i="11" s="1"/>
  <c r="F21" i="11"/>
  <c r="C12" i="12"/>
  <c r="C12" i="11" s="1"/>
  <c r="F18" i="11"/>
  <c r="C14" i="12"/>
  <c r="C9" i="11"/>
  <c r="C147" i="7"/>
  <c r="C8" i="11"/>
  <c r="B149" i="7"/>
  <c r="C10" i="11" s="1"/>
  <c r="C16" i="12" l="1"/>
  <c r="C13" i="11" s="1"/>
  <c r="F19" i="11"/>
  <c r="H6" i="11"/>
  <c r="H10" i="11"/>
  <c r="H5" i="11"/>
  <c r="H7" i="11"/>
  <c r="H8" i="11"/>
  <c r="H9" i="11"/>
  <c r="B153" i="7"/>
  <c r="B154" i="7" s="1"/>
  <c r="C18" i="11" s="1"/>
  <c r="C20" i="12" l="1"/>
  <c r="C19" i="11" s="1"/>
  <c r="C21" i="11" s="1"/>
  <c r="C22" i="11" s="1"/>
  <c r="C24" i="11" s="1"/>
  <c r="C25" i="11" s="1"/>
  <c r="K15" i="11" l="1"/>
  <c r="F37" i="11" l="1"/>
  <c r="F11" i="11" l="1"/>
  <c r="G11" i="11" l="1"/>
  <c r="K18" i="11" l="1"/>
  <c r="K17" i="11" l="1"/>
  <c r="K6" i="11"/>
  <c r="K10" i="11"/>
  <c r="K7" i="11"/>
  <c r="K9" i="11"/>
  <c r="K8" i="11"/>
  <c r="K16" i="11"/>
  <c r="F22" i="11"/>
  <c r="K19" i="11" l="1"/>
  <c r="F54" i="11" s="1"/>
  <c r="H11" i="11"/>
  <c r="K5" i="11"/>
  <c r="K11" i="11" s="1"/>
  <c r="F55" i="11" l="1"/>
  <c r="F56" i="11" s="1"/>
</calcChain>
</file>

<file path=xl/sharedStrings.xml><?xml version="1.0" encoding="utf-8"?>
<sst xmlns="http://schemas.openxmlformats.org/spreadsheetml/2006/main" count="613" uniqueCount="275">
  <si>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</si>
  <si>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</si>
  <si>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</si>
  <si>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</si>
  <si>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</si>
  <si>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</si>
  <si>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</si>
  <si>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</si>
  <si>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</si>
  <si>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</si>
  <si>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</si>
  <si>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</si>
  <si>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</si>
  <si>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</si>
  <si>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</si>
  <si>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</si>
  <si>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</si>
  <si>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</si>
  <si>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</si>
  <si>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</si>
  <si>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</si>
  <si>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</si>
  <si>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</si>
  <si>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</si>
  <si>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Total cost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</si>
  <si>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</si>
  <si>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</si>
  <si>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</si>
  <si>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</si>
  <si>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</si>
  <si>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</si>
  <si>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</si>
  <si>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Price ($/unit)</t>
  </si>
  <si>
    <t>ton/hr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</si>
  <si>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</si>
  <si>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</si>
  <si>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</si>
  <si>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</si>
  <si>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</si>
  <si>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</si>
  <si>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</si>
  <si>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</si>
  <si>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</si>
  <si>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</si>
  <si>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</si>
  <si>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</si>
  <si>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K-100</t>
  </si>
  <si>
    <t>K-101</t>
  </si>
  <si>
    <t>K-109</t>
  </si>
  <si>
    <t>V-100</t>
  </si>
  <si>
    <t>V-101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</si>
  <si>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</si>
  <si>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</si>
  <si>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Power, kW</t>
  </si>
  <si>
    <t xml:space="preserve">Area </t>
  </si>
  <si>
    <t>Flue gas emissions</t>
  </si>
  <si>
    <t>OPEX (M$/year)</t>
  </si>
  <si>
    <t>Compressors</t>
  </si>
  <si>
    <t>Reactors</t>
  </si>
  <si>
    <t>Shell mass, kg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</si>
  <si>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</si>
  <si>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</si>
  <si>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</si>
  <si>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</si>
  <si>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</si>
  <si>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</si>
  <si>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</si>
  <si>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</si>
  <si>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Labor Costs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</si>
  <si>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</si>
  <si>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</si>
  <si>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</si>
  <si>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</si>
  <si>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</si>
  <si>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</si>
  <si>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>Maintanance Costs</t>
  </si>
  <si>
    <t xml:space="preserve">Maintanance </t>
  </si>
  <si>
    <t>3% of the installed capital cost</t>
  </si>
  <si>
    <t>Overhead expenses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</si>
  <si>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</si>
  <si>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</si>
  <si>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</si>
  <si>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</si>
  <si>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</si>
  <si>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</si>
  <si>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</si>
  <si>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</si>
  <si>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</si>
  <si>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</si>
  <si>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</si>
  <si>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</si>
  <si>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</si>
  <si>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Reference</t>
  </si>
  <si>
    <t>9 shift positions, 9 operators/shift</t>
  </si>
  <si>
    <t>CEPCI 2018</t>
  </si>
  <si>
    <t>Reference Data</t>
  </si>
  <si>
    <t>Hydrogen</t>
  </si>
  <si>
    <t>K-102</t>
  </si>
  <si>
    <t>K-103</t>
  </si>
  <si>
    <t>K-104</t>
  </si>
  <si>
    <t>K-105</t>
  </si>
  <si>
    <t>Unit operation</t>
  </si>
  <si>
    <t>Catalyst used</t>
  </si>
  <si>
    <t>$/kg</t>
  </si>
  <si>
    <t>Catalyst costs</t>
  </si>
  <si>
    <t>E-141</t>
  </si>
  <si>
    <t>E-137</t>
  </si>
  <si>
    <t>E-139</t>
  </si>
  <si>
    <t>E-171</t>
  </si>
  <si>
    <t>E-173</t>
  </si>
  <si>
    <t>E-161</t>
  </si>
  <si>
    <t>E-163</t>
  </si>
  <si>
    <t>E-154</t>
  </si>
  <si>
    <t>E-156</t>
  </si>
  <si>
    <t>E-146</t>
  </si>
  <si>
    <t>E-152</t>
  </si>
  <si>
    <t>E-172</t>
  </si>
  <si>
    <t>E-176</t>
  </si>
  <si>
    <t>E-174</t>
  </si>
  <si>
    <t>E-162</t>
  </si>
  <si>
    <t>E-164</t>
  </si>
  <si>
    <t>E-166</t>
  </si>
  <si>
    <t>E-151</t>
  </si>
  <si>
    <t>E-153</t>
  </si>
  <si>
    <t>E-175</t>
  </si>
  <si>
    <t>E-177</t>
  </si>
  <si>
    <t>E-169</t>
  </si>
  <si>
    <t>E-159</t>
  </si>
  <si>
    <t>E-157</t>
  </si>
  <si>
    <t>E-165</t>
  </si>
  <si>
    <t>E-167</t>
  </si>
  <si>
    <t>E-144</t>
  </si>
  <si>
    <t>E-148</t>
  </si>
  <si>
    <t>E-150</t>
  </si>
  <si>
    <t>E-140</t>
  </si>
  <si>
    <t>E-142</t>
  </si>
  <si>
    <t>E-138</t>
  </si>
  <si>
    <t>E-168</t>
  </si>
  <si>
    <t>E-170</t>
  </si>
  <si>
    <t>E-160</t>
  </si>
  <si>
    <t>E-158</t>
  </si>
  <si>
    <t>E-155</t>
  </si>
  <si>
    <t>E-143</t>
  </si>
  <si>
    <t>E-145</t>
  </si>
  <si>
    <t>E-147</t>
  </si>
  <si>
    <t>E-149</t>
  </si>
  <si>
    <t>Total</t>
  </si>
  <si>
    <t>V-102</t>
  </si>
  <si>
    <t>V-103</t>
  </si>
  <si>
    <t>V-104</t>
  </si>
  <si>
    <t>V-105</t>
  </si>
  <si>
    <t>V-106</t>
  </si>
  <si>
    <t>V-107</t>
  </si>
  <si>
    <t>Grand Total</t>
  </si>
  <si>
    <t>POX</t>
  </si>
  <si>
    <t>Hydroformylation</t>
  </si>
  <si>
    <t>Methanation</t>
  </si>
  <si>
    <t>Hydrogenation</t>
  </si>
  <si>
    <t>Furnace</t>
  </si>
  <si>
    <t>Duty, MW</t>
  </si>
  <si>
    <t>P-100</t>
  </si>
  <si>
    <t>P-101</t>
  </si>
  <si>
    <t>P-102</t>
  </si>
  <si>
    <t>Flow, litres/s</t>
  </si>
  <si>
    <t>Pumps</t>
  </si>
  <si>
    <t>Absorption column T-100</t>
  </si>
  <si>
    <t>Flash separators</t>
  </si>
  <si>
    <t>Heat exchangers</t>
  </si>
  <si>
    <t>Structure</t>
  </si>
  <si>
    <t>Tray</t>
  </si>
  <si>
    <t>diameter, m</t>
  </si>
  <si>
    <t>Sieve trays</t>
  </si>
  <si>
    <t xml:space="preserve">Centrifugal compressor </t>
  </si>
  <si>
    <t>Centrifugal pump</t>
  </si>
  <si>
    <t>U tube HEX</t>
  </si>
  <si>
    <t>Pressure vessel</t>
  </si>
  <si>
    <t>n-stages</t>
  </si>
  <si>
    <t>T-100</t>
  </si>
  <si>
    <t>Stripping column T-101</t>
  </si>
  <si>
    <t>Absorption column T-102</t>
  </si>
  <si>
    <t>Stripping column T-103</t>
  </si>
  <si>
    <t>T-101</t>
  </si>
  <si>
    <t>T-102</t>
  </si>
  <si>
    <t>T-103</t>
  </si>
  <si>
    <t>E-194</t>
  </si>
  <si>
    <t>E-192</t>
  </si>
  <si>
    <t>E-183</t>
  </si>
  <si>
    <t>E-187</t>
  </si>
  <si>
    <t>E-185</t>
  </si>
  <si>
    <t>E-193</t>
  </si>
  <si>
    <t>E-195</t>
  </si>
  <si>
    <t>E-182</t>
  </si>
  <si>
    <t>E-184</t>
  </si>
  <si>
    <t>E-196</t>
  </si>
  <si>
    <t>E-186</t>
  </si>
  <si>
    <t>E-190</t>
  </si>
  <si>
    <t>E-188</t>
  </si>
  <si>
    <t>E-179</t>
  </si>
  <si>
    <t>E-181</t>
  </si>
  <si>
    <t>E-189</t>
  </si>
  <si>
    <t>E-191</t>
  </si>
  <si>
    <t>E-178</t>
  </si>
  <si>
    <t>E-180</t>
  </si>
  <si>
    <t>K-106</t>
  </si>
  <si>
    <t>K-107</t>
  </si>
  <si>
    <t>K-108</t>
  </si>
  <si>
    <t>K-110</t>
  </si>
  <si>
    <t>K-111</t>
  </si>
  <si>
    <t>K-112</t>
  </si>
  <si>
    <t>K-113</t>
  </si>
  <si>
    <t>K-114</t>
  </si>
  <si>
    <t>K-115</t>
  </si>
  <si>
    <r>
      <t>Rh/PPh</t>
    </r>
    <r>
      <rPr>
        <vertAlign val="subscript"/>
        <sz val="11"/>
        <color theme="1"/>
        <rFont val="Calibri"/>
        <family val="2"/>
        <scheme val="minor"/>
      </rPr>
      <t>3</t>
    </r>
  </si>
  <si>
    <t>kg/hr</t>
  </si>
  <si>
    <t>Propanol produced</t>
  </si>
  <si>
    <t>$/hr</t>
  </si>
  <si>
    <t>Total OPEX</t>
  </si>
  <si>
    <t>Sigma Aldrich: https://www.sigmaaldrich.com/US/en/product/aldrich/225665</t>
  </si>
  <si>
    <t>Raw material costs</t>
  </si>
  <si>
    <t>Utility costs</t>
  </si>
  <si>
    <t>Additional costs (purge,etc)</t>
  </si>
  <si>
    <t>Refer catalyst costs sheet</t>
  </si>
  <si>
    <t>Cost of propanol per kg</t>
  </si>
  <si>
    <t>Fixed production costs (M$/year)</t>
  </si>
  <si>
    <t>Total expenses (M$/year)</t>
  </si>
  <si>
    <t>Total expenses ($/hr)</t>
  </si>
  <si>
    <t>Total propanol produced (kg/hr)</t>
  </si>
  <si>
    <t>Natural gas</t>
  </si>
  <si>
    <t>Oxygen</t>
  </si>
  <si>
    <t>Ethylene</t>
  </si>
  <si>
    <t xml:space="preserve">Total  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</si>
  <si>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capture and storage</t>
    </r>
  </si>
  <si>
    <t>CEPCI 2008</t>
  </si>
  <si>
    <t>Products sold</t>
  </si>
  <si>
    <t>Steam</t>
  </si>
  <si>
    <t xml:space="preserve">Iasonas 2020 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</si>
  <si>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</t>
    </r>
  </si>
  <si>
    <t>MWh</t>
  </si>
  <si>
    <t>Wastewater treatment</t>
  </si>
  <si>
    <t xml:space="preserve">Natural gas </t>
  </si>
  <si>
    <t>$/MJ</t>
  </si>
  <si>
    <t>$/cu. ft</t>
  </si>
  <si>
    <t>Turton 2018 (pg. 246)</t>
  </si>
  <si>
    <t>Dooley 2008 (pg. 5)</t>
  </si>
  <si>
    <t>Lin 2018 (pg. 4)</t>
  </si>
  <si>
    <t>CEPCI 2022</t>
  </si>
  <si>
    <t>Purchased equipment cost 2022</t>
  </si>
  <si>
    <t>Purchased equipment cost 2022 (M$/year)</t>
  </si>
  <si>
    <t>CEPCI 2021</t>
  </si>
  <si>
    <t>Cost of propanol per ton</t>
  </si>
  <si>
    <t>2022 costs</t>
  </si>
  <si>
    <t>CAPEX summary</t>
  </si>
  <si>
    <t>CAPEX short summary</t>
  </si>
  <si>
    <t>Contribution 2022</t>
  </si>
  <si>
    <t>CAPEX [M$/year]</t>
  </si>
  <si>
    <t>Columns</t>
  </si>
  <si>
    <t>Production costs summary</t>
  </si>
  <si>
    <t>Production costs  short summary</t>
  </si>
  <si>
    <t>Category</t>
  </si>
  <si>
    <t>Labor</t>
  </si>
  <si>
    <t>Overhead</t>
  </si>
  <si>
    <t>OPEX short summary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</si>
  <si>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capture and storage</t>
    </r>
  </si>
  <si>
    <t>Catalyst</t>
  </si>
  <si>
    <t>Contribution 2010</t>
  </si>
  <si>
    <t>Overall</t>
  </si>
  <si>
    <t>CAPEX</t>
  </si>
  <si>
    <t>Fixed Costs</t>
  </si>
  <si>
    <t>Carbon dioxide</t>
  </si>
  <si>
    <t>Fired heat - natural gas</t>
  </si>
  <si>
    <t>Carbon dioxide storage</t>
  </si>
  <si>
    <t>Required (unit/hr)</t>
  </si>
  <si>
    <t>-</t>
  </si>
  <si>
    <t>Contribution $/t</t>
  </si>
  <si>
    <t>Europa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</si>
</sst>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3" borderId="5" applyNumberFormat="0" applyAlignment="0" applyProtection="0"/>
    <xf numFmtId="0" fontId="10" fillId="0" borderId="0"/>
  </cellStyleXfs>
  <cellXfs count="123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2" fontId="0" fillId="0" borderId="1" xfId="0" applyNumberFormat="1" applyFont="1" applyFill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/>
    <xf numFmtId="0" fontId="1" fillId="0" borderId="1" xfId="0" applyFont="1" applyFill="1" applyBorder="1"/>
    <xf numFmtId="2" fontId="1" fillId="0" borderId="4" xfId="0" applyNumberFormat="1" applyFont="1" applyBorder="1"/>
    <xf numFmtId="2" fontId="0" fillId="4" borderId="1" xfId="0" applyNumberFormat="1" applyFont="1" applyFill="1" applyBorder="1"/>
    <xf numFmtId="0" fontId="8" fillId="0" borderId="0" xfId="2" applyFill="1" applyBorder="1"/>
    <xf numFmtId="0" fontId="8" fillId="3" borderId="1" xfId="2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2" fontId="0" fillId="0" borderId="1" xfId="0" applyNumberFormat="1" applyBorder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2" fontId="0" fillId="0" borderId="1" xfId="0" applyNumberFormat="1" applyBorder="1" applyAlignment="1">
      <alignment horizontal="center"/>
    </xf>
    <xf numFmtId="11" fontId="0" fillId="0" borderId="0" xfId="0" applyNumberFormat="1"/>
    <xf numFmtId="1" fontId="0" fillId="0" borderId="1" xfId="0" applyNumberFormat="1" applyFill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ont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Fill="1" applyBorder="1"/>
    <xf numFmtId="0" fontId="0" fillId="0" borderId="0" xfId="0" applyFont="1" applyBorder="1"/>
    <xf numFmtId="2" fontId="0" fillId="0" borderId="1" xfId="0" applyNumberFormat="1" applyBorder="1"/>
    <xf numFmtId="2" fontId="0" fillId="0" borderId="1" xfId="0" applyNumberFormat="1" applyFont="1" applyBorder="1"/>
    <xf numFmtId="0" fontId="1" fillId="0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ont="1"/>
    <xf numFmtId="0" fontId="0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Fill="1" applyBorder="1" applyAlignment="1">
      <alignment horizontal="center"/>
    </xf>
  </cellXfs>
  <cellStyles count="4">
    <cellStyle name="Check Cell" xfId="2" builtinId="23"/>
    <cellStyle name="Hyperlink" xfId="1" builtinId="8"/>
    <cellStyle name="Normal" xfId="0" builtinId="0"/>
    <cellStyle name="Normal 2" xfId="3" xr:uid="{3CBD245A-C44E-4E3A-BBEE-B22BCB5D367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4"/>
  <sheetViews>
    <sheetView zoomScale="120" zoomScaleNormal="120" workbookViewId="0">
      <selection activeCell="K42" sqref="K42"/>
    </sheetView>
  </sheetViews>
  <sheetFormatPr defaultRowHeight="15" x14ac:dyDescent="0.25"/>
  <cols>
    <col min="1" max="1" width="29.42578125" bestFit="1" customWidth="1"/>
    <col min="2" max="2" width="22.7109375" bestFit="1" customWidth="1"/>
    <col min="3" max="3" width="16.28515625" bestFit="1" customWidth="1"/>
    <col min="4" max="4" width="9.140625" bestFit="1" customWidth="1"/>
    <col min="5" max="6" width="7.5703125" bestFit="1" customWidth="1"/>
    <col min="7" max="7" width="4.85546875" bestFit="1" customWidth="1"/>
    <col min="8" max="8" width="9.28515625" bestFit="1" customWidth="1"/>
    <col min="10" max="10" width="11.140625" bestFit="1" customWidth="1"/>
    <col min="11" max="11" width="11.42578125" bestFit="1" customWidth="1"/>
    <col min="12" max="12" width="6" bestFit="1" customWidth="1"/>
    <col min="14" max="14" width="8.42578125" bestFit="1" customWidth="1"/>
    <col min="15" max="15" width="9" customWidth="1"/>
    <col min="17" max="17" width="9.28515625" bestFit="1" customWidth="1"/>
  </cols>
  <sheetData>
    <row r="1" spans="1:17" x14ac:dyDescent="0.25">
      <c r="A1" s="2" t="s">
        <v>0</v>
      </c>
      <c r="B1" s="3"/>
      <c r="C1" s="3"/>
    </row>
    <row r="2" spans="1:17" ht="18" x14ac:dyDescent="0.35">
      <c r="A2" s="3" t="s">
        <v>1</v>
      </c>
      <c r="B2" s="3" t="s">
        <v>38</v>
      </c>
      <c r="C2" s="3">
        <v>0.3</v>
      </c>
    </row>
    <row r="3" spans="1:17" ht="18" x14ac:dyDescent="0.35">
      <c r="A3" s="3" t="s">
        <v>2</v>
      </c>
      <c r="B3" s="3" t="s">
        <v>39</v>
      </c>
      <c r="C3" s="3">
        <v>0.8</v>
      </c>
    </row>
    <row r="4" spans="1:17" ht="18" x14ac:dyDescent="0.35">
      <c r="A4" s="3" t="s">
        <v>3</v>
      </c>
      <c r="B4" s="3" t="s">
        <v>40</v>
      </c>
      <c r="C4" s="3">
        <v>0.3</v>
      </c>
    </row>
    <row r="5" spans="1:17" ht="18" x14ac:dyDescent="0.35">
      <c r="A5" s="3" t="s">
        <v>4</v>
      </c>
      <c r="B5" s="3" t="s">
        <v>41</v>
      </c>
      <c r="C5" s="3">
        <v>0.2</v>
      </c>
    </row>
    <row r="6" spans="1:17" ht="18" x14ac:dyDescent="0.35">
      <c r="A6" s="3" t="s">
        <v>5</v>
      </c>
      <c r="B6" s="3" t="s">
        <v>42</v>
      </c>
      <c r="C6" s="3">
        <v>0.3</v>
      </c>
    </row>
    <row r="7" spans="1:17" ht="18" x14ac:dyDescent="0.35">
      <c r="A7" s="3" t="s">
        <v>6</v>
      </c>
      <c r="B7" s="3" t="s">
        <v>43</v>
      </c>
      <c r="C7" s="3">
        <v>0.2</v>
      </c>
    </row>
    <row r="8" spans="1:17" ht="18" x14ac:dyDescent="0.35">
      <c r="A8" s="3" t="s">
        <v>7</v>
      </c>
      <c r="B8" s="3" t="s">
        <v>44</v>
      </c>
      <c r="C8" s="3">
        <v>0.1</v>
      </c>
    </row>
    <row r="9" spans="1:17" ht="18" x14ac:dyDescent="0.35">
      <c r="A9" s="3" t="s">
        <v>8</v>
      </c>
      <c r="B9" s="3" t="s">
        <v>45</v>
      </c>
      <c r="C9" s="3">
        <v>1.3</v>
      </c>
    </row>
    <row r="10" spans="1:17" x14ac:dyDescent="0.25">
      <c r="A10" s="25"/>
      <c r="B10" s="25"/>
      <c r="C10" s="25"/>
    </row>
    <row r="12" spans="1:17" ht="48.75" x14ac:dyDescent="0.35">
      <c r="A12" s="4" t="s">
        <v>9</v>
      </c>
      <c r="B12" s="5" t="s">
        <v>13</v>
      </c>
      <c r="C12" s="5" t="s">
        <v>14</v>
      </c>
      <c r="D12" s="4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J12" s="2" t="s">
        <v>22</v>
      </c>
      <c r="K12" s="5" t="s">
        <v>20</v>
      </c>
      <c r="L12" s="5" t="s">
        <v>17</v>
      </c>
      <c r="M12" s="5" t="s">
        <v>21</v>
      </c>
      <c r="N12" s="5" t="s">
        <v>51</v>
      </c>
      <c r="O12" s="5" t="s">
        <v>16</v>
      </c>
      <c r="P12" s="5" t="s">
        <v>52</v>
      </c>
      <c r="Q12" s="5" t="s">
        <v>18</v>
      </c>
    </row>
    <row r="13" spans="1:17" x14ac:dyDescent="0.25">
      <c r="A13" s="114" t="s">
        <v>57</v>
      </c>
      <c r="B13" s="115"/>
      <c r="C13" s="115"/>
      <c r="D13" s="115"/>
      <c r="E13" s="115"/>
      <c r="F13" s="115"/>
      <c r="G13" s="115"/>
      <c r="H13" s="116"/>
      <c r="J13" s="44" t="s">
        <v>154</v>
      </c>
      <c r="K13" s="57">
        <v>1.3715999999999999</v>
      </c>
      <c r="L13" s="55">
        <v>4.8006000000000002</v>
      </c>
      <c r="M13" s="53">
        <f t="shared" ref="M13" si="0">K13+0.0254</f>
        <v>1.397</v>
      </c>
      <c r="N13" s="53">
        <f t="shared" ref="N13" si="1">PI()*(M13*M13-K13*K13)/4</f>
        <v>5.5231115221627589E-2</v>
      </c>
      <c r="O13" s="53">
        <f t="shared" ref="O13" si="2">N13*L13</f>
        <v>0.26514249173294541</v>
      </c>
      <c r="P13" s="52">
        <v>8000</v>
      </c>
      <c r="Q13" s="55">
        <f t="shared" ref="Q13" si="3">P13*O13</f>
        <v>2121.1399338635633</v>
      </c>
    </row>
    <row r="14" spans="1:17" x14ac:dyDescent="0.25">
      <c r="A14" s="6" t="s">
        <v>46</v>
      </c>
      <c r="B14" s="6" t="s">
        <v>172</v>
      </c>
      <c r="C14" s="6" t="s">
        <v>53</v>
      </c>
      <c r="D14" s="10">
        <v>1601.5687773002901</v>
      </c>
      <c r="E14" s="9">
        <v>580000</v>
      </c>
      <c r="F14" s="9">
        <v>20000</v>
      </c>
      <c r="G14" s="10">
        <v>0.6</v>
      </c>
      <c r="H14" s="10">
        <f t="shared" ref="H14:H17" si="4">(E14+(F14*(D14^G14)))/1000000</f>
        <v>2.2540073165871295</v>
      </c>
      <c r="J14" s="7" t="s">
        <v>49</v>
      </c>
      <c r="K14" s="31">
        <v>1.3715999999999999</v>
      </c>
      <c r="L14" s="10">
        <v>4.8006000000000002</v>
      </c>
      <c r="M14" s="8">
        <f t="shared" ref="M14:M19" si="5">K14+0.0254</f>
        <v>1.397</v>
      </c>
      <c r="N14" s="8">
        <f t="shared" ref="N14:N19" si="6">PI()*(M14*M14-K14*K14)/4</f>
        <v>5.5231115221627589E-2</v>
      </c>
      <c r="O14" s="8">
        <f t="shared" ref="O14:O19" si="7">N14*L14</f>
        <v>0.26514249173294541</v>
      </c>
      <c r="P14" s="6">
        <v>8000</v>
      </c>
      <c r="Q14" s="10">
        <f t="shared" ref="Q14:Q19" si="8">P14*O14</f>
        <v>2121.1399338635633</v>
      </c>
    </row>
    <row r="15" spans="1:17" x14ac:dyDescent="0.25">
      <c r="A15" s="6" t="s">
        <v>47</v>
      </c>
      <c r="B15" s="66" t="s">
        <v>172</v>
      </c>
      <c r="C15" s="6" t="s">
        <v>53</v>
      </c>
      <c r="D15" s="10">
        <v>1729.4467383441699</v>
      </c>
      <c r="E15" s="9">
        <v>580000</v>
      </c>
      <c r="F15" s="9">
        <v>20000</v>
      </c>
      <c r="G15" s="10">
        <v>0.6</v>
      </c>
      <c r="H15" s="10">
        <f t="shared" si="4"/>
        <v>2.3329693013535326</v>
      </c>
      <c r="J15" s="7" t="s">
        <v>50</v>
      </c>
      <c r="K15" s="31">
        <v>0.4572</v>
      </c>
      <c r="L15" s="10">
        <v>2.5146000000000002</v>
      </c>
      <c r="M15" s="8">
        <f t="shared" si="5"/>
        <v>0.48259999999999997</v>
      </c>
      <c r="N15" s="8">
        <f t="shared" si="6"/>
        <v>1.8748176726607408E-2</v>
      </c>
      <c r="O15" s="8">
        <f t="shared" si="7"/>
        <v>4.7144165196726991E-2</v>
      </c>
      <c r="P15" s="6">
        <v>8000</v>
      </c>
      <c r="Q15" s="10">
        <f t="shared" si="8"/>
        <v>377.1533215738159</v>
      </c>
    </row>
    <row r="16" spans="1:17" x14ac:dyDescent="0.25">
      <c r="A16" s="6" t="s">
        <v>97</v>
      </c>
      <c r="B16" s="66" t="s">
        <v>172</v>
      </c>
      <c r="C16" s="6" t="s">
        <v>53</v>
      </c>
      <c r="D16" s="10">
        <v>1723.2621680627101</v>
      </c>
      <c r="E16" s="9">
        <v>580000</v>
      </c>
      <c r="F16" s="9">
        <v>20000</v>
      </c>
      <c r="G16" s="10">
        <v>0.6</v>
      </c>
      <c r="H16" s="10">
        <f t="shared" si="4"/>
        <v>2.3292053940643398</v>
      </c>
      <c r="J16" s="7" t="s">
        <v>147</v>
      </c>
      <c r="K16" s="31">
        <v>3.2004000000000001</v>
      </c>
      <c r="L16" s="10">
        <v>11.2014</v>
      </c>
      <c r="M16" s="8">
        <f t="shared" si="5"/>
        <v>3.2258</v>
      </c>
      <c r="N16" s="8">
        <f t="shared" si="6"/>
        <v>0.12819699221166653</v>
      </c>
      <c r="O16" s="8">
        <f t="shared" si="7"/>
        <v>1.4359857885597613</v>
      </c>
      <c r="P16" s="6">
        <v>8000</v>
      </c>
      <c r="Q16" s="10">
        <f t="shared" si="8"/>
        <v>11487.886308478091</v>
      </c>
    </row>
    <row r="17" spans="1:17" x14ac:dyDescent="0.25">
      <c r="A17" s="6" t="s">
        <v>98</v>
      </c>
      <c r="B17" s="66" t="s">
        <v>172</v>
      </c>
      <c r="C17" s="6" t="s">
        <v>53</v>
      </c>
      <c r="D17" s="10">
        <v>1176.5746910666501</v>
      </c>
      <c r="E17" s="9">
        <v>580000</v>
      </c>
      <c r="F17" s="9">
        <v>20000</v>
      </c>
      <c r="G17" s="10">
        <v>0.6</v>
      </c>
      <c r="H17" s="10">
        <f t="shared" si="4"/>
        <v>1.9712388507721152</v>
      </c>
      <c r="J17" s="7" t="s">
        <v>148</v>
      </c>
      <c r="K17" s="31">
        <v>1.0668</v>
      </c>
      <c r="L17" s="10">
        <v>5.8673999999999999</v>
      </c>
      <c r="M17" s="8">
        <f t="shared" si="5"/>
        <v>1.0922000000000001</v>
      </c>
      <c r="N17" s="8">
        <f t="shared" si="6"/>
        <v>4.3070135723287363E-2</v>
      </c>
      <c r="O17" s="8">
        <f t="shared" si="7"/>
        <v>0.25270971434281625</v>
      </c>
      <c r="P17" s="6">
        <v>8000</v>
      </c>
      <c r="Q17" s="10">
        <f t="shared" si="8"/>
        <v>2021.67771474253</v>
      </c>
    </row>
    <row r="18" spans="1:17" x14ac:dyDescent="0.25">
      <c r="A18" s="6" t="s">
        <v>99</v>
      </c>
      <c r="B18" s="66" t="s">
        <v>172</v>
      </c>
      <c r="C18" s="6" t="s">
        <v>53</v>
      </c>
      <c r="D18" s="10">
        <v>32.9565354462366</v>
      </c>
      <c r="E18" s="9">
        <v>580000</v>
      </c>
      <c r="F18" s="9">
        <v>20000</v>
      </c>
      <c r="G18" s="10">
        <v>0.6</v>
      </c>
      <c r="H18" s="10">
        <f t="shared" ref="H18:H19" si="9">(E18+(F18*(D18^G18)))/1000000</f>
        <v>0.74285268594115872</v>
      </c>
      <c r="J18" s="7" t="s">
        <v>149</v>
      </c>
      <c r="K18" s="31">
        <v>0.30480000000000002</v>
      </c>
      <c r="L18" s="10">
        <v>1.6763999999999999</v>
      </c>
      <c r="M18" s="8">
        <f t="shared" si="5"/>
        <v>0.33019999999999999</v>
      </c>
      <c r="N18" s="8">
        <f t="shared" si="6"/>
        <v>1.2667686977437436E-2</v>
      </c>
      <c r="O18" s="8">
        <f t="shared" si="7"/>
        <v>2.1236110448976116E-2</v>
      </c>
      <c r="P18" s="6">
        <v>8000</v>
      </c>
      <c r="Q18" s="10">
        <f t="shared" si="8"/>
        <v>169.88888359180893</v>
      </c>
    </row>
    <row r="19" spans="1:17" x14ac:dyDescent="0.25">
      <c r="A19" s="6" t="s">
        <v>100</v>
      </c>
      <c r="B19" s="66" t="s">
        <v>172</v>
      </c>
      <c r="C19" s="6" t="s">
        <v>53</v>
      </c>
      <c r="D19" s="10">
        <v>9.0413622593960099</v>
      </c>
      <c r="E19" s="9">
        <v>580000</v>
      </c>
      <c r="F19" s="9">
        <v>20000</v>
      </c>
      <c r="G19" s="10">
        <v>0.6</v>
      </c>
      <c r="H19" s="10">
        <f t="shared" si="9"/>
        <v>0.65494977232343388</v>
      </c>
      <c r="J19" s="7" t="s">
        <v>150</v>
      </c>
      <c r="K19" s="31">
        <v>1.3715999999999999</v>
      </c>
      <c r="L19" s="10">
        <v>7.5438000000000001</v>
      </c>
      <c r="M19" s="8">
        <f t="shared" si="5"/>
        <v>1.397</v>
      </c>
      <c r="N19" s="8">
        <f t="shared" si="6"/>
        <v>5.5231115221627589E-2</v>
      </c>
      <c r="O19" s="8">
        <f t="shared" si="7"/>
        <v>0.41665248700891422</v>
      </c>
      <c r="P19" s="6">
        <v>8000</v>
      </c>
      <c r="Q19" s="10">
        <f t="shared" si="8"/>
        <v>3333.2198960713135</v>
      </c>
    </row>
    <row r="20" spans="1:17" x14ac:dyDescent="0.25">
      <c r="A20" s="66" t="s">
        <v>203</v>
      </c>
      <c r="B20" s="66" t="s">
        <v>172</v>
      </c>
      <c r="C20" s="66" t="s">
        <v>53</v>
      </c>
      <c r="D20" s="70">
        <v>1.97376391480984</v>
      </c>
      <c r="E20" s="69">
        <v>580000</v>
      </c>
      <c r="F20" s="69">
        <v>20000</v>
      </c>
      <c r="G20" s="70">
        <v>0.6</v>
      </c>
      <c r="H20" s="70">
        <f t="shared" ref="H20:H29" si="10">(E20+(F20*(D20^G20)))/1000000</f>
        <v>0.61007510266395937</v>
      </c>
      <c r="J20" s="7" t="s">
        <v>151</v>
      </c>
      <c r="K20" s="31">
        <v>0.60960000000000003</v>
      </c>
      <c r="L20" s="10">
        <v>2.1335999999999999</v>
      </c>
      <c r="M20" s="8">
        <f t="shared" ref="M20:M21" si="11">K20+0.0254</f>
        <v>0.63500000000000001</v>
      </c>
      <c r="N20" s="8">
        <f t="shared" ref="N20:N21" si="12">PI()*(M20*M20-K20*K20)/4</f>
        <v>2.4828666475777368E-2</v>
      </c>
      <c r="O20" s="8">
        <f t="shared" ref="O20:O21" si="13">N20*L20</f>
        <v>5.2974442792718589E-2</v>
      </c>
      <c r="P20" s="6">
        <v>8000</v>
      </c>
      <c r="Q20" s="10">
        <f t="shared" ref="Q20:Q21" si="14">P20*O20</f>
        <v>423.79554234174873</v>
      </c>
    </row>
    <row r="21" spans="1:17" x14ac:dyDescent="0.25">
      <c r="A21" s="66" t="s">
        <v>204</v>
      </c>
      <c r="B21" s="66" t="s">
        <v>172</v>
      </c>
      <c r="C21" s="66" t="s">
        <v>53</v>
      </c>
      <c r="D21" s="70">
        <v>2.1383839134734002</v>
      </c>
      <c r="E21" s="69">
        <v>580000</v>
      </c>
      <c r="F21" s="69">
        <v>20000</v>
      </c>
      <c r="G21" s="70">
        <v>0.6</v>
      </c>
      <c r="H21" s="70">
        <f t="shared" si="10"/>
        <v>0.611555960434921</v>
      </c>
      <c r="J21" s="7" t="s">
        <v>152</v>
      </c>
      <c r="K21" s="31">
        <v>1.3715999999999999</v>
      </c>
      <c r="L21" s="10">
        <v>7.5438000000000001</v>
      </c>
      <c r="M21" s="8">
        <f t="shared" si="11"/>
        <v>1.397</v>
      </c>
      <c r="N21" s="8">
        <f t="shared" si="12"/>
        <v>5.5231115221627589E-2</v>
      </c>
      <c r="O21" s="8">
        <f t="shared" si="13"/>
        <v>0.41665248700891422</v>
      </c>
      <c r="P21" s="6">
        <v>8000</v>
      </c>
      <c r="Q21" s="10">
        <f t="shared" si="14"/>
        <v>3333.2198960713135</v>
      </c>
    </row>
    <row r="22" spans="1:17" x14ac:dyDescent="0.25">
      <c r="A22" s="66" t="s">
        <v>205</v>
      </c>
      <c r="B22" s="66" t="s">
        <v>172</v>
      </c>
      <c r="C22" s="66" t="s">
        <v>53</v>
      </c>
      <c r="D22" s="70">
        <v>2.2037318885270301</v>
      </c>
      <c r="E22" s="69">
        <v>580000</v>
      </c>
      <c r="F22" s="69">
        <v>20000</v>
      </c>
      <c r="G22" s="70">
        <v>0.6</v>
      </c>
      <c r="H22" s="70">
        <f t="shared" si="10"/>
        <v>0.61213107451445725</v>
      </c>
      <c r="J22" s="67" t="s">
        <v>177</v>
      </c>
      <c r="K22" s="72">
        <v>1.165</v>
      </c>
      <c r="L22" s="70">
        <v>6.0960000000000001</v>
      </c>
      <c r="M22" s="68">
        <f t="shared" ref="M22" si="15">K22+0.0254</f>
        <v>1.1904000000000001</v>
      </c>
      <c r="N22" s="68">
        <f t="shared" ref="N22" si="16">PI()*(M22*M22-K22*K22)/4</f>
        <v>4.6988141585285449E-2</v>
      </c>
      <c r="O22" s="68">
        <f t="shared" ref="O22" si="17">N22*L22</f>
        <v>0.2864397111039001</v>
      </c>
      <c r="P22" s="66">
        <v>8000</v>
      </c>
      <c r="Q22" s="70">
        <f t="shared" ref="Q22" si="18">P22*O22</f>
        <v>2291.5176888312008</v>
      </c>
    </row>
    <row r="23" spans="1:17" x14ac:dyDescent="0.25">
      <c r="A23" s="66" t="s">
        <v>48</v>
      </c>
      <c r="B23" s="66" t="s">
        <v>172</v>
      </c>
      <c r="C23" s="66" t="s">
        <v>53</v>
      </c>
      <c r="D23" s="70">
        <v>1.5333216484760399</v>
      </c>
      <c r="E23" s="69">
        <v>580000</v>
      </c>
      <c r="F23" s="69">
        <v>20000</v>
      </c>
      <c r="G23" s="70">
        <v>0.6</v>
      </c>
      <c r="H23" s="70">
        <f t="shared" si="10"/>
        <v>0.60584698888672928</v>
      </c>
      <c r="J23" s="75" t="s">
        <v>181</v>
      </c>
      <c r="K23" s="72">
        <v>1.0497000000000001</v>
      </c>
      <c r="L23" s="70">
        <f>0.6096*2</f>
        <v>1.2192000000000001</v>
      </c>
      <c r="M23" s="68">
        <f t="shared" ref="M23:M25" si="19">K23+0.0254</f>
        <v>1.0751000000000002</v>
      </c>
      <c r="N23" s="68">
        <f t="shared" ref="N23:N25" si="20">PI()*(M23*M23-K23*K23)/4</f>
        <v>4.2387876046707303E-2</v>
      </c>
      <c r="O23" s="68">
        <f t="shared" ref="O23:O25" si="21">N23*L23</f>
        <v>5.1679298476145545E-2</v>
      </c>
      <c r="P23" s="66">
        <v>8000</v>
      </c>
      <c r="Q23" s="70">
        <f t="shared" ref="Q23:Q25" si="22">P23*O23</f>
        <v>413.43438780916438</v>
      </c>
    </row>
    <row r="24" spans="1:17" x14ac:dyDescent="0.25">
      <c r="A24" s="66" t="s">
        <v>206</v>
      </c>
      <c r="B24" s="66" t="s">
        <v>172</v>
      </c>
      <c r="C24" s="66" t="s">
        <v>53</v>
      </c>
      <c r="D24" s="70">
        <v>870.97161712170998</v>
      </c>
      <c r="E24" s="69">
        <v>580000</v>
      </c>
      <c r="F24" s="69">
        <v>20000</v>
      </c>
      <c r="G24" s="70">
        <v>0.6</v>
      </c>
      <c r="H24" s="70">
        <f t="shared" si="10"/>
        <v>1.7415352581128392</v>
      </c>
      <c r="J24" s="75" t="s">
        <v>182</v>
      </c>
      <c r="K24" s="72">
        <v>1.097</v>
      </c>
      <c r="L24" s="70">
        <v>0.60960000000000003</v>
      </c>
      <c r="M24" s="68">
        <f t="shared" si="19"/>
        <v>1.1224000000000001</v>
      </c>
      <c r="N24" s="68">
        <f t="shared" si="20"/>
        <v>4.4275062169645239E-2</v>
      </c>
      <c r="O24" s="68">
        <f t="shared" si="21"/>
        <v>2.6990077898615739E-2</v>
      </c>
      <c r="P24" s="66">
        <v>8000</v>
      </c>
      <c r="Q24" s="70">
        <f t="shared" si="22"/>
        <v>215.9206231889259</v>
      </c>
    </row>
    <row r="25" spans="1:17" x14ac:dyDescent="0.25">
      <c r="A25" s="66" t="s">
        <v>207</v>
      </c>
      <c r="B25" s="66" t="s">
        <v>172</v>
      </c>
      <c r="C25" s="66" t="s">
        <v>53</v>
      </c>
      <c r="D25" s="70">
        <v>933.69627814133901</v>
      </c>
      <c r="E25" s="69">
        <v>580000</v>
      </c>
      <c r="F25" s="69">
        <v>20000</v>
      </c>
      <c r="G25" s="70">
        <v>0.6</v>
      </c>
      <c r="H25" s="70">
        <f t="shared" si="10"/>
        <v>1.7910257349997825</v>
      </c>
      <c r="J25" s="75" t="s">
        <v>183</v>
      </c>
      <c r="K25" s="72">
        <v>1.3725000000000001</v>
      </c>
      <c r="L25" s="70">
        <v>1.2192000000000001</v>
      </c>
      <c r="M25" s="68">
        <f t="shared" si="19"/>
        <v>1.3979000000000001</v>
      </c>
      <c r="N25" s="68">
        <f t="shared" si="20"/>
        <v>5.5267023625657878E-2</v>
      </c>
      <c r="O25" s="68">
        <f t="shared" si="21"/>
        <v>6.7381555204402088E-2</v>
      </c>
      <c r="P25" s="66">
        <v>8000</v>
      </c>
      <c r="Q25" s="70">
        <f t="shared" si="22"/>
        <v>539.05244163521672</v>
      </c>
    </row>
    <row r="26" spans="1:17" x14ac:dyDescent="0.25">
      <c r="A26" s="66" t="s">
        <v>208</v>
      </c>
      <c r="B26" s="66" t="s">
        <v>172</v>
      </c>
      <c r="C26" s="66" t="s">
        <v>53</v>
      </c>
      <c r="D26" s="70">
        <v>913.25739024897996</v>
      </c>
      <c r="E26" s="69">
        <v>580000</v>
      </c>
      <c r="F26" s="69">
        <v>20000</v>
      </c>
      <c r="G26" s="70">
        <v>0.6</v>
      </c>
      <c r="H26" s="70">
        <f t="shared" si="10"/>
        <v>1.7750495504177231</v>
      </c>
    </row>
    <row r="27" spans="1:17" x14ac:dyDescent="0.25">
      <c r="A27" s="66" t="s">
        <v>209</v>
      </c>
      <c r="B27" s="66" t="s">
        <v>172</v>
      </c>
      <c r="C27" s="66" t="s">
        <v>53</v>
      </c>
      <c r="D27" s="70">
        <v>535.21999714486299</v>
      </c>
      <c r="E27" s="69">
        <v>580000</v>
      </c>
      <c r="F27" s="69">
        <v>20000</v>
      </c>
      <c r="G27" s="70">
        <v>0.6</v>
      </c>
      <c r="H27" s="70">
        <f t="shared" si="10"/>
        <v>1.4472601563353902</v>
      </c>
      <c r="J27" s="64"/>
      <c r="K27" s="64"/>
      <c r="L27" s="64"/>
      <c r="M27" s="64"/>
      <c r="N27" s="64"/>
      <c r="O27" s="64"/>
    </row>
    <row r="28" spans="1:17" x14ac:dyDescent="0.25">
      <c r="A28" s="66" t="s">
        <v>210</v>
      </c>
      <c r="B28" s="66" t="s">
        <v>172</v>
      </c>
      <c r="C28" s="66" t="s">
        <v>53</v>
      </c>
      <c r="D28" s="70">
        <v>220.96880708256899</v>
      </c>
      <c r="E28" s="69">
        <v>580000</v>
      </c>
      <c r="F28" s="69">
        <v>20000</v>
      </c>
      <c r="G28" s="70">
        <v>0.6</v>
      </c>
      <c r="H28" s="70">
        <f t="shared" si="10"/>
        <v>1.0900685874305005</v>
      </c>
      <c r="J28" s="64"/>
      <c r="K28" s="64"/>
      <c r="L28" s="64"/>
      <c r="M28" s="64"/>
      <c r="N28" s="64"/>
      <c r="O28" s="64"/>
    </row>
    <row r="29" spans="1:17" x14ac:dyDescent="0.25">
      <c r="A29" s="66" t="s">
        <v>211</v>
      </c>
      <c r="B29" s="66" t="s">
        <v>172</v>
      </c>
      <c r="C29" s="66" t="s">
        <v>53</v>
      </c>
      <c r="D29" s="70">
        <v>282.27059441043701</v>
      </c>
      <c r="E29" s="69">
        <v>580000</v>
      </c>
      <c r="F29" s="69">
        <v>20000</v>
      </c>
      <c r="G29" s="70">
        <v>0.6</v>
      </c>
      <c r="H29" s="70">
        <f t="shared" si="10"/>
        <v>1.17078488882951</v>
      </c>
      <c r="J29" s="64"/>
      <c r="K29" s="64"/>
      <c r="L29" s="64"/>
      <c r="M29" s="64"/>
      <c r="N29" s="64"/>
      <c r="O29" s="64"/>
    </row>
    <row r="30" spans="1:17" x14ac:dyDescent="0.25">
      <c r="A30" s="6"/>
      <c r="B30" s="43" t="s">
        <v>146</v>
      </c>
      <c r="C30" s="6"/>
      <c r="D30" s="10"/>
      <c r="E30" s="9"/>
      <c r="F30" s="9"/>
      <c r="G30" s="10"/>
      <c r="H30" s="13">
        <f>SUM(H14:H29)</f>
        <v>21.740556623667519</v>
      </c>
      <c r="J30" s="64"/>
      <c r="K30" s="64"/>
      <c r="L30" s="64"/>
      <c r="M30" s="64"/>
      <c r="N30" s="64"/>
      <c r="O30" s="64"/>
    </row>
    <row r="31" spans="1:17" x14ac:dyDescent="0.25">
      <c r="A31" s="114" t="s">
        <v>164</v>
      </c>
      <c r="B31" s="115"/>
      <c r="C31" s="115"/>
      <c r="D31" s="115"/>
      <c r="E31" s="115"/>
      <c r="F31" s="115"/>
      <c r="G31" s="115"/>
      <c r="H31" s="116"/>
      <c r="J31" s="64"/>
      <c r="K31" s="64"/>
      <c r="L31" s="64"/>
      <c r="M31" s="64"/>
      <c r="N31" s="64"/>
      <c r="O31" s="64"/>
    </row>
    <row r="32" spans="1:17" x14ac:dyDescent="0.25">
      <c r="A32" s="52" t="s">
        <v>160</v>
      </c>
      <c r="B32" s="60" t="s">
        <v>173</v>
      </c>
      <c r="C32" s="60" t="s">
        <v>163</v>
      </c>
      <c r="D32" s="62">
        <v>0.26158333299999997</v>
      </c>
      <c r="E32" s="61">
        <v>8000</v>
      </c>
      <c r="F32" s="61">
        <v>240</v>
      </c>
      <c r="G32" s="62">
        <v>0.9</v>
      </c>
      <c r="H32" s="62">
        <f t="shared" ref="H32:H34" si="23">(E32+(F32*(D32^G32)))/1000000</f>
        <v>8.0717893967419303E-3</v>
      </c>
      <c r="J32" s="64"/>
      <c r="K32" s="64"/>
      <c r="L32" s="64"/>
      <c r="M32" s="64"/>
      <c r="N32" s="64"/>
      <c r="O32" s="64"/>
    </row>
    <row r="33" spans="1:15" x14ac:dyDescent="0.25">
      <c r="A33" s="52" t="s">
        <v>161</v>
      </c>
      <c r="B33" s="66" t="s">
        <v>173</v>
      </c>
      <c r="C33" s="60" t="s">
        <v>163</v>
      </c>
      <c r="D33" s="55">
        <v>9.9333333330000002</v>
      </c>
      <c r="E33" s="61">
        <v>8000</v>
      </c>
      <c r="F33" s="61">
        <v>240</v>
      </c>
      <c r="G33" s="62">
        <v>0.9</v>
      </c>
      <c r="H33" s="62">
        <f t="shared" si="23"/>
        <v>9.8949456145726155E-3</v>
      </c>
      <c r="J33" s="64"/>
      <c r="K33" s="64"/>
      <c r="L33" s="64"/>
      <c r="M33" s="64"/>
      <c r="N33" s="64"/>
      <c r="O33" s="64"/>
    </row>
    <row r="34" spans="1:15" x14ac:dyDescent="0.25">
      <c r="A34" s="52" t="s">
        <v>162</v>
      </c>
      <c r="B34" s="66" t="s">
        <v>173</v>
      </c>
      <c r="C34" s="60" t="s">
        <v>163</v>
      </c>
      <c r="D34" s="55">
        <v>15.733333</v>
      </c>
      <c r="E34" s="61">
        <v>8000</v>
      </c>
      <c r="F34" s="61">
        <v>240</v>
      </c>
      <c r="G34" s="62">
        <v>0.9</v>
      </c>
      <c r="H34" s="62">
        <f t="shared" si="23"/>
        <v>1.0866486514458687E-2</v>
      </c>
      <c r="J34" s="64"/>
      <c r="K34" s="64"/>
      <c r="L34" s="64"/>
      <c r="M34" s="64"/>
      <c r="N34" s="64"/>
      <c r="O34" s="64"/>
    </row>
    <row r="35" spans="1:15" x14ac:dyDescent="0.25">
      <c r="A35" s="52"/>
      <c r="B35" s="51" t="s">
        <v>146</v>
      </c>
      <c r="C35" s="52"/>
      <c r="D35" s="55"/>
      <c r="E35" s="54"/>
      <c r="F35" s="54"/>
      <c r="G35" s="55"/>
      <c r="H35" s="56">
        <f>SUM(H32:H34)</f>
        <v>2.883322152577323E-2</v>
      </c>
      <c r="J35" s="64"/>
      <c r="K35" s="64"/>
      <c r="L35" s="64"/>
      <c r="M35" s="64"/>
      <c r="N35" s="64"/>
      <c r="O35" s="64"/>
    </row>
    <row r="36" spans="1:15" x14ac:dyDescent="0.25">
      <c r="A36" s="114" t="s">
        <v>167</v>
      </c>
      <c r="B36" s="115"/>
      <c r="C36" s="115"/>
      <c r="D36" s="115"/>
      <c r="E36" s="115"/>
      <c r="F36" s="115"/>
      <c r="G36" s="115"/>
      <c r="H36" s="116"/>
      <c r="J36" s="64"/>
      <c r="K36" s="64"/>
      <c r="L36" s="64"/>
      <c r="M36" s="64"/>
      <c r="N36" s="64"/>
      <c r="O36" s="73"/>
    </row>
    <row r="37" spans="1:15" x14ac:dyDescent="0.25">
      <c r="A37" s="6" t="s">
        <v>184</v>
      </c>
      <c r="B37" s="6" t="s">
        <v>174</v>
      </c>
      <c r="C37" s="6" t="s">
        <v>54</v>
      </c>
      <c r="D37" s="32">
        <v>142.23103716445601</v>
      </c>
      <c r="E37" s="9">
        <v>28000</v>
      </c>
      <c r="F37" s="9">
        <v>54</v>
      </c>
      <c r="G37" s="10">
        <v>1.2</v>
      </c>
      <c r="H37" s="10">
        <f t="shared" ref="H37:H115" si="24">(E37+(F37*(D37^G37)))/1000000</f>
        <v>4.8700794410325529E-2</v>
      </c>
      <c r="J37" s="64"/>
      <c r="K37" s="64"/>
      <c r="L37" s="64"/>
      <c r="M37" s="64"/>
      <c r="N37" s="64"/>
      <c r="O37" s="64"/>
    </row>
    <row r="38" spans="1:15" x14ac:dyDescent="0.25">
      <c r="A38" s="6" t="s">
        <v>185</v>
      </c>
      <c r="B38" s="66" t="s">
        <v>174</v>
      </c>
      <c r="C38" s="6" t="s">
        <v>54</v>
      </c>
      <c r="D38" s="32">
        <v>72.1487839729581</v>
      </c>
      <c r="E38" s="9">
        <v>28000</v>
      </c>
      <c r="F38" s="9">
        <v>54</v>
      </c>
      <c r="G38" s="10">
        <v>1.2</v>
      </c>
      <c r="H38" s="10">
        <f t="shared" si="24"/>
        <v>3.7167872792326334E-2</v>
      </c>
      <c r="J38" s="64"/>
      <c r="K38" s="64"/>
      <c r="L38" s="64"/>
      <c r="M38" s="64"/>
      <c r="N38" s="64"/>
      <c r="O38" s="64"/>
    </row>
    <row r="39" spans="1:15" x14ac:dyDescent="0.25">
      <c r="A39" s="6" t="s">
        <v>186</v>
      </c>
      <c r="B39" s="66" t="s">
        <v>174</v>
      </c>
      <c r="C39" s="6" t="s">
        <v>54</v>
      </c>
      <c r="D39" s="32">
        <v>43.596249819919798</v>
      </c>
      <c r="E39" s="9">
        <v>28000</v>
      </c>
      <c r="F39" s="9">
        <v>54</v>
      </c>
      <c r="G39" s="10">
        <v>1.2</v>
      </c>
      <c r="H39" s="10">
        <f t="shared" si="24"/>
        <v>3.3008788791091613E-2</v>
      </c>
      <c r="J39" s="64"/>
      <c r="K39" s="64"/>
      <c r="L39" s="64"/>
      <c r="M39" s="64"/>
      <c r="N39" s="64"/>
      <c r="O39" s="64"/>
    </row>
    <row r="40" spans="1:15" x14ac:dyDescent="0.25">
      <c r="A40" s="6" t="s">
        <v>109</v>
      </c>
      <c r="B40" s="66" t="s">
        <v>174</v>
      </c>
      <c r="C40" s="6" t="s">
        <v>54</v>
      </c>
      <c r="D40" s="32">
        <v>5.6353734505471298</v>
      </c>
      <c r="E40" s="9">
        <v>28000</v>
      </c>
      <c r="F40" s="9">
        <v>54</v>
      </c>
      <c r="G40" s="10">
        <v>1.2</v>
      </c>
      <c r="H40" s="10">
        <f t="shared" si="24"/>
        <v>2.8430032225535792E-2</v>
      </c>
      <c r="J40" s="64"/>
      <c r="K40" s="64"/>
      <c r="L40" s="64"/>
      <c r="M40" s="64"/>
      <c r="N40" s="64"/>
      <c r="O40" s="64"/>
    </row>
    <row r="41" spans="1:15" x14ac:dyDescent="0.25">
      <c r="A41" s="6" t="s">
        <v>124</v>
      </c>
      <c r="B41" s="66" t="s">
        <v>174</v>
      </c>
      <c r="C41" s="6" t="s">
        <v>54</v>
      </c>
      <c r="D41" s="32">
        <v>237.99114316787899</v>
      </c>
      <c r="E41" s="9">
        <v>28000</v>
      </c>
      <c r="F41" s="9">
        <v>54</v>
      </c>
      <c r="G41" s="10">
        <v>1.2</v>
      </c>
      <c r="H41" s="10">
        <f t="shared" si="24"/>
        <v>6.6394296459462945E-2</v>
      </c>
      <c r="J41" s="64"/>
      <c r="K41" s="64"/>
      <c r="L41" s="64"/>
      <c r="M41" s="64"/>
      <c r="N41" s="64"/>
      <c r="O41" s="64"/>
    </row>
    <row r="42" spans="1:15" x14ac:dyDescent="0.25">
      <c r="A42" s="6" t="s">
        <v>125</v>
      </c>
      <c r="B42" s="66" t="s">
        <v>174</v>
      </c>
      <c r="C42" s="6" t="s">
        <v>54</v>
      </c>
      <c r="D42" s="32">
        <f>2036.87942100872/3</f>
        <v>678.9598070029067</v>
      </c>
      <c r="E42" s="9">
        <v>28000</v>
      </c>
      <c r="F42" s="9">
        <v>54</v>
      </c>
      <c r="G42" s="10">
        <v>1.2</v>
      </c>
      <c r="H42" s="10">
        <f t="shared" ref="H42" si="25">(E42+(F42*(D42^G42)))/1000000</f>
        <v>0.16308484807491821</v>
      </c>
      <c r="J42" s="64"/>
      <c r="K42" s="64"/>
      <c r="L42" s="64"/>
      <c r="M42" s="64"/>
      <c r="N42" s="64"/>
      <c r="O42" s="64"/>
    </row>
    <row r="43" spans="1:15" s="64" customFormat="1" x14ac:dyDescent="0.25">
      <c r="A43" s="95" t="s">
        <v>125</v>
      </c>
      <c r="B43" s="95" t="s">
        <v>174</v>
      </c>
      <c r="C43" s="95" t="s">
        <v>54</v>
      </c>
      <c r="D43" s="32">
        <f>2036.87942100872/3</f>
        <v>678.9598070029067</v>
      </c>
      <c r="E43" s="69">
        <v>28000</v>
      </c>
      <c r="F43" s="69">
        <v>54</v>
      </c>
      <c r="G43" s="70">
        <v>1.2</v>
      </c>
      <c r="H43" s="70">
        <f t="shared" ref="H43" si="26">(E43+(F43*(D43^G43)))/1000000</f>
        <v>0.16308484807491821</v>
      </c>
    </row>
    <row r="44" spans="1:15" s="64" customFormat="1" x14ac:dyDescent="0.25">
      <c r="A44" s="95" t="s">
        <v>125</v>
      </c>
      <c r="B44" s="95" t="s">
        <v>174</v>
      </c>
      <c r="C44" s="95" t="s">
        <v>54</v>
      </c>
      <c r="D44" s="32">
        <f>2036.87942100872/3</f>
        <v>678.9598070029067</v>
      </c>
      <c r="E44" s="69">
        <v>28000</v>
      </c>
      <c r="F44" s="69">
        <v>54</v>
      </c>
      <c r="G44" s="70">
        <v>1.2</v>
      </c>
      <c r="H44" s="70">
        <f t="shared" ref="H44" si="27">(E44+(F44*(D44^G44)))/1000000</f>
        <v>0.16308484807491821</v>
      </c>
    </row>
    <row r="45" spans="1:15" x14ac:dyDescent="0.25">
      <c r="A45" s="6" t="s">
        <v>119</v>
      </c>
      <c r="B45" s="66" t="s">
        <v>174</v>
      </c>
      <c r="C45" s="6" t="s">
        <v>54</v>
      </c>
      <c r="D45" s="32">
        <v>0.33217610353481403</v>
      </c>
      <c r="E45" s="9">
        <v>28000</v>
      </c>
      <c r="F45" s="9">
        <v>54</v>
      </c>
      <c r="G45" s="10">
        <v>1.2</v>
      </c>
      <c r="H45" s="10">
        <f t="shared" ref="H45:H53" si="28">(E45+(F45*(D45^G45)))/1000000</f>
        <v>2.801438917265104E-2</v>
      </c>
      <c r="J45" s="64"/>
      <c r="K45" s="64"/>
      <c r="L45" s="64"/>
      <c r="M45" s="64"/>
      <c r="N45" s="64"/>
      <c r="O45" s="64"/>
    </row>
    <row r="46" spans="1:15" x14ac:dyDescent="0.25">
      <c r="A46" s="6" t="s">
        <v>120</v>
      </c>
      <c r="B46" s="66" t="s">
        <v>174</v>
      </c>
      <c r="C46" s="6" t="s">
        <v>54</v>
      </c>
      <c r="D46" s="32">
        <v>332.85935727985702</v>
      </c>
      <c r="E46" s="9">
        <v>28000</v>
      </c>
      <c r="F46" s="9">
        <v>54</v>
      </c>
      <c r="G46" s="10">
        <v>1.2</v>
      </c>
      <c r="H46" s="10">
        <f t="shared" si="28"/>
        <v>8.5425751084418466E-2</v>
      </c>
      <c r="J46" s="64"/>
      <c r="K46" s="64"/>
      <c r="L46" s="64"/>
      <c r="M46" s="64"/>
      <c r="N46" s="64"/>
      <c r="O46" s="64"/>
    </row>
    <row r="47" spans="1:15" x14ac:dyDescent="0.25">
      <c r="A47" s="6" t="s">
        <v>131</v>
      </c>
      <c r="B47" s="66" t="s">
        <v>174</v>
      </c>
      <c r="C47" s="6" t="s">
        <v>54</v>
      </c>
      <c r="D47" s="32">
        <v>12.358527476589099</v>
      </c>
      <c r="E47" s="9">
        <v>28000</v>
      </c>
      <c r="F47" s="9">
        <v>54</v>
      </c>
      <c r="G47" s="10">
        <v>1.2</v>
      </c>
      <c r="H47" s="10">
        <f t="shared" si="28"/>
        <v>2.9103452982354481E-2</v>
      </c>
      <c r="J47" s="64"/>
      <c r="K47" s="64"/>
      <c r="L47" s="64"/>
      <c r="M47" s="64"/>
      <c r="N47" s="64"/>
      <c r="O47" s="64"/>
    </row>
    <row r="48" spans="1:15" x14ac:dyDescent="0.25">
      <c r="A48" s="6" t="s">
        <v>114</v>
      </c>
      <c r="B48" s="66" t="s">
        <v>174</v>
      </c>
      <c r="C48" s="6" t="s">
        <v>54</v>
      </c>
      <c r="D48" s="32">
        <v>7.0630491108934004E-2</v>
      </c>
      <c r="E48" s="9">
        <v>28000</v>
      </c>
      <c r="F48" s="9">
        <v>54</v>
      </c>
      <c r="G48" s="10">
        <v>1.2</v>
      </c>
      <c r="H48" s="10">
        <f t="shared" si="28"/>
        <v>2.80022448350313E-2</v>
      </c>
      <c r="J48" s="64"/>
      <c r="K48" s="64"/>
      <c r="L48" s="64"/>
      <c r="M48" s="64"/>
      <c r="N48" s="64"/>
      <c r="O48" s="64"/>
    </row>
    <row r="49" spans="1:15" x14ac:dyDescent="0.25">
      <c r="A49" s="6" t="s">
        <v>133</v>
      </c>
      <c r="B49" s="66" t="s">
        <v>174</v>
      </c>
      <c r="C49" s="6" t="s">
        <v>54</v>
      </c>
      <c r="D49" s="32">
        <v>89.736890984411701</v>
      </c>
      <c r="E49" s="9">
        <v>28000</v>
      </c>
      <c r="F49" s="9">
        <v>54</v>
      </c>
      <c r="G49" s="10">
        <v>1.2</v>
      </c>
      <c r="H49" s="10">
        <f t="shared" si="28"/>
        <v>3.9911295050770866E-2</v>
      </c>
      <c r="J49" s="64"/>
      <c r="K49" s="64"/>
      <c r="L49" s="64"/>
      <c r="M49" s="64"/>
      <c r="N49" s="64"/>
      <c r="O49" s="64"/>
    </row>
    <row r="50" spans="1:15" x14ac:dyDescent="0.25">
      <c r="A50" s="6" t="s">
        <v>105</v>
      </c>
      <c r="B50" s="66" t="s">
        <v>174</v>
      </c>
      <c r="C50" s="6" t="s">
        <v>54</v>
      </c>
      <c r="D50" s="32">
        <v>48.704297639326199</v>
      </c>
      <c r="E50" s="9">
        <v>28000</v>
      </c>
      <c r="F50" s="9">
        <v>54</v>
      </c>
      <c r="G50" s="10">
        <v>1.2</v>
      </c>
      <c r="H50" s="10">
        <f t="shared" si="28"/>
        <v>3.3721033641790875E-2</v>
      </c>
      <c r="J50" s="64"/>
      <c r="K50" s="64"/>
      <c r="L50" s="64"/>
      <c r="M50" s="64"/>
      <c r="N50" s="64"/>
      <c r="O50" s="64"/>
    </row>
    <row r="51" spans="1:15" x14ac:dyDescent="0.25">
      <c r="A51" s="6" t="s">
        <v>106</v>
      </c>
      <c r="B51" s="66" t="s">
        <v>174</v>
      </c>
      <c r="C51" s="6" t="s">
        <v>54</v>
      </c>
      <c r="D51" s="32">
        <v>81.099882682512103</v>
      </c>
      <c r="E51" s="9">
        <v>28000</v>
      </c>
      <c r="F51" s="9">
        <v>54</v>
      </c>
      <c r="G51" s="10">
        <v>1.2</v>
      </c>
      <c r="H51" s="10">
        <f t="shared" si="28"/>
        <v>3.8549163683067454E-2</v>
      </c>
      <c r="J51" s="64"/>
      <c r="K51" s="64"/>
      <c r="L51" s="64"/>
      <c r="M51" s="64"/>
      <c r="N51" s="64"/>
      <c r="O51" s="64"/>
    </row>
    <row r="52" spans="1:15" ht="14.25" customHeight="1" x14ac:dyDescent="0.25">
      <c r="A52" s="6" t="s">
        <v>107</v>
      </c>
      <c r="B52" s="66" t="s">
        <v>174</v>
      </c>
      <c r="C52" s="6" t="s">
        <v>54</v>
      </c>
      <c r="D52" s="32">
        <v>26.566140870079501</v>
      </c>
      <c r="E52" s="9">
        <v>28000</v>
      </c>
      <c r="F52" s="9">
        <v>54</v>
      </c>
      <c r="G52" s="10">
        <v>1.2</v>
      </c>
      <c r="H52" s="10">
        <f t="shared" si="28"/>
        <v>3.0764317513627598E-2</v>
      </c>
      <c r="J52" s="64"/>
      <c r="K52" s="64"/>
      <c r="L52" s="64"/>
      <c r="M52" s="64"/>
      <c r="N52" s="64"/>
      <c r="O52" s="64"/>
    </row>
    <row r="53" spans="1:15" x14ac:dyDescent="0.25">
      <c r="A53" s="6" t="s">
        <v>187</v>
      </c>
      <c r="B53" s="66" t="s">
        <v>174</v>
      </c>
      <c r="C53" s="6" t="s">
        <v>54</v>
      </c>
      <c r="D53" s="32">
        <v>59.128882211646697</v>
      </c>
      <c r="E53" s="9">
        <v>28000</v>
      </c>
      <c r="F53" s="9">
        <v>54</v>
      </c>
      <c r="G53" s="10">
        <v>1.2</v>
      </c>
      <c r="H53" s="10">
        <f t="shared" si="28"/>
        <v>3.5220268744716163E-2</v>
      </c>
      <c r="J53" s="64"/>
      <c r="K53" s="64"/>
      <c r="L53" s="64"/>
      <c r="M53" s="64"/>
      <c r="N53" s="64"/>
      <c r="O53" s="64"/>
    </row>
    <row r="54" spans="1:15" x14ac:dyDescent="0.25">
      <c r="A54" s="6" t="s">
        <v>188</v>
      </c>
      <c r="B54" s="66" t="s">
        <v>174</v>
      </c>
      <c r="C54" s="6" t="s">
        <v>54</v>
      </c>
      <c r="D54" s="32">
        <v>134.22167810747399</v>
      </c>
      <c r="E54" s="9">
        <v>28000</v>
      </c>
      <c r="F54" s="9">
        <v>54</v>
      </c>
      <c r="G54" s="10">
        <v>1.2</v>
      </c>
      <c r="H54" s="10">
        <f t="shared" ref="H54:H96" si="29">(E54+(F54*(D54^G54)))/1000000</f>
        <v>4.7309941450624914E-2</v>
      </c>
      <c r="J54" s="64"/>
      <c r="K54" s="64"/>
      <c r="L54" s="64"/>
      <c r="M54" s="64"/>
      <c r="N54" s="64"/>
      <c r="O54" s="64"/>
    </row>
    <row r="55" spans="1:15" x14ac:dyDescent="0.25">
      <c r="A55" s="6" t="s">
        <v>189</v>
      </c>
      <c r="B55" s="66" t="s">
        <v>174</v>
      </c>
      <c r="C55" s="6" t="s">
        <v>54</v>
      </c>
      <c r="D55" s="32">
        <v>374.77594349160103</v>
      </c>
      <c r="E55" s="9">
        <v>28000</v>
      </c>
      <c r="F55" s="9">
        <v>54</v>
      </c>
      <c r="G55" s="10">
        <v>1.2</v>
      </c>
      <c r="H55" s="10">
        <f t="shared" si="29"/>
        <v>9.4209423624949939E-2</v>
      </c>
      <c r="J55" s="64"/>
      <c r="K55" s="64"/>
      <c r="L55" s="64"/>
      <c r="M55" s="64"/>
      <c r="N55" s="64"/>
      <c r="O55" s="64"/>
    </row>
    <row r="56" spans="1:15" x14ac:dyDescent="0.25">
      <c r="A56" s="6" t="s">
        <v>190</v>
      </c>
      <c r="B56" s="66" t="s">
        <v>174</v>
      </c>
      <c r="C56" s="6" t="s">
        <v>54</v>
      </c>
      <c r="D56" s="32">
        <v>63.840101359672403</v>
      </c>
      <c r="E56" s="9">
        <v>28000</v>
      </c>
      <c r="F56" s="9">
        <v>54</v>
      </c>
      <c r="G56" s="10">
        <v>1.2</v>
      </c>
      <c r="H56" s="10">
        <f t="shared" si="29"/>
        <v>3.5916004661473884E-2</v>
      </c>
      <c r="J56" s="64"/>
      <c r="K56" s="64"/>
      <c r="L56" s="64"/>
      <c r="M56" s="64"/>
      <c r="N56" s="64"/>
      <c r="O56" s="64"/>
    </row>
    <row r="57" spans="1:15" x14ac:dyDescent="0.25">
      <c r="A57" s="6" t="s">
        <v>191</v>
      </c>
      <c r="B57" s="66" t="s">
        <v>174</v>
      </c>
      <c r="C57" s="6" t="s">
        <v>54</v>
      </c>
      <c r="D57" s="32">
        <f>1807.93293335492/2</f>
        <v>903.96646667745995</v>
      </c>
      <c r="E57" s="9">
        <v>28000</v>
      </c>
      <c r="F57" s="9">
        <v>54</v>
      </c>
      <c r="G57" s="10">
        <v>1.2</v>
      </c>
      <c r="H57" s="10">
        <f t="shared" si="29"/>
        <v>0.21844805609486678</v>
      </c>
      <c r="J57" s="64"/>
      <c r="K57" s="64"/>
      <c r="L57" s="64"/>
      <c r="M57" s="64"/>
      <c r="N57" s="64"/>
      <c r="O57" s="64"/>
    </row>
    <row r="58" spans="1:15" s="64" customFormat="1" x14ac:dyDescent="0.25">
      <c r="A58" s="95" t="s">
        <v>191</v>
      </c>
      <c r="B58" s="95" t="s">
        <v>174</v>
      </c>
      <c r="C58" s="95" t="s">
        <v>54</v>
      </c>
      <c r="D58" s="32">
        <f>1807.93293335492/2</f>
        <v>903.96646667745995</v>
      </c>
      <c r="E58" s="69">
        <v>28000</v>
      </c>
      <c r="F58" s="69">
        <v>54</v>
      </c>
      <c r="G58" s="70">
        <v>1.2</v>
      </c>
      <c r="H58" s="70">
        <f t="shared" ref="H58" si="30">(E58+(F58*(D58^G58)))/1000000</f>
        <v>0.21844805609486678</v>
      </c>
    </row>
    <row r="59" spans="1:15" x14ac:dyDescent="0.25">
      <c r="A59" s="6" t="s">
        <v>192</v>
      </c>
      <c r="B59" s="66" t="s">
        <v>174</v>
      </c>
      <c r="C59" s="6" t="s">
        <v>54</v>
      </c>
      <c r="D59" s="32">
        <v>1.19416726314946</v>
      </c>
      <c r="E59" s="9">
        <v>28000</v>
      </c>
      <c r="F59" s="9">
        <v>54</v>
      </c>
      <c r="G59" s="10">
        <v>1.2</v>
      </c>
      <c r="H59" s="10">
        <f t="shared" si="29"/>
        <v>2.8066814689323677E-2</v>
      </c>
      <c r="J59" s="64"/>
      <c r="K59" s="64"/>
      <c r="L59" s="64"/>
      <c r="M59" s="64"/>
      <c r="N59" s="64"/>
      <c r="O59" s="64"/>
    </row>
    <row r="60" spans="1:15" x14ac:dyDescent="0.25">
      <c r="A60" s="6" t="s">
        <v>118</v>
      </c>
      <c r="B60" s="66" t="s">
        <v>174</v>
      </c>
      <c r="C60" s="6" t="s">
        <v>54</v>
      </c>
      <c r="D60" s="32">
        <v>3.3807027211173999</v>
      </c>
      <c r="E60" s="9">
        <v>28000</v>
      </c>
      <c r="F60" s="9">
        <v>54</v>
      </c>
      <c r="G60" s="10">
        <v>1.2</v>
      </c>
      <c r="H60" s="10">
        <f t="shared" si="29"/>
        <v>2.82329175105283E-2</v>
      </c>
      <c r="J60" s="64"/>
      <c r="K60" s="64"/>
      <c r="L60" s="64"/>
      <c r="M60" s="64"/>
      <c r="N60" s="64"/>
      <c r="O60" s="64"/>
    </row>
    <row r="61" spans="1:15" x14ac:dyDescent="0.25">
      <c r="A61" s="6" t="s">
        <v>116</v>
      </c>
      <c r="B61" s="66" t="s">
        <v>174</v>
      </c>
      <c r="C61" s="6" t="s">
        <v>54</v>
      </c>
      <c r="D61" s="32">
        <v>4.3808494489740299</v>
      </c>
      <c r="E61" s="9">
        <v>28000</v>
      </c>
      <c r="F61" s="9">
        <v>54</v>
      </c>
      <c r="G61" s="10">
        <v>1.2</v>
      </c>
      <c r="H61" s="10">
        <f t="shared" si="29"/>
        <v>2.8317880402417374E-2</v>
      </c>
      <c r="J61" s="64"/>
      <c r="K61" s="64"/>
      <c r="L61" s="64"/>
      <c r="M61" s="64"/>
      <c r="N61" s="64"/>
      <c r="O61" s="64"/>
    </row>
    <row r="62" spans="1:15" x14ac:dyDescent="0.25">
      <c r="A62" s="6" t="s">
        <v>128</v>
      </c>
      <c r="B62" s="66" t="s">
        <v>174</v>
      </c>
      <c r="C62" s="6" t="s">
        <v>54</v>
      </c>
      <c r="D62" s="32">
        <v>70.190519851947897</v>
      </c>
      <c r="E62" s="9">
        <v>28000</v>
      </c>
      <c r="F62" s="9">
        <v>54</v>
      </c>
      <c r="G62" s="10">
        <v>1.2</v>
      </c>
      <c r="H62" s="10">
        <f t="shared" si="29"/>
        <v>3.6870087633750298E-2</v>
      </c>
      <c r="J62" s="64"/>
      <c r="K62" s="64"/>
      <c r="L62" s="64"/>
      <c r="M62" s="64"/>
      <c r="N62" s="64"/>
      <c r="O62" s="64"/>
    </row>
    <row r="63" spans="1:15" x14ac:dyDescent="0.25">
      <c r="A63" s="6" t="s">
        <v>111</v>
      </c>
      <c r="B63" s="66" t="s">
        <v>174</v>
      </c>
      <c r="C63" s="6" t="s">
        <v>54</v>
      </c>
      <c r="D63" s="32">
        <f>1220.2368689545/2</f>
        <v>610.11843447725005</v>
      </c>
      <c r="E63" s="9">
        <v>28000</v>
      </c>
      <c r="F63" s="9">
        <v>54</v>
      </c>
      <c r="G63" s="10">
        <v>1.2</v>
      </c>
      <c r="H63" s="10">
        <f t="shared" si="29"/>
        <v>0.14682032515107915</v>
      </c>
      <c r="J63" s="64"/>
      <c r="K63" s="64"/>
      <c r="L63" s="64"/>
      <c r="M63" s="64"/>
      <c r="N63" s="64"/>
      <c r="O63" s="64"/>
    </row>
    <row r="64" spans="1:15" s="64" customFormat="1" x14ac:dyDescent="0.25">
      <c r="A64" s="95" t="s">
        <v>111</v>
      </c>
      <c r="B64" s="95" t="s">
        <v>174</v>
      </c>
      <c r="C64" s="95" t="s">
        <v>54</v>
      </c>
      <c r="D64" s="32">
        <f>1220.2368689545/2</f>
        <v>610.11843447725005</v>
      </c>
      <c r="E64" s="69">
        <v>28000</v>
      </c>
      <c r="F64" s="69">
        <v>54</v>
      </c>
      <c r="G64" s="70">
        <v>1.2</v>
      </c>
      <c r="H64" s="70">
        <f t="shared" ref="H64" si="31">(E64+(F64*(D64^G64)))/1000000</f>
        <v>0.14682032515107915</v>
      </c>
    </row>
    <row r="65" spans="1:15" x14ac:dyDescent="0.25">
      <c r="A65" s="6" t="s">
        <v>130</v>
      </c>
      <c r="B65" s="66" t="s">
        <v>174</v>
      </c>
      <c r="C65" s="6" t="s">
        <v>54</v>
      </c>
      <c r="D65" s="32">
        <v>17.6887140812774</v>
      </c>
      <c r="E65" s="9">
        <v>28000</v>
      </c>
      <c r="F65" s="9">
        <v>54</v>
      </c>
      <c r="G65" s="10">
        <v>1.2</v>
      </c>
      <c r="H65" s="10">
        <f t="shared" si="29"/>
        <v>2.969679460373708E-2</v>
      </c>
      <c r="J65" s="64"/>
      <c r="K65" s="64"/>
      <c r="L65" s="64"/>
      <c r="M65" s="64"/>
      <c r="N65" s="64"/>
      <c r="O65" s="64"/>
    </row>
    <row r="66" spans="1:15" x14ac:dyDescent="0.25">
      <c r="A66" s="6" t="s">
        <v>129</v>
      </c>
      <c r="B66" s="66" t="s">
        <v>174</v>
      </c>
      <c r="C66" s="6" t="s">
        <v>54</v>
      </c>
      <c r="D66" s="32">
        <v>33.248660119276501</v>
      </c>
      <c r="E66" s="9">
        <v>28000</v>
      </c>
      <c r="F66" s="9">
        <v>54</v>
      </c>
      <c r="G66" s="10">
        <v>1.2</v>
      </c>
      <c r="H66" s="10">
        <f t="shared" si="29"/>
        <v>3.1618451350348804E-2</v>
      </c>
      <c r="J66" s="64"/>
      <c r="K66" s="64"/>
      <c r="L66" s="64"/>
      <c r="M66" s="64"/>
      <c r="N66" s="64"/>
      <c r="O66" s="64"/>
    </row>
    <row r="67" spans="1:15" x14ac:dyDescent="0.25">
      <c r="A67" s="6" t="s">
        <v>143</v>
      </c>
      <c r="B67" s="66" t="s">
        <v>174</v>
      </c>
      <c r="C67" s="6" t="s">
        <v>54</v>
      </c>
      <c r="D67" s="32">
        <v>29.429291781350901</v>
      </c>
      <c r="E67" s="9">
        <v>28000</v>
      </c>
      <c r="F67" s="9">
        <v>54</v>
      </c>
      <c r="G67" s="10">
        <v>1.2</v>
      </c>
      <c r="H67" s="10">
        <f t="shared" si="29"/>
        <v>3.1125572181513399E-2</v>
      </c>
      <c r="J67" s="64"/>
      <c r="K67" s="64"/>
      <c r="L67" s="64"/>
      <c r="M67" s="64"/>
      <c r="N67" s="64"/>
      <c r="O67" s="64"/>
    </row>
    <row r="68" spans="1:15" x14ac:dyDescent="0.25">
      <c r="A68" s="6" t="s">
        <v>144</v>
      </c>
      <c r="B68" s="66" t="s">
        <v>174</v>
      </c>
      <c r="C68" s="6" t="s">
        <v>54</v>
      </c>
      <c r="D68" s="32">
        <v>0.55774349075626795</v>
      </c>
      <c r="E68" s="9">
        <v>28000</v>
      </c>
      <c r="F68" s="9">
        <v>54</v>
      </c>
      <c r="G68" s="10">
        <v>1.2</v>
      </c>
      <c r="H68" s="10">
        <f t="shared" si="29"/>
        <v>2.8026798789190337E-2</v>
      </c>
      <c r="J68" s="64"/>
      <c r="K68" s="64"/>
      <c r="L68" s="64"/>
      <c r="M68" s="64"/>
      <c r="N68" s="64"/>
      <c r="O68" s="64"/>
    </row>
    <row r="69" spans="1:15" ht="15.75" customHeight="1" x14ac:dyDescent="0.25">
      <c r="A69" s="6" t="s">
        <v>145</v>
      </c>
      <c r="B69" s="66" t="s">
        <v>174</v>
      </c>
      <c r="C69" s="6" t="s">
        <v>54</v>
      </c>
      <c r="D69" s="32">
        <v>146.209661836132</v>
      </c>
      <c r="E69" s="9">
        <v>28000</v>
      </c>
      <c r="F69" s="9">
        <v>54</v>
      </c>
      <c r="G69" s="10">
        <v>1.2</v>
      </c>
      <c r="H69" s="10">
        <f t="shared" si="29"/>
        <v>4.939759912807546E-2</v>
      </c>
      <c r="J69" s="64"/>
      <c r="K69" s="64"/>
      <c r="L69" s="64"/>
      <c r="M69" s="64"/>
      <c r="N69" s="64"/>
      <c r="O69" s="64"/>
    </row>
    <row r="70" spans="1:15" x14ac:dyDescent="0.25">
      <c r="A70" s="6" t="s">
        <v>123</v>
      </c>
      <c r="B70" s="66" t="s">
        <v>174</v>
      </c>
      <c r="C70" s="6" t="s">
        <v>54</v>
      </c>
      <c r="D70" s="32">
        <f>1889.2243805725/2</f>
        <v>944.61219028624998</v>
      </c>
      <c r="E70" s="9">
        <v>28000</v>
      </c>
      <c r="F70" s="9">
        <v>54</v>
      </c>
      <c r="G70" s="10">
        <v>1.2</v>
      </c>
      <c r="H70" s="10">
        <f t="shared" si="29"/>
        <v>0.22876962826560548</v>
      </c>
      <c r="J70" s="64"/>
      <c r="K70" s="64"/>
      <c r="L70" s="64"/>
      <c r="M70" s="64"/>
      <c r="N70" s="64"/>
      <c r="O70" s="64"/>
    </row>
    <row r="71" spans="1:15" s="64" customFormat="1" x14ac:dyDescent="0.25">
      <c r="A71" s="95" t="s">
        <v>123</v>
      </c>
      <c r="B71" s="95" t="s">
        <v>174</v>
      </c>
      <c r="C71" s="95" t="s">
        <v>54</v>
      </c>
      <c r="D71" s="32">
        <f>1889.2243805725/2</f>
        <v>944.61219028624998</v>
      </c>
      <c r="E71" s="69">
        <v>28000</v>
      </c>
      <c r="F71" s="69">
        <v>54</v>
      </c>
      <c r="G71" s="70">
        <v>1.2</v>
      </c>
      <c r="H71" s="70">
        <f t="shared" ref="H71" si="32">(E71+(F71*(D71^G71)))/1000000</f>
        <v>0.22876962826560548</v>
      </c>
    </row>
    <row r="72" spans="1:15" x14ac:dyDescent="0.25">
      <c r="A72" s="6" t="s">
        <v>122</v>
      </c>
      <c r="B72" s="66" t="s">
        <v>174</v>
      </c>
      <c r="C72" s="6" t="s">
        <v>54</v>
      </c>
      <c r="D72" s="32">
        <f>2350.49675132536/3</f>
        <v>783.49891710845338</v>
      </c>
      <c r="E72" s="9">
        <v>28000</v>
      </c>
      <c r="F72" s="9">
        <v>54</v>
      </c>
      <c r="G72" s="10">
        <v>1.2</v>
      </c>
      <c r="H72" s="10">
        <f t="shared" si="29"/>
        <v>0.18841310325173369</v>
      </c>
      <c r="J72" s="64"/>
      <c r="K72" s="64"/>
      <c r="L72" s="64"/>
      <c r="M72" s="64"/>
      <c r="N72" s="64"/>
      <c r="O72" s="64"/>
    </row>
    <row r="73" spans="1:15" s="64" customFormat="1" x14ac:dyDescent="0.25">
      <c r="A73" s="95" t="s">
        <v>122</v>
      </c>
      <c r="B73" s="95" t="s">
        <v>174</v>
      </c>
      <c r="C73" s="95" t="s">
        <v>54</v>
      </c>
      <c r="D73" s="32">
        <f>2350.49675132536/3</f>
        <v>783.49891710845338</v>
      </c>
      <c r="E73" s="69">
        <v>28000</v>
      </c>
      <c r="F73" s="69">
        <v>54</v>
      </c>
      <c r="G73" s="70">
        <v>1.2</v>
      </c>
      <c r="H73" s="70">
        <f t="shared" ref="H73:H74" si="33">(E73+(F73*(D73^G73)))/1000000</f>
        <v>0.18841310325173369</v>
      </c>
    </row>
    <row r="74" spans="1:15" s="64" customFormat="1" x14ac:dyDescent="0.25">
      <c r="A74" s="95" t="s">
        <v>122</v>
      </c>
      <c r="B74" s="95" t="s">
        <v>174</v>
      </c>
      <c r="C74" s="95" t="s">
        <v>54</v>
      </c>
      <c r="D74" s="32">
        <f>2350.49675132536/3</f>
        <v>783.49891710845338</v>
      </c>
      <c r="E74" s="69">
        <v>28000</v>
      </c>
      <c r="F74" s="69">
        <v>54</v>
      </c>
      <c r="G74" s="70">
        <v>1.2</v>
      </c>
      <c r="H74" s="70">
        <f t="shared" si="33"/>
        <v>0.18841310325173369</v>
      </c>
    </row>
    <row r="75" spans="1:15" ht="15.75" customHeight="1" x14ac:dyDescent="0.25">
      <c r="A75" s="6" t="s">
        <v>135</v>
      </c>
      <c r="B75" s="66" t="s">
        <v>174</v>
      </c>
      <c r="C75" s="6" t="s">
        <v>54</v>
      </c>
      <c r="D75" s="32">
        <v>48.284198197825702</v>
      </c>
      <c r="E75" s="9">
        <v>28000</v>
      </c>
      <c r="F75" s="9">
        <v>54</v>
      </c>
      <c r="G75" s="10">
        <v>1.2</v>
      </c>
      <c r="H75" s="10">
        <f t="shared" si="29"/>
        <v>3.3661868632311243E-2</v>
      </c>
      <c r="J75" s="64"/>
      <c r="K75" s="64"/>
      <c r="L75" s="64"/>
      <c r="M75" s="64"/>
      <c r="N75" s="64"/>
      <c r="O75" s="64"/>
    </row>
    <row r="76" spans="1:15" x14ac:dyDescent="0.25">
      <c r="A76" s="6" t="s">
        <v>136</v>
      </c>
      <c r="B76" s="66" t="s">
        <v>174</v>
      </c>
      <c r="C76" s="6" t="s">
        <v>54</v>
      </c>
      <c r="D76" s="32">
        <v>25.653362984386501</v>
      </c>
      <c r="E76" s="9">
        <v>28000</v>
      </c>
      <c r="F76" s="9">
        <v>54</v>
      </c>
      <c r="G76" s="10">
        <v>1.2</v>
      </c>
      <c r="H76" s="10">
        <f t="shared" si="29"/>
        <v>3.0650738752860601E-2</v>
      </c>
      <c r="J76" s="64"/>
      <c r="K76" s="64"/>
      <c r="L76" s="64"/>
      <c r="M76" s="64"/>
      <c r="N76" s="64"/>
      <c r="O76" s="64"/>
    </row>
    <row r="77" spans="1:15" x14ac:dyDescent="0.25">
      <c r="A77" s="6" t="s">
        <v>193</v>
      </c>
      <c r="B77" s="66" t="s">
        <v>174</v>
      </c>
      <c r="C77" s="6" t="s">
        <v>54</v>
      </c>
      <c r="D77" s="32">
        <v>505.42681234720197</v>
      </c>
      <c r="E77" s="9">
        <v>28000</v>
      </c>
      <c r="F77" s="9">
        <v>54</v>
      </c>
      <c r="G77" s="10">
        <v>1.2</v>
      </c>
      <c r="H77" s="10">
        <f t="shared" si="29"/>
        <v>0.1227946205048274</v>
      </c>
      <c r="J77" s="64"/>
      <c r="K77" s="64"/>
      <c r="L77" s="64"/>
      <c r="M77" s="64"/>
      <c r="N77" s="64"/>
      <c r="O77" s="64"/>
    </row>
    <row r="78" spans="1:15" x14ac:dyDescent="0.25">
      <c r="A78" s="6" t="s">
        <v>194</v>
      </c>
      <c r="B78" s="66" t="s">
        <v>174</v>
      </c>
      <c r="C78" s="6" t="s">
        <v>54</v>
      </c>
      <c r="D78" s="32">
        <v>7.4045323563663201</v>
      </c>
      <c r="E78" s="9">
        <v>28000</v>
      </c>
      <c r="F78" s="9">
        <v>54</v>
      </c>
      <c r="G78" s="10">
        <v>1.2</v>
      </c>
      <c r="H78" s="10">
        <f t="shared" si="29"/>
        <v>2.8596747931261053E-2</v>
      </c>
      <c r="J78" s="64"/>
      <c r="K78" s="64"/>
      <c r="L78" s="64"/>
      <c r="M78" s="64"/>
      <c r="N78" s="64"/>
      <c r="O78" s="64"/>
    </row>
    <row r="79" spans="1:15" x14ac:dyDescent="0.25">
      <c r="A79" s="6" t="s">
        <v>195</v>
      </c>
      <c r="B79" s="66" t="s">
        <v>174</v>
      </c>
      <c r="C79" s="6" t="s">
        <v>54</v>
      </c>
      <c r="D79" s="32">
        <v>205.70832827855099</v>
      </c>
      <c r="E79" s="9">
        <v>28000</v>
      </c>
      <c r="F79" s="9">
        <v>54</v>
      </c>
      <c r="G79" s="10">
        <v>1.2</v>
      </c>
      <c r="H79" s="10">
        <f t="shared" si="29"/>
        <v>6.0232649793971443E-2</v>
      </c>
      <c r="J79" s="64"/>
      <c r="K79" s="64"/>
      <c r="L79" s="64"/>
      <c r="M79" s="64"/>
      <c r="N79" s="64"/>
      <c r="O79" s="64"/>
    </row>
    <row r="80" spans="1:15" x14ac:dyDescent="0.25">
      <c r="A80" s="6" t="s">
        <v>196</v>
      </c>
      <c r="B80" s="66" t="s">
        <v>174</v>
      </c>
      <c r="C80" s="6" t="s">
        <v>54</v>
      </c>
      <c r="D80" s="32">
        <v>178.44646535899301</v>
      </c>
      <c r="E80" s="9">
        <v>28000</v>
      </c>
      <c r="F80" s="9">
        <v>54</v>
      </c>
      <c r="G80" s="10">
        <v>1.2</v>
      </c>
      <c r="H80" s="10">
        <f t="shared" si="29"/>
        <v>5.5177111723909759E-2</v>
      </c>
      <c r="J80" s="64"/>
      <c r="K80" s="64"/>
      <c r="L80" s="64"/>
      <c r="M80" s="64"/>
      <c r="N80" s="64"/>
      <c r="O80" s="64"/>
    </row>
    <row r="81" spans="1:15" x14ac:dyDescent="0.25">
      <c r="A81" s="6" t="s">
        <v>108</v>
      </c>
      <c r="B81" s="66" t="s">
        <v>174</v>
      </c>
      <c r="C81" s="6" t="s">
        <v>54</v>
      </c>
      <c r="D81" s="32">
        <v>78.444078713653994</v>
      </c>
      <c r="E81" s="9">
        <v>28000</v>
      </c>
      <c r="F81" s="9">
        <v>54</v>
      </c>
      <c r="G81" s="10">
        <v>1.2</v>
      </c>
      <c r="H81" s="10">
        <f t="shared" si="29"/>
        <v>3.813598501890221E-2</v>
      </c>
      <c r="J81" s="64"/>
      <c r="K81" s="64"/>
      <c r="L81" s="64"/>
      <c r="M81" s="64"/>
      <c r="N81" s="64"/>
      <c r="O81" s="64"/>
    </row>
    <row r="82" spans="1:15" x14ac:dyDescent="0.25">
      <c r="A82" s="6" t="s">
        <v>197</v>
      </c>
      <c r="B82" s="66" t="s">
        <v>174</v>
      </c>
      <c r="C82" s="6" t="s">
        <v>54</v>
      </c>
      <c r="D82" s="32">
        <v>17.598503387603198</v>
      </c>
      <c r="E82" s="9">
        <v>28000</v>
      </c>
      <c r="F82" s="9">
        <v>54</v>
      </c>
      <c r="G82" s="10">
        <v>1.2</v>
      </c>
      <c r="H82" s="10">
        <f t="shared" si="29"/>
        <v>2.9686415725040029E-2</v>
      </c>
      <c r="J82" s="64"/>
      <c r="K82" s="64"/>
      <c r="L82" s="64"/>
      <c r="M82" s="64"/>
      <c r="N82" s="64"/>
      <c r="O82" s="64"/>
    </row>
    <row r="83" spans="1:15" x14ac:dyDescent="0.25">
      <c r="A83" s="6" t="s">
        <v>198</v>
      </c>
      <c r="B83" s="66" t="s">
        <v>174</v>
      </c>
      <c r="C83" s="6" t="s">
        <v>54</v>
      </c>
      <c r="D83" s="32">
        <v>30.206315690537402</v>
      </c>
      <c r="E83" s="9">
        <v>28000</v>
      </c>
      <c r="F83" s="9">
        <v>54</v>
      </c>
      <c r="G83" s="10">
        <v>1.2</v>
      </c>
      <c r="H83" s="10">
        <f t="shared" si="29"/>
        <v>3.122486150517154E-2</v>
      </c>
      <c r="J83" s="64"/>
      <c r="K83" s="64"/>
      <c r="L83" s="64"/>
      <c r="M83" s="64"/>
      <c r="N83" s="64"/>
      <c r="O83" s="64"/>
    </row>
    <row r="84" spans="1:15" x14ac:dyDescent="0.25">
      <c r="A84" s="6" t="s">
        <v>137</v>
      </c>
      <c r="B84" s="66" t="s">
        <v>174</v>
      </c>
      <c r="C84" s="6" t="s">
        <v>54</v>
      </c>
      <c r="D84" s="32">
        <v>92.953966939793801</v>
      </c>
      <c r="E84" s="9">
        <v>28000</v>
      </c>
      <c r="F84" s="9">
        <v>54</v>
      </c>
      <c r="G84" s="10">
        <v>1.2</v>
      </c>
      <c r="H84" s="10">
        <f t="shared" si="29"/>
        <v>4.0425540068857568E-2</v>
      </c>
      <c r="J84" s="64"/>
      <c r="K84" s="64"/>
      <c r="L84" s="64"/>
      <c r="M84" s="64"/>
      <c r="N84" s="64"/>
      <c r="O84" s="64"/>
    </row>
    <row r="85" spans="1:15" x14ac:dyDescent="0.25">
      <c r="A85" s="6" t="s">
        <v>138</v>
      </c>
      <c r="B85" s="66" t="s">
        <v>174</v>
      </c>
      <c r="C85" s="6" t="s">
        <v>54</v>
      </c>
      <c r="D85" s="32">
        <v>346.99158490291097</v>
      </c>
      <c r="E85" s="9">
        <v>28000</v>
      </c>
      <c r="F85" s="9">
        <v>54</v>
      </c>
      <c r="G85" s="10">
        <v>1.2</v>
      </c>
      <c r="H85" s="10">
        <f t="shared" si="29"/>
        <v>8.8363788799342577E-2</v>
      </c>
      <c r="J85" s="64"/>
      <c r="K85" s="64"/>
      <c r="L85" s="64"/>
      <c r="M85" s="64"/>
      <c r="N85" s="64"/>
      <c r="O85" s="64"/>
    </row>
    <row r="86" spans="1:15" x14ac:dyDescent="0.25">
      <c r="A86" s="6" t="s">
        <v>140</v>
      </c>
      <c r="B86" s="66" t="s">
        <v>174</v>
      </c>
      <c r="C86" s="6" t="s">
        <v>54</v>
      </c>
      <c r="D86" s="32">
        <f>1048.81496520074/2</f>
        <v>524.40748260037003</v>
      </c>
      <c r="E86" s="9">
        <v>28000</v>
      </c>
      <c r="F86" s="9">
        <v>54</v>
      </c>
      <c r="G86" s="10">
        <v>1.2</v>
      </c>
      <c r="H86" s="10">
        <f t="shared" si="29"/>
        <v>0.12708237673592365</v>
      </c>
      <c r="J86" s="64"/>
      <c r="K86" s="64"/>
      <c r="L86" s="64"/>
      <c r="M86" s="64"/>
      <c r="N86" s="64"/>
      <c r="O86" s="64"/>
    </row>
    <row r="87" spans="1:15" s="64" customFormat="1" x14ac:dyDescent="0.25">
      <c r="A87" s="95" t="s">
        <v>140</v>
      </c>
      <c r="B87" s="95" t="s">
        <v>174</v>
      </c>
      <c r="C87" s="95" t="s">
        <v>54</v>
      </c>
      <c r="D87" s="32">
        <f>1048.81496520074/2</f>
        <v>524.40748260037003</v>
      </c>
      <c r="E87" s="69">
        <v>28000</v>
      </c>
      <c r="F87" s="69">
        <v>54</v>
      </c>
      <c r="G87" s="70">
        <v>1.2</v>
      </c>
      <c r="H87" s="70">
        <f t="shared" ref="H87" si="34">(E87+(F87*(D87^G87)))/1000000</f>
        <v>0.12708237673592365</v>
      </c>
    </row>
    <row r="88" spans="1:15" x14ac:dyDescent="0.25">
      <c r="A88" s="6" t="s">
        <v>139</v>
      </c>
      <c r="B88" s="66" t="s">
        <v>174</v>
      </c>
      <c r="C88" s="6" t="s">
        <v>54</v>
      </c>
      <c r="D88" s="32">
        <v>2.8320223388926902</v>
      </c>
      <c r="E88" s="9">
        <v>28000</v>
      </c>
      <c r="F88" s="9">
        <v>54</v>
      </c>
      <c r="G88" s="10">
        <v>1.2</v>
      </c>
      <c r="H88" s="10">
        <f t="shared" si="29"/>
        <v>2.8188325777679421E-2</v>
      </c>
      <c r="J88" s="64"/>
      <c r="K88" s="64"/>
      <c r="L88" s="64"/>
      <c r="M88" s="64"/>
      <c r="N88" s="64"/>
      <c r="O88" s="64"/>
    </row>
    <row r="89" spans="1:15" x14ac:dyDescent="0.25">
      <c r="A89" s="6" t="s">
        <v>121</v>
      </c>
      <c r="B89" s="66" t="s">
        <v>174</v>
      </c>
      <c r="C89" s="6" t="s">
        <v>54</v>
      </c>
      <c r="D89" s="32">
        <v>72.976735053353707</v>
      </c>
      <c r="E89" s="9">
        <v>28000</v>
      </c>
      <c r="F89" s="9">
        <v>54</v>
      </c>
      <c r="G89" s="10">
        <v>1.2</v>
      </c>
      <c r="H89" s="10">
        <f t="shared" si="29"/>
        <v>3.7294265513523744E-2</v>
      </c>
      <c r="J89" s="64"/>
      <c r="K89" s="64"/>
      <c r="L89" s="64"/>
      <c r="M89" s="64"/>
      <c r="N89" s="64"/>
      <c r="O89" s="64"/>
    </row>
    <row r="90" spans="1:15" x14ac:dyDescent="0.25">
      <c r="A90" s="6" t="s">
        <v>112</v>
      </c>
      <c r="B90" s="66" t="s">
        <v>174</v>
      </c>
      <c r="C90" s="6" t="s">
        <v>54</v>
      </c>
      <c r="D90" s="32">
        <v>310.85857366952899</v>
      </c>
      <c r="E90" s="9">
        <v>28000</v>
      </c>
      <c r="F90" s="9">
        <v>54</v>
      </c>
      <c r="G90" s="10">
        <v>1.2</v>
      </c>
      <c r="H90" s="10">
        <f t="shared" si="29"/>
        <v>8.0901645361931826E-2</v>
      </c>
      <c r="J90" s="64"/>
      <c r="K90" s="64"/>
      <c r="L90" s="64"/>
      <c r="M90" s="64"/>
      <c r="N90" s="64"/>
      <c r="O90" s="64"/>
    </row>
    <row r="91" spans="1:15" x14ac:dyDescent="0.25">
      <c r="A91" s="6" t="s">
        <v>113</v>
      </c>
      <c r="B91" s="66" t="s">
        <v>174</v>
      </c>
      <c r="C91" s="6" t="s">
        <v>54</v>
      </c>
      <c r="D91" s="32">
        <v>0.129494505319939</v>
      </c>
      <c r="E91" s="9">
        <v>28000</v>
      </c>
      <c r="F91" s="9">
        <v>54</v>
      </c>
      <c r="G91" s="10">
        <v>1.2</v>
      </c>
      <c r="H91" s="10">
        <f t="shared" si="29"/>
        <v>2.8004646172916977E-2</v>
      </c>
      <c r="J91" s="64"/>
      <c r="K91" s="64"/>
      <c r="L91" s="64"/>
      <c r="M91" s="64"/>
      <c r="N91" s="64"/>
      <c r="O91" s="64"/>
    </row>
    <row r="92" spans="1:15" x14ac:dyDescent="0.25">
      <c r="A92" s="6" t="s">
        <v>132</v>
      </c>
      <c r="B92" s="66" t="s">
        <v>174</v>
      </c>
      <c r="C92" s="6" t="s">
        <v>54</v>
      </c>
      <c r="D92" s="32">
        <v>111.09450099920799</v>
      </c>
      <c r="E92" s="9">
        <v>28000</v>
      </c>
      <c r="F92" s="9">
        <v>54</v>
      </c>
      <c r="G92" s="10">
        <v>1.2</v>
      </c>
      <c r="H92" s="10">
        <f t="shared" si="29"/>
        <v>4.3389511515117191E-2</v>
      </c>
      <c r="J92" s="64"/>
      <c r="K92" s="64"/>
      <c r="L92" s="64"/>
      <c r="M92" s="64"/>
      <c r="N92" s="64"/>
      <c r="O92" s="64"/>
    </row>
    <row r="93" spans="1:15" x14ac:dyDescent="0.25">
      <c r="A93" s="6" t="s">
        <v>115</v>
      </c>
      <c r="B93" s="66" t="s">
        <v>174</v>
      </c>
      <c r="C93" s="6" t="s">
        <v>54</v>
      </c>
      <c r="D93" s="32">
        <v>66.345941986649706</v>
      </c>
      <c r="E93" s="9">
        <v>28000</v>
      </c>
      <c r="F93" s="9">
        <v>54</v>
      </c>
      <c r="G93" s="10">
        <v>1.2</v>
      </c>
      <c r="H93" s="10">
        <f t="shared" si="29"/>
        <v>3.6290314331820402E-2</v>
      </c>
      <c r="J93" s="64"/>
      <c r="K93" s="64"/>
      <c r="L93" s="64"/>
      <c r="M93" s="64"/>
      <c r="N93" s="64"/>
      <c r="O93" s="64"/>
    </row>
    <row r="94" spans="1:15" x14ac:dyDescent="0.25">
      <c r="A94" s="6" t="s">
        <v>199</v>
      </c>
      <c r="B94" s="66" t="s">
        <v>174</v>
      </c>
      <c r="C94" s="6" t="s">
        <v>54</v>
      </c>
      <c r="D94" s="32">
        <v>385.48988587882798</v>
      </c>
      <c r="E94" s="9">
        <v>28000</v>
      </c>
      <c r="F94" s="9">
        <v>54</v>
      </c>
      <c r="G94" s="10">
        <v>1.2</v>
      </c>
      <c r="H94" s="10">
        <f t="shared" si="29"/>
        <v>9.6487189633363848E-2</v>
      </c>
      <c r="J94" s="64"/>
      <c r="K94" s="64"/>
      <c r="L94" s="64"/>
      <c r="M94" s="64"/>
      <c r="N94" s="64"/>
      <c r="O94" s="64"/>
    </row>
    <row r="95" spans="1:15" x14ac:dyDescent="0.25">
      <c r="A95" s="6" t="s">
        <v>200</v>
      </c>
      <c r="B95" s="66" t="s">
        <v>174</v>
      </c>
      <c r="C95" s="6" t="s">
        <v>54</v>
      </c>
      <c r="D95" s="32">
        <v>655.106459530969</v>
      </c>
      <c r="E95" s="9">
        <v>28000</v>
      </c>
      <c r="F95" s="9">
        <v>54</v>
      </c>
      <c r="G95" s="10">
        <v>1.2</v>
      </c>
      <c r="H95" s="10">
        <f t="shared" si="29"/>
        <v>0.15741005383772222</v>
      </c>
    </row>
    <row r="96" spans="1:15" x14ac:dyDescent="0.25">
      <c r="A96" s="6" t="s">
        <v>117</v>
      </c>
      <c r="B96" s="66" t="s">
        <v>174</v>
      </c>
      <c r="C96" s="6" t="s">
        <v>54</v>
      </c>
      <c r="D96" s="32">
        <v>9.2201560150142505</v>
      </c>
      <c r="E96" s="9">
        <v>28000</v>
      </c>
      <c r="F96" s="9">
        <v>54</v>
      </c>
      <c r="G96" s="10">
        <v>1.2</v>
      </c>
      <c r="H96" s="10">
        <f t="shared" si="29"/>
        <v>2.8776389554246155E-2</v>
      </c>
    </row>
    <row r="97" spans="1:8" x14ac:dyDescent="0.25">
      <c r="A97" s="66" t="s">
        <v>201</v>
      </c>
      <c r="B97" s="66" t="s">
        <v>174</v>
      </c>
      <c r="C97" s="66" t="s">
        <v>54</v>
      </c>
      <c r="D97" s="32">
        <v>0.14397497366134199</v>
      </c>
      <c r="E97" s="69">
        <v>28000</v>
      </c>
      <c r="F97" s="69">
        <v>54</v>
      </c>
      <c r="G97" s="70">
        <v>1.2</v>
      </c>
      <c r="H97" s="70">
        <f t="shared" ref="H97:H104" si="35">(E97+(F97*(D97^G97)))/1000000</f>
        <v>2.8005276405557833E-2</v>
      </c>
    </row>
    <row r="98" spans="1:8" x14ac:dyDescent="0.25">
      <c r="A98" s="66" t="s">
        <v>202</v>
      </c>
      <c r="B98" s="66" t="s">
        <v>174</v>
      </c>
      <c r="C98" s="66" t="s">
        <v>54</v>
      </c>
      <c r="D98" s="32">
        <v>13.8636082048464</v>
      </c>
      <c r="E98" s="69">
        <v>28000</v>
      </c>
      <c r="F98" s="69">
        <v>54</v>
      </c>
      <c r="G98" s="70">
        <v>1.2</v>
      </c>
      <c r="H98" s="70">
        <f t="shared" si="35"/>
        <v>2.9266616938389743E-2</v>
      </c>
    </row>
    <row r="99" spans="1:8" x14ac:dyDescent="0.25">
      <c r="A99" s="66" t="s">
        <v>126</v>
      </c>
      <c r="B99" s="66" t="s">
        <v>174</v>
      </c>
      <c r="C99" s="66" t="s">
        <v>54</v>
      </c>
      <c r="D99" s="32">
        <v>368.19730585931302</v>
      </c>
      <c r="E99" s="69">
        <v>28000</v>
      </c>
      <c r="F99" s="69">
        <v>54</v>
      </c>
      <c r="G99" s="70">
        <v>1.2</v>
      </c>
      <c r="H99" s="70">
        <f t="shared" si="35"/>
        <v>9.2817233018102879E-2</v>
      </c>
    </row>
    <row r="100" spans="1:8" x14ac:dyDescent="0.25">
      <c r="A100" s="66" t="s">
        <v>127</v>
      </c>
      <c r="B100" s="66" t="s">
        <v>174</v>
      </c>
      <c r="C100" s="66" t="s">
        <v>54</v>
      </c>
      <c r="D100" s="32">
        <v>1.4363142318983999</v>
      </c>
      <c r="E100" s="69">
        <v>28000</v>
      </c>
      <c r="F100" s="69">
        <v>54</v>
      </c>
      <c r="G100" s="70">
        <v>1.2</v>
      </c>
      <c r="H100" s="70">
        <f t="shared" si="35"/>
        <v>2.8083385995193059E-2</v>
      </c>
    </row>
    <row r="101" spans="1:8" x14ac:dyDescent="0.25">
      <c r="A101" s="66" t="s">
        <v>110</v>
      </c>
      <c r="B101" s="66" t="s">
        <v>174</v>
      </c>
      <c r="C101" s="66" t="s">
        <v>54</v>
      </c>
      <c r="D101" s="32">
        <v>251.632630554526</v>
      </c>
      <c r="E101" s="69">
        <v>28000</v>
      </c>
      <c r="F101" s="69">
        <v>54</v>
      </c>
      <c r="G101" s="70">
        <v>1.2</v>
      </c>
      <c r="H101" s="70">
        <f t="shared" si="35"/>
        <v>6.9050089571599874E-2</v>
      </c>
    </row>
    <row r="102" spans="1:8" x14ac:dyDescent="0.25">
      <c r="A102" s="66" t="s">
        <v>141</v>
      </c>
      <c r="B102" s="66" t="s">
        <v>174</v>
      </c>
      <c r="C102" s="66" t="s">
        <v>54</v>
      </c>
      <c r="D102" s="32">
        <v>0.14639142075788</v>
      </c>
      <c r="E102" s="69">
        <v>28000</v>
      </c>
      <c r="F102" s="69">
        <v>54</v>
      </c>
      <c r="G102" s="70">
        <v>1.2</v>
      </c>
      <c r="H102" s="70">
        <f t="shared" si="35"/>
        <v>2.8005382852886358E-2</v>
      </c>
    </row>
    <row r="103" spans="1:8" x14ac:dyDescent="0.25">
      <c r="A103" s="66" t="s">
        <v>142</v>
      </c>
      <c r="B103" s="66" t="s">
        <v>174</v>
      </c>
      <c r="C103" s="66" t="s">
        <v>54</v>
      </c>
      <c r="D103" s="32">
        <v>166.051549163213</v>
      </c>
      <c r="E103" s="69">
        <v>28000</v>
      </c>
      <c r="F103" s="69">
        <v>54</v>
      </c>
      <c r="G103" s="70">
        <v>1.2</v>
      </c>
      <c r="H103" s="70">
        <f t="shared" si="35"/>
        <v>5.292787612377739E-2</v>
      </c>
    </row>
    <row r="104" spans="1:8" s="58" customFormat="1" x14ac:dyDescent="0.25">
      <c r="A104" s="66" t="s">
        <v>134</v>
      </c>
      <c r="B104" s="66" t="s">
        <v>174</v>
      </c>
      <c r="C104" s="66" t="s">
        <v>54</v>
      </c>
      <c r="D104" s="32">
        <v>16.7867689424729</v>
      </c>
      <c r="E104" s="69">
        <v>28000</v>
      </c>
      <c r="F104" s="69">
        <v>54</v>
      </c>
      <c r="G104" s="70">
        <v>1.2</v>
      </c>
      <c r="H104" s="70">
        <f t="shared" si="35"/>
        <v>2.9593508172304092E-2</v>
      </c>
    </row>
    <row r="105" spans="1:8" s="58" customFormat="1" x14ac:dyDescent="0.25">
      <c r="A105" s="6"/>
      <c r="B105" s="43" t="s">
        <v>146</v>
      </c>
      <c r="C105" s="6"/>
      <c r="D105" s="32"/>
      <c r="E105" s="9"/>
      <c r="F105" s="9"/>
      <c r="G105" s="10"/>
      <c r="H105" s="13">
        <f>SUM(H37:H104)</f>
        <v>4.9813786531205988</v>
      </c>
    </row>
    <row r="106" spans="1:8" s="58" customFormat="1" x14ac:dyDescent="0.25">
      <c r="A106" s="117" t="s">
        <v>58</v>
      </c>
      <c r="B106" s="118"/>
      <c r="C106" s="118"/>
      <c r="D106" s="118"/>
      <c r="E106" s="118"/>
      <c r="F106" s="118"/>
      <c r="G106" s="118"/>
      <c r="H106" s="119"/>
    </row>
    <row r="107" spans="1:8" s="58" customFormat="1" x14ac:dyDescent="0.25">
      <c r="A107" s="7" t="s">
        <v>154</v>
      </c>
      <c r="B107" s="6" t="s">
        <v>175</v>
      </c>
      <c r="C107" s="6" t="s">
        <v>59</v>
      </c>
      <c r="D107" s="32">
        <f>Q13</f>
        <v>2121.1399338635633</v>
      </c>
      <c r="E107" s="9">
        <v>17400</v>
      </c>
      <c r="F107" s="9">
        <v>79</v>
      </c>
      <c r="G107" s="10">
        <v>0.85</v>
      </c>
      <c r="H107" s="10">
        <f t="shared" ref="H107:H110" si="36">(E107+(F107*(D107^G107)))/1000000</f>
        <v>7.0514245129096029E-2</v>
      </c>
    </row>
    <row r="108" spans="1:8" s="64" customFormat="1" x14ac:dyDescent="0.25">
      <c r="A108" s="6" t="s">
        <v>155</v>
      </c>
      <c r="B108" s="52" t="s">
        <v>158</v>
      </c>
      <c r="C108" s="52" t="s">
        <v>159</v>
      </c>
      <c r="D108" s="55">
        <f>41610/1000</f>
        <v>41.61</v>
      </c>
      <c r="E108" s="54">
        <v>80000</v>
      </c>
      <c r="F108" s="54">
        <v>109000</v>
      </c>
      <c r="G108" s="55">
        <v>0.8</v>
      </c>
      <c r="H108" s="55">
        <f t="shared" si="36"/>
        <v>2.2317146192709947</v>
      </c>
    </row>
    <row r="109" spans="1:8" s="64" customFormat="1" x14ac:dyDescent="0.25">
      <c r="A109" s="6" t="s">
        <v>156</v>
      </c>
      <c r="B109" s="45" t="s">
        <v>158</v>
      </c>
      <c r="C109" s="45" t="s">
        <v>159</v>
      </c>
      <c r="D109" s="47">
        <f>551/1000</f>
        <v>0.55100000000000005</v>
      </c>
      <c r="E109" s="46">
        <v>80000</v>
      </c>
      <c r="F109" s="46">
        <v>109000</v>
      </c>
      <c r="G109" s="47">
        <v>0.8</v>
      </c>
      <c r="H109" s="55">
        <f t="shared" si="36"/>
        <v>0.14766245901295702</v>
      </c>
    </row>
    <row r="110" spans="1:8" s="64" customFormat="1" x14ac:dyDescent="0.25">
      <c r="A110" s="6" t="s">
        <v>157</v>
      </c>
      <c r="B110" s="48" t="s">
        <v>158</v>
      </c>
      <c r="C110" s="48" t="s">
        <v>159</v>
      </c>
      <c r="D110" s="50">
        <f>17740/1000</f>
        <v>17.739999999999998</v>
      </c>
      <c r="E110" s="49">
        <v>80000</v>
      </c>
      <c r="F110" s="49">
        <v>109000</v>
      </c>
      <c r="G110" s="50">
        <v>0.8</v>
      </c>
      <c r="H110" s="55">
        <f t="shared" si="36"/>
        <v>1.1679010360155546</v>
      </c>
    </row>
    <row r="111" spans="1:8" s="64" customFormat="1" x14ac:dyDescent="0.25">
      <c r="A111" s="6"/>
      <c r="B111" s="43" t="s">
        <v>146</v>
      </c>
      <c r="C111" s="6"/>
      <c r="D111" s="32"/>
      <c r="E111" s="9"/>
      <c r="F111" s="9"/>
      <c r="G111" s="10"/>
      <c r="H111" s="13">
        <f>SUM(H107:H110)</f>
        <v>3.6177923594286021</v>
      </c>
    </row>
    <row r="112" spans="1:8" s="64" customFormat="1" x14ac:dyDescent="0.25">
      <c r="A112" s="114" t="s">
        <v>166</v>
      </c>
      <c r="B112" s="115"/>
      <c r="C112" s="115"/>
      <c r="D112" s="115"/>
      <c r="E112" s="115"/>
      <c r="F112" s="115"/>
      <c r="G112" s="115"/>
      <c r="H112" s="116"/>
    </row>
    <row r="113" spans="1:9" s="64" customFormat="1" x14ac:dyDescent="0.25">
      <c r="A113" s="6" t="s">
        <v>49</v>
      </c>
      <c r="B113" s="66" t="s">
        <v>175</v>
      </c>
      <c r="C113" s="6" t="s">
        <v>59</v>
      </c>
      <c r="D113" s="32">
        <f t="shared" ref="D113:D120" si="37">Q14</f>
        <v>2121.1399338635633</v>
      </c>
      <c r="E113" s="9">
        <v>17400</v>
      </c>
      <c r="F113" s="9">
        <v>79</v>
      </c>
      <c r="G113" s="10">
        <v>0.85</v>
      </c>
      <c r="H113" s="10">
        <f t="shared" si="24"/>
        <v>7.0514245129096029E-2</v>
      </c>
    </row>
    <row r="114" spans="1:9" s="64" customFormat="1" x14ac:dyDescent="0.25">
      <c r="A114" s="6" t="s">
        <v>50</v>
      </c>
      <c r="B114" s="66" t="s">
        <v>175</v>
      </c>
      <c r="C114" s="6" t="s">
        <v>59</v>
      </c>
      <c r="D114" s="32">
        <f t="shared" si="37"/>
        <v>377.1533215738159</v>
      </c>
      <c r="E114" s="61">
        <v>17400</v>
      </c>
      <c r="F114" s="61">
        <v>79</v>
      </c>
      <c r="G114" s="62">
        <v>0.85</v>
      </c>
      <c r="H114" s="10">
        <f t="shared" si="24"/>
        <v>2.96367852276559E-2</v>
      </c>
    </row>
    <row r="115" spans="1:9" s="64" customFormat="1" x14ac:dyDescent="0.25">
      <c r="A115" s="6" t="s">
        <v>147</v>
      </c>
      <c r="B115" s="66" t="s">
        <v>175</v>
      </c>
      <c r="C115" s="6" t="s">
        <v>59</v>
      </c>
      <c r="D115" s="32">
        <f t="shared" si="37"/>
        <v>11487.886308478091</v>
      </c>
      <c r="E115" s="61">
        <v>17400</v>
      </c>
      <c r="F115" s="61">
        <v>79</v>
      </c>
      <c r="G115" s="62">
        <v>0.85</v>
      </c>
      <c r="H115" s="10">
        <f t="shared" si="24"/>
        <v>0.24067042590211118</v>
      </c>
    </row>
    <row r="116" spans="1:9" s="64" customFormat="1" x14ac:dyDescent="0.25">
      <c r="A116" s="6" t="s">
        <v>148</v>
      </c>
      <c r="B116" s="66" t="s">
        <v>175</v>
      </c>
      <c r="C116" s="6" t="s">
        <v>59</v>
      </c>
      <c r="D116" s="32">
        <f t="shared" si="37"/>
        <v>2021.67771474253</v>
      </c>
      <c r="E116" s="61">
        <v>17400</v>
      </c>
      <c r="F116" s="61">
        <v>79</v>
      </c>
      <c r="G116" s="62">
        <v>0.85</v>
      </c>
      <c r="H116" s="10">
        <f t="shared" ref="H116:H120" si="38">(E116+(F116*(D116^G116)))/1000000</f>
        <v>6.8389672967448259E-2</v>
      </c>
    </row>
    <row r="117" spans="1:9" s="64" customFormat="1" x14ac:dyDescent="0.25">
      <c r="A117" s="6" t="s">
        <v>149</v>
      </c>
      <c r="B117" s="66" t="s">
        <v>175</v>
      </c>
      <c r="C117" s="6" t="s">
        <v>59</v>
      </c>
      <c r="D117" s="32">
        <f t="shared" si="37"/>
        <v>169.88888359180893</v>
      </c>
      <c r="E117" s="61">
        <v>17400</v>
      </c>
      <c r="F117" s="61">
        <v>79</v>
      </c>
      <c r="G117" s="62">
        <v>0.85</v>
      </c>
      <c r="H117" s="10">
        <f t="shared" si="38"/>
        <v>2.3612512983289514E-2</v>
      </c>
    </row>
    <row r="118" spans="1:9" s="64" customFormat="1" x14ac:dyDescent="0.25">
      <c r="A118" s="6" t="s">
        <v>150</v>
      </c>
      <c r="B118" s="66" t="s">
        <v>175</v>
      </c>
      <c r="C118" s="6" t="s">
        <v>59</v>
      </c>
      <c r="D118" s="32">
        <f t="shared" si="37"/>
        <v>3333.2198960713135</v>
      </c>
      <c r="E118" s="61">
        <v>17400</v>
      </c>
      <c r="F118" s="61">
        <v>79</v>
      </c>
      <c r="G118" s="62">
        <v>0.85</v>
      </c>
      <c r="H118" s="10">
        <f t="shared" si="38"/>
        <v>9.5394048094919928E-2</v>
      </c>
    </row>
    <row r="119" spans="1:9" s="64" customFormat="1" x14ac:dyDescent="0.25">
      <c r="A119" s="6" t="s">
        <v>151</v>
      </c>
      <c r="B119" s="66" t="s">
        <v>175</v>
      </c>
      <c r="C119" s="6" t="s">
        <v>59</v>
      </c>
      <c r="D119" s="32">
        <f t="shared" si="37"/>
        <v>423.79554234174873</v>
      </c>
      <c r="E119" s="61">
        <v>17400</v>
      </c>
      <c r="F119" s="61">
        <v>79</v>
      </c>
      <c r="G119" s="62">
        <v>0.85</v>
      </c>
      <c r="H119" s="10">
        <f t="shared" si="38"/>
        <v>3.0911700744010343E-2</v>
      </c>
    </row>
    <row r="120" spans="1:9" x14ac:dyDescent="0.25">
      <c r="A120" s="6" t="s">
        <v>152</v>
      </c>
      <c r="B120" s="66" t="s">
        <v>175</v>
      </c>
      <c r="C120" s="6" t="s">
        <v>59</v>
      </c>
      <c r="D120" s="32">
        <f t="shared" si="37"/>
        <v>3333.2198960713135</v>
      </c>
      <c r="E120" s="61">
        <v>17400</v>
      </c>
      <c r="F120" s="61">
        <v>79</v>
      </c>
      <c r="G120" s="62">
        <v>0.85</v>
      </c>
      <c r="H120" s="10">
        <f t="shared" si="38"/>
        <v>9.5394048094919928E-2</v>
      </c>
    </row>
    <row r="121" spans="1:9" x14ac:dyDescent="0.25">
      <c r="A121" s="6"/>
      <c r="B121" s="43" t="s">
        <v>146</v>
      </c>
      <c r="C121" s="6"/>
      <c r="D121" s="32"/>
      <c r="E121" s="9"/>
      <c r="F121" s="9"/>
      <c r="G121" s="10"/>
      <c r="H121" s="13">
        <f>SUM(H113:H120)</f>
        <v>0.65452343914345112</v>
      </c>
    </row>
    <row r="122" spans="1:9" x14ac:dyDescent="0.25">
      <c r="A122" s="114" t="s">
        <v>165</v>
      </c>
      <c r="B122" s="115"/>
      <c r="C122" s="115"/>
      <c r="D122" s="115"/>
      <c r="E122" s="115"/>
      <c r="F122" s="115"/>
      <c r="G122" s="115"/>
      <c r="H122" s="116"/>
    </row>
    <row r="123" spans="1:9" x14ac:dyDescent="0.25">
      <c r="A123" s="66" t="s">
        <v>168</v>
      </c>
      <c r="B123" s="66" t="s">
        <v>175</v>
      </c>
      <c r="C123" s="66" t="s">
        <v>59</v>
      </c>
      <c r="D123" s="70">
        <f>Q22</f>
        <v>2291.5176888312008</v>
      </c>
      <c r="E123" s="69">
        <v>17400</v>
      </c>
      <c r="F123" s="69">
        <v>79</v>
      </c>
      <c r="G123" s="70">
        <v>0.85</v>
      </c>
      <c r="H123" s="70">
        <f t="shared" ref="H123" si="39">(E123+(F123*(D123^G123)))/1000000</f>
        <v>7.4119425487049653E-2</v>
      </c>
      <c r="I123" s="65" t="s">
        <v>176</v>
      </c>
    </row>
    <row r="124" spans="1:9" x14ac:dyDescent="0.25">
      <c r="A124" s="66" t="s">
        <v>171</v>
      </c>
      <c r="B124" s="66" t="s">
        <v>169</v>
      </c>
      <c r="C124" s="66" t="s">
        <v>170</v>
      </c>
      <c r="D124" s="70">
        <v>1.165</v>
      </c>
      <c r="E124" s="69">
        <v>130</v>
      </c>
      <c r="F124" s="69">
        <v>440</v>
      </c>
      <c r="G124" s="70">
        <v>1.8</v>
      </c>
      <c r="H124" s="70">
        <f>(E124+(F124*(D124^G124)))*I124/1000000</f>
        <v>7.0921438893885485E-3</v>
      </c>
      <c r="I124" s="74">
        <v>10</v>
      </c>
    </row>
    <row r="125" spans="1:9" x14ac:dyDescent="0.25">
      <c r="A125" s="60"/>
      <c r="B125" s="59" t="s">
        <v>146</v>
      </c>
      <c r="C125" s="60"/>
      <c r="D125" s="32"/>
      <c r="E125" s="61"/>
      <c r="F125" s="61"/>
      <c r="G125" s="62"/>
      <c r="H125" s="63">
        <f>SUM(H123:H124)</f>
        <v>8.1211569376438197E-2</v>
      </c>
      <c r="I125" s="58"/>
    </row>
    <row r="126" spans="1:9" x14ac:dyDescent="0.25">
      <c r="A126" s="114" t="s">
        <v>178</v>
      </c>
      <c r="B126" s="115"/>
      <c r="C126" s="115"/>
      <c r="D126" s="115"/>
      <c r="E126" s="115"/>
      <c r="F126" s="115"/>
      <c r="G126" s="115"/>
      <c r="H126" s="116"/>
      <c r="I126" s="64"/>
    </row>
    <row r="127" spans="1:9" x14ac:dyDescent="0.25">
      <c r="A127" s="66" t="s">
        <v>168</v>
      </c>
      <c r="B127" s="66" t="s">
        <v>175</v>
      </c>
      <c r="C127" s="66" t="s">
        <v>59</v>
      </c>
      <c r="D127" s="70">
        <f>Q23</f>
        <v>413.43438780916438</v>
      </c>
      <c r="E127" s="69">
        <v>17400</v>
      </c>
      <c r="F127" s="69">
        <v>79</v>
      </c>
      <c r="G127" s="70">
        <v>0.85</v>
      </c>
      <c r="H127" s="70">
        <f t="shared" ref="H127" si="40">(E127+(F127*(D127^G127)))/1000000</f>
        <v>3.0630391587857311E-2</v>
      </c>
      <c r="I127" s="65" t="s">
        <v>176</v>
      </c>
    </row>
    <row r="128" spans="1:9" x14ac:dyDescent="0.25">
      <c r="A128" s="66" t="s">
        <v>171</v>
      </c>
      <c r="B128" s="66" t="s">
        <v>169</v>
      </c>
      <c r="C128" s="66" t="s">
        <v>170</v>
      </c>
      <c r="D128" s="70">
        <v>1.0497000000000001</v>
      </c>
      <c r="E128" s="69">
        <v>130</v>
      </c>
      <c r="F128" s="69">
        <v>440</v>
      </c>
      <c r="G128" s="70">
        <v>1.8</v>
      </c>
      <c r="H128" s="70">
        <f>(E128+(F128*(D128^G128)))*I128/1000000</f>
        <v>1.2202847391639096E-3</v>
      </c>
      <c r="I128" s="74">
        <v>2</v>
      </c>
    </row>
    <row r="129" spans="1:9" x14ac:dyDescent="0.25">
      <c r="A129" s="66"/>
      <c r="B129" s="65" t="s">
        <v>146</v>
      </c>
      <c r="C129" s="66"/>
      <c r="D129" s="32"/>
      <c r="E129" s="69"/>
      <c r="F129" s="69"/>
      <c r="G129" s="70"/>
      <c r="H129" s="71">
        <f>SUM(H127:H128)</f>
        <v>3.1850676327021224E-2</v>
      </c>
      <c r="I129" s="64"/>
    </row>
    <row r="130" spans="1:9" x14ac:dyDescent="0.25">
      <c r="A130" s="114" t="s">
        <v>179</v>
      </c>
      <c r="B130" s="115"/>
      <c r="C130" s="115"/>
      <c r="D130" s="115"/>
      <c r="E130" s="115"/>
      <c r="F130" s="115"/>
      <c r="G130" s="115"/>
      <c r="H130" s="116"/>
      <c r="I130" s="64"/>
    </row>
    <row r="131" spans="1:9" x14ac:dyDescent="0.25">
      <c r="A131" s="66" t="s">
        <v>168</v>
      </c>
      <c r="B131" s="66" t="s">
        <v>175</v>
      </c>
      <c r="C131" s="66" t="s">
        <v>59</v>
      </c>
      <c r="D131" s="70">
        <f>Q24</f>
        <v>215.9206231889259</v>
      </c>
      <c r="E131" s="69">
        <v>17400</v>
      </c>
      <c r="F131" s="69">
        <v>79</v>
      </c>
      <c r="G131" s="70">
        <v>0.85</v>
      </c>
      <c r="H131" s="70">
        <f t="shared" ref="H131" si="41">(E131+(F131*(D131^G131)))/1000000</f>
        <v>2.5016879719123582E-2</v>
      </c>
      <c r="I131" s="65" t="s">
        <v>176</v>
      </c>
    </row>
    <row r="132" spans="1:9" x14ac:dyDescent="0.25">
      <c r="A132" s="66" t="s">
        <v>171</v>
      </c>
      <c r="B132" s="66" t="s">
        <v>169</v>
      </c>
      <c r="C132" s="66" t="s">
        <v>170</v>
      </c>
      <c r="D132" s="70">
        <v>1.097</v>
      </c>
      <c r="E132" s="69">
        <v>130</v>
      </c>
      <c r="F132" s="69">
        <v>440</v>
      </c>
      <c r="G132" s="70">
        <v>1.8</v>
      </c>
      <c r="H132" s="70">
        <f>(E132+(F132*(D132^G132)))*I132/1000000</f>
        <v>6.4978603369831634E-4</v>
      </c>
      <c r="I132" s="74">
        <v>1</v>
      </c>
    </row>
    <row r="133" spans="1:9" x14ac:dyDescent="0.25">
      <c r="A133" s="66"/>
      <c r="B133" s="65" t="s">
        <v>146</v>
      </c>
      <c r="C133" s="66"/>
      <c r="D133" s="32"/>
      <c r="E133" s="69"/>
      <c r="F133" s="69"/>
      <c r="G133" s="70"/>
      <c r="H133" s="71">
        <f>SUM(H131:H132)</f>
        <v>2.56666657528219E-2</v>
      </c>
      <c r="I133" s="64"/>
    </row>
    <row r="134" spans="1:9" x14ac:dyDescent="0.25">
      <c r="A134" s="114" t="s">
        <v>180</v>
      </c>
      <c r="B134" s="115"/>
      <c r="C134" s="115"/>
      <c r="D134" s="115"/>
      <c r="E134" s="115"/>
      <c r="F134" s="115"/>
      <c r="G134" s="115"/>
      <c r="H134" s="116"/>
      <c r="I134" s="64"/>
    </row>
    <row r="135" spans="1:9" x14ac:dyDescent="0.25">
      <c r="A135" s="66" t="s">
        <v>168</v>
      </c>
      <c r="B135" s="66" t="s">
        <v>175</v>
      </c>
      <c r="C135" s="66" t="s">
        <v>59</v>
      </c>
      <c r="D135" s="70">
        <f>Q25</f>
        <v>539.05244163521672</v>
      </c>
      <c r="E135" s="69">
        <v>17400</v>
      </c>
      <c r="F135" s="69">
        <v>79</v>
      </c>
      <c r="G135" s="70">
        <v>0.85</v>
      </c>
      <c r="H135" s="70">
        <f t="shared" ref="H135" si="42">(E135+(F135*(D135^G135)))/1000000</f>
        <v>3.397728699111361E-2</v>
      </c>
      <c r="I135" s="65" t="s">
        <v>176</v>
      </c>
    </row>
    <row r="136" spans="1:9" x14ac:dyDescent="0.25">
      <c r="A136" s="66" t="s">
        <v>171</v>
      </c>
      <c r="B136" s="66" t="s">
        <v>169</v>
      </c>
      <c r="C136" s="66" t="s">
        <v>170</v>
      </c>
      <c r="D136" s="70">
        <v>1.3725000000000001</v>
      </c>
      <c r="E136" s="69">
        <v>130</v>
      </c>
      <c r="F136" s="69">
        <v>440</v>
      </c>
      <c r="G136" s="70">
        <v>1.8</v>
      </c>
      <c r="H136" s="70">
        <f>(E136+(F136*(D136^G136)))*I136/1000000</f>
        <v>1.815983214984363E-3</v>
      </c>
      <c r="I136" s="74">
        <v>2</v>
      </c>
    </row>
    <row r="137" spans="1:9" x14ac:dyDescent="0.25">
      <c r="A137" s="66"/>
      <c r="B137" s="65" t="s">
        <v>146</v>
      </c>
      <c r="C137" s="66"/>
      <c r="D137" s="32"/>
      <c r="E137" s="69"/>
      <c r="F137" s="69"/>
      <c r="G137" s="70"/>
      <c r="H137" s="71">
        <f>SUM(H135:H136)</f>
        <v>3.5793270206097974E-2</v>
      </c>
    </row>
    <row r="138" spans="1:9" x14ac:dyDescent="0.25">
      <c r="A138" s="4"/>
      <c r="B138" s="4" t="s">
        <v>153</v>
      </c>
      <c r="C138" s="4"/>
      <c r="D138" s="11"/>
      <c r="E138" s="12"/>
      <c r="F138" s="12"/>
      <c r="G138" s="12"/>
      <c r="H138" s="13">
        <f>H30+H35+H105+H111+H121+H125+H129+H133+H137</f>
        <v>31.197606478548323</v>
      </c>
    </row>
    <row r="140" spans="1:9" x14ac:dyDescent="0.25">
      <c r="A140" s="28" t="s">
        <v>34</v>
      </c>
      <c r="B140" s="24">
        <v>532.9</v>
      </c>
    </row>
    <row r="141" spans="1:9" x14ac:dyDescent="0.25">
      <c r="A141" s="28" t="s">
        <v>245</v>
      </c>
      <c r="B141" s="24">
        <v>803.6</v>
      </c>
    </row>
    <row r="142" spans="1:9" x14ac:dyDescent="0.25">
      <c r="A142" s="28" t="s">
        <v>246</v>
      </c>
      <c r="B142" s="24">
        <f>H138*B141/B140</f>
        <v>47.045217801016015</v>
      </c>
    </row>
    <row r="143" spans="1:9" x14ac:dyDescent="0.25">
      <c r="A143" s="30" t="s">
        <v>60</v>
      </c>
      <c r="B143" s="27">
        <f>(B142)*((1+C3)+(C2+C5+C4+C6+C7+C8)/C9)*C9</f>
        <v>175.94911457579994</v>
      </c>
    </row>
    <row r="144" spans="1:9" x14ac:dyDescent="0.25">
      <c r="A144" s="30" t="s">
        <v>61</v>
      </c>
      <c r="B144" s="26">
        <f>0.3*B143</f>
        <v>52.784734372739983</v>
      </c>
    </row>
    <row r="145" spans="1:3" x14ac:dyDescent="0.25">
      <c r="A145" s="30" t="s">
        <v>62</v>
      </c>
      <c r="B145" s="26">
        <f>0.3*SUM(B143:B144)</f>
        <v>68.620154684561982</v>
      </c>
    </row>
    <row r="146" spans="1:3" x14ac:dyDescent="0.25">
      <c r="A146" s="30" t="s">
        <v>63</v>
      </c>
      <c r="B146" s="26">
        <f>0.1*SUM(B143:B144)</f>
        <v>22.873384894853995</v>
      </c>
      <c r="C146" s="36"/>
    </row>
    <row r="147" spans="1:3" x14ac:dyDescent="0.25">
      <c r="A147" s="30" t="s">
        <v>64</v>
      </c>
      <c r="B147" s="27">
        <f>B143*(1+0.3)*(1+0.3+0.1)</f>
        <v>320.22738852795595</v>
      </c>
      <c r="C147" s="37">
        <f>B147/B142</f>
        <v>6.8068000000000026</v>
      </c>
    </row>
    <row r="148" spans="1:3" x14ac:dyDescent="0.25">
      <c r="A148" s="30" t="s">
        <v>67</v>
      </c>
      <c r="B148" s="26">
        <f>B147*0.15</f>
        <v>48.03410827919339</v>
      </c>
    </row>
    <row r="149" spans="1:3" x14ac:dyDescent="0.25">
      <c r="A149" s="30" t="s">
        <v>65</v>
      </c>
      <c r="B149" s="35">
        <f>B147+B148</f>
        <v>368.26149680714934</v>
      </c>
    </row>
    <row r="150" spans="1:3" x14ac:dyDescent="0.25">
      <c r="A150" s="30" t="s">
        <v>27</v>
      </c>
      <c r="B150" s="16">
        <v>25</v>
      </c>
    </row>
    <row r="151" spans="1:3" x14ac:dyDescent="0.25">
      <c r="A151" s="30" t="s">
        <v>28</v>
      </c>
      <c r="B151" s="16">
        <v>0.12</v>
      </c>
    </row>
    <row r="152" spans="1:3" x14ac:dyDescent="0.25">
      <c r="A152" s="30" t="s">
        <v>29</v>
      </c>
      <c r="B152" s="19">
        <f>(B151*((1+B151)^B150))/(((1+B151)^B150)-1)</f>
        <v>0.12749996980950773</v>
      </c>
    </row>
    <row r="153" spans="1:3" x14ac:dyDescent="0.25">
      <c r="A153" s="30" t="s">
        <v>66</v>
      </c>
      <c r="B153" s="26">
        <f>B152*B149</f>
        <v>46.953329724915669</v>
      </c>
    </row>
    <row r="154" spans="1:3" x14ac:dyDescent="0.25">
      <c r="A154" s="29" t="s">
        <v>36</v>
      </c>
      <c r="B154" s="20">
        <f>B153</f>
        <v>46.953329724915669</v>
      </c>
    </row>
  </sheetData>
  <mergeCells count="9">
    <mergeCell ref="A122:H122"/>
    <mergeCell ref="A126:H126"/>
    <mergeCell ref="A130:H130"/>
    <mergeCell ref="A134:H134"/>
    <mergeCell ref="A13:H13"/>
    <mergeCell ref="A36:H36"/>
    <mergeCell ref="A106:H106"/>
    <mergeCell ref="A112:H112"/>
    <mergeCell ref="A31:H31"/>
  </mergeCells>
  <phoneticPr fontId="9" type="noConversion"/>
  <conditionalFormatting sqref="D37:D104">
    <cfRule type="cellIs" dxfId="0" priority="1" operator="greaterThan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20"/>
  <sheetViews>
    <sheetView zoomScale="120" zoomScaleNormal="120" workbookViewId="0">
      <selection activeCell="B25" sqref="B25"/>
    </sheetView>
  </sheetViews>
  <sheetFormatPr defaultRowHeight="15" x14ac:dyDescent="0.25"/>
  <cols>
    <col min="1" max="1" width="16" bestFit="1" customWidth="1"/>
    <col min="2" max="2" width="34.42578125" customWidth="1"/>
    <col min="3" max="3" width="8.7109375" bestFit="1" customWidth="1"/>
  </cols>
  <sheetData>
    <row r="4" spans="1:3" x14ac:dyDescent="0.25">
      <c r="A4" s="4" t="s">
        <v>71</v>
      </c>
      <c r="B4" s="4" t="s">
        <v>72</v>
      </c>
      <c r="C4" s="17" t="s">
        <v>37</v>
      </c>
    </row>
    <row r="5" spans="1:3" x14ac:dyDescent="0.25">
      <c r="A5" s="120" t="s">
        <v>68</v>
      </c>
      <c r="B5" s="120"/>
      <c r="C5" s="120"/>
    </row>
    <row r="6" spans="1:3" x14ac:dyDescent="0.25">
      <c r="A6" s="14" t="s">
        <v>81</v>
      </c>
      <c r="B6" s="14" t="s">
        <v>93</v>
      </c>
      <c r="C6" s="14">
        <f>50000*9*9/1000000</f>
        <v>4.05</v>
      </c>
    </row>
    <row r="7" spans="1:3" x14ac:dyDescent="0.25">
      <c r="A7" s="14" t="s">
        <v>69</v>
      </c>
      <c r="B7" s="14" t="s">
        <v>70</v>
      </c>
      <c r="C7" s="24">
        <f>0.25*C6</f>
        <v>1.0125</v>
      </c>
    </row>
    <row r="8" spans="1:3" x14ac:dyDescent="0.25">
      <c r="A8" s="14" t="s">
        <v>73</v>
      </c>
      <c r="B8" s="14" t="s">
        <v>74</v>
      </c>
      <c r="C8" s="24">
        <f>0.45*(C6+C7)</f>
        <v>2.2781250000000002</v>
      </c>
    </row>
    <row r="9" spans="1:3" x14ac:dyDescent="0.25">
      <c r="A9" s="114"/>
      <c r="B9" s="116"/>
      <c r="C9" s="20">
        <f>SUM(C6:C8)</f>
        <v>7.3406250000000002</v>
      </c>
    </row>
    <row r="10" spans="1:3" x14ac:dyDescent="0.25">
      <c r="A10" s="120" t="s">
        <v>75</v>
      </c>
      <c r="B10" s="120"/>
      <c r="C10" s="120"/>
    </row>
    <row r="11" spans="1:3" x14ac:dyDescent="0.25">
      <c r="A11" s="14" t="s">
        <v>76</v>
      </c>
      <c r="B11" s="14" t="s">
        <v>77</v>
      </c>
      <c r="C11" s="26">
        <f>0.03*CAPEX!B143</f>
        <v>5.2784734372739983</v>
      </c>
    </row>
    <row r="12" spans="1:3" x14ac:dyDescent="0.25">
      <c r="A12" s="120"/>
      <c r="B12" s="120"/>
      <c r="C12" s="34">
        <f>C11</f>
        <v>5.2784734372739983</v>
      </c>
    </row>
    <row r="13" spans="1:3" x14ac:dyDescent="0.25">
      <c r="A13" s="114" t="s">
        <v>79</v>
      </c>
      <c r="B13" s="115"/>
      <c r="C13" s="116"/>
    </row>
    <row r="14" spans="1:3" x14ac:dyDescent="0.25">
      <c r="A14" s="14" t="s">
        <v>80</v>
      </c>
      <c r="B14" s="14" t="s">
        <v>82</v>
      </c>
      <c r="C14" s="24">
        <f>0.65*(C6+C7+C8+C11)</f>
        <v>8.2024139842280981</v>
      </c>
    </row>
    <row r="15" spans="1:3" x14ac:dyDescent="0.25">
      <c r="A15" s="14" t="s">
        <v>83</v>
      </c>
      <c r="B15" s="14" t="s">
        <v>85</v>
      </c>
      <c r="C15" s="24">
        <f>0.02*(CAPEX!B143+CAPEX!B144)</f>
        <v>4.5746769789707988</v>
      </c>
    </row>
    <row r="16" spans="1:3" x14ac:dyDescent="0.25">
      <c r="A16" s="120"/>
      <c r="B16" s="120"/>
      <c r="C16" s="34">
        <f>SUM(C14:C15)</f>
        <v>12.777090963198898</v>
      </c>
    </row>
    <row r="17" spans="1:3" x14ac:dyDescent="0.25">
      <c r="A17" s="114" t="s">
        <v>86</v>
      </c>
      <c r="B17" s="115"/>
      <c r="C17" s="116"/>
    </row>
    <row r="18" spans="1:3" x14ac:dyDescent="0.25">
      <c r="A18" s="14" t="s">
        <v>87</v>
      </c>
      <c r="B18" s="14" t="s">
        <v>88</v>
      </c>
      <c r="C18" s="26">
        <f>0.06*CAPEX!B148</f>
        <v>2.8820464967516033</v>
      </c>
    </row>
    <row r="19" spans="1:3" x14ac:dyDescent="0.25">
      <c r="A19" s="120"/>
      <c r="B19" s="120"/>
      <c r="C19" s="20">
        <f>C18</f>
        <v>2.8820464967516033</v>
      </c>
    </row>
    <row r="20" spans="1:3" x14ac:dyDescent="0.25">
      <c r="A20" s="114" t="s">
        <v>91</v>
      </c>
      <c r="B20" s="116"/>
      <c r="C20" s="20">
        <f>C9+C12+C16+C19</f>
        <v>28.278235897224498</v>
      </c>
    </row>
  </sheetData>
  <mergeCells count="9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120" zoomScaleNormal="120" workbookViewId="0">
      <selection activeCell="G20" sqref="G20"/>
    </sheetView>
  </sheetViews>
  <sheetFormatPr defaultRowHeight="15" x14ac:dyDescent="0.25"/>
  <cols>
    <col min="1" max="1" width="17.85546875" bestFit="1" customWidth="1"/>
    <col min="2" max="2" width="13" bestFit="1" customWidth="1"/>
    <col min="3" max="3" width="8.28515625" bestFit="1" customWidth="1"/>
    <col min="4" max="4" width="10.28515625" bestFit="1" customWidth="1"/>
    <col min="5" max="5" width="8.140625" bestFit="1" customWidth="1"/>
  </cols>
  <sheetData>
    <row r="1" spans="1:7" s="64" customFormat="1" x14ac:dyDescent="0.25">
      <c r="A1" s="121" t="s">
        <v>214</v>
      </c>
      <c r="B1" s="121"/>
      <c r="C1" s="121"/>
      <c r="D1" s="71">
        <v>56724.823237051998</v>
      </c>
      <c r="E1" s="17" t="s">
        <v>213</v>
      </c>
    </row>
    <row r="2" spans="1:7" s="64" customFormat="1" x14ac:dyDescent="0.25"/>
    <row r="4" spans="1:7" x14ac:dyDescent="0.25">
      <c r="A4" s="40" t="s">
        <v>101</v>
      </c>
      <c r="B4" s="40" t="s">
        <v>102</v>
      </c>
      <c r="C4" s="40" t="s">
        <v>213</v>
      </c>
      <c r="D4" s="2" t="s">
        <v>103</v>
      </c>
      <c r="E4" s="2" t="s">
        <v>215</v>
      </c>
      <c r="F4" s="2" t="s">
        <v>37</v>
      </c>
    </row>
    <row r="5" spans="1:7" ht="18" x14ac:dyDescent="0.35">
      <c r="A5" s="3" t="s">
        <v>155</v>
      </c>
      <c r="B5" s="6" t="s">
        <v>212</v>
      </c>
      <c r="C5" s="41">
        <v>8.1000000000000013E-3</v>
      </c>
      <c r="D5" s="72">
        <v>286000</v>
      </c>
      <c r="E5" s="103">
        <f>C5*D5</f>
        <v>2316.6000000000004</v>
      </c>
      <c r="F5" s="22">
        <f>E5/10^6*8000</f>
        <v>18.532800000000002</v>
      </c>
      <c r="G5" t="s">
        <v>217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33"/>
  <sheetViews>
    <sheetView zoomScale="120" zoomScaleNormal="120" workbookViewId="0">
      <selection activeCell="F17" sqref="F17"/>
    </sheetView>
  </sheetViews>
  <sheetFormatPr defaultColWidth="8.85546875" defaultRowHeight="15" x14ac:dyDescent="0.25"/>
  <cols>
    <col min="1" max="1" width="8.85546875" style="15"/>
    <col min="2" max="2" width="23.28515625" style="15" bestFit="1" customWidth="1"/>
    <col min="3" max="3" width="9.28515625" style="15" bestFit="1" customWidth="1"/>
    <col min="4" max="4" width="8.7109375" style="42" bestFit="1" customWidth="1"/>
    <col min="5" max="5" width="12.7109375" style="15" bestFit="1" customWidth="1"/>
    <col min="6" max="6" width="9.42578125" style="15" bestFit="1" customWidth="1"/>
    <col min="7" max="7" width="9.85546875" style="15" bestFit="1" customWidth="1"/>
    <col min="8" max="8" width="69.42578125" style="15" bestFit="1" customWidth="1"/>
    <col min="9" max="9" width="8.85546875" style="15"/>
    <col min="10" max="10" width="11.28515625" style="15" bestFit="1" customWidth="1"/>
    <col min="11" max="16384" width="8.85546875" style="15"/>
  </cols>
  <sheetData>
    <row r="3" spans="2:13" x14ac:dyDescent="0.25">
      <c r="B3" s="65" t="s">
        <v>23</v>
      </c>
      <c r="C3" s="65" t="s">
        <v>30</v>
      </c>
      <c r="D3" s="65" t="s">
        <v>31</v>
      </c>
      <c r="E3" s="65" t="s">
        <v>32</v>
      </c>
      <c r="F3" s="65" t="s">
        <v>24</v>
      </c>
      <c r="G3" s="65" t="s">
        <v>250</v>
      </c>
      <c r="H3" s="2" t="s">
        <v>92</v>
      </c>
    </row>
    <row r="4" spans="2:13" x14ac:dyDescent="0.25">
      <c r="B4" s="114" t="s">
        <v>218</v>
      </c>
      <c r="C4" s="115"/>
      <c r="D4" s="115"/>
      <c r="E4" s="115"/>
      <c r="F4" s="115"/>
      <c r="G4" s="115"/>
      <c r="H4" s="116"/>
      <c r="I4" s="1"/>
      <c r="J4" s="99"/>
      <c r="K4" s="100" t="s">
        <v>241</v>
      </c>
      <c r="L4" s="100" t="s">
        <v>240</v>
      </c>
      <c r="M4" s="100" t="s">
        <v>103</v>
      </c>
    </row>
    <row r="5" spans="2:13" x14ac:dyDescent="0.25">
      <c r="B5" s="18" t="s">
        <v>227</v>
      </c>
      <c r="C5" s="18" t="s">
        <v>33</v>
      </c>
      <c r="D5" s="72">
        <f>16042.9000854492/1000</f>
        <v>16.042900085449201</v>
      </c>
      <c r="E5" s="76">
        <v>524</v>
      </c>
      <c r="F5" s="76">
        <f t="shared" ref="F5" si="0">E5*D5</f>
        <v>8406.4796447753815</v>
      </c>
      <c r="G5" s="76">
        <f>F5*C30/C29</f>
        <v>8702.1087756556699</v>
      </c>
      <c r="H5" s="100" t="s">
        <v>274</v>
      </c>
      <c r="I5" s="1"/>
      <c r="J5" s="97" t="s">
        <v>239</v>
      </c>
      <c r="K5" s="100">
        <f>13.4/1000</f>
        <v>1.34E-2</v>
      </c>
      <c r="L5" s="82">
        <f>K5/1.06</f>
        <v>1.2641509433962264E-2</v>
      </c>
      <c r="M5" s="82">
        <f>L5*55</f>
        <v>0.69528301886792454</v>
      </c>
    </row>
    <row r="6" spans="2:13" x14ac:dyDescent="0.25">
      <c r="B6" s="18" t="s">
        <v>228</v>
      </c>
      <c r="C6" s="18" t="s">
        <v>33</v>
      </c>
      <c r="D6" s="72">
        <f>22400/1000</f>
        <v>22.4</v>
      </c>
      <c r="E6" s="76">
        <v>123.25</v>
      </c>
      <c r="F6" s="76">
        <f t="shared" ref="F6" si="1">E6*D6</f>
        <v>2760.7999999999997</v>
      </c>
      <c r="G6" s="76">
        <f>F6*C30/C27</f>
        <v>3678.6252362792238</v>
      </c>
      <c r="H6" s="100" t="s">
        <v>244</v>
      </c>
    </row>
    <row r="7" spans="2:13" x14ac:dyDescent="0.25">
      <c r="B7" s="80" t="s">
        <v>229</v>
      </c>
      <c r="C7" s="18" t="s">
        <v>33</v>
      </c>
      <c r="D7" s="72">
        <f>26869.2727802304/1000</f>
        <v>26.8692727802304</v>
      </c>
      <c r="E7" s="76">
        <v>1293</v>
      </c>
      <c r="F7" s="76">
        <f t="shared" ref="F7:F8" si="2">E7*D7</f>
        <v>34741.969704837909</v>
      </c>
      <c r="G7" s="76">
        <f>F7*C30/C28</f>
        <v>45956.620337132088</v>
      </c>
      <c r="H7" s="18" t="s">
        <v>235</v>
      </c>
    </row>
    <row r="8" spans="2:13" x14ac:dyDescent="0.25">
      <c r="B8" s="80" t="s">
        <v>96</v>
      </c>
      <c r="C8" s="18" t="s">
        <v>33</v>
      </c>
      <c r="D8" s="72">
        <f>589.680009484291/1000</f>
        <v>0.589680009484291</v>
      </c>
      <c r="E8" s="76">
        <v>2090</v>
      </c>
      <c r="F8" s="76">
        <f t="shared" si="2"/>
        <v>1232.4312198221683</v>
      </c>
      <c r="G8" s="76">
        <f>F8*C30/C28</f>
        <v>1630.2579888873984</v>
      </c>
      <c r="H8" s="100" t="s">
        <v>235</v>
      </c>
    </row>
    <row r="9" spans="2:13" x14ac:dyDescent="0.25">
      <c r="B9" s="65" t="s">
        <v>230</v>
      </c>
      <c r="C9" s="65"/>
      <c r="D9" s="22"/>
      <c r="E9" s="22"/>
      <c r="F9" s="22"/>
      <c r="G9" s="22">
        <f>SUM(G5:G8)</f>
        <v>59967.612337954379</v>
      </c>
      <c r="H9" s="65"/>
    </row>
    <row r="10" spans="2:13" x14ac:dyDescent="0.25">
      <c r="B10" s="114" t="s">
        <v>219</v>
      </c>
      <c r="C10" s="115"/>
      <c r="D10" s="115"/>
      <c r="E10" s="115"/>
      <c r="F10" s="115"/>
      <c r="G10" s="115"/>
      <c r="H10" s="116"/>
    </row>
    <row r="11" spans="2:13" ht="17.25" x14ac:dyDescent="0.25">
      <c r="B11" s="44" t="s">
        <v>25</v>
      </c>
      <c r="C11" s="44" t="s">
        <v>236</v>
      </c>
      <c r="D11" s="104">
        <f>9289977.55626507/1000</f>
        <v>9289.9775562650684</v>
      </c>
      <c r="E11" s="77">
        <f>3.6/100</f>
        <v>3.6000000000000004E-2</v>
      </c>
      <c r="F11" s="76">
        <f>E11*D11</f>
        <v>334.43919202554252</v>
      </c>
      <c r="G11" s="76">
        <f>F11*C30/C28</f>
        <v>442.3956126941992</v>
      </c>
      <c r="H11" s="100" t="s">
        <v>235</v>
      </c>
    </row>
    <row r="12" spans="2:13" x14ac:dyDescent="0.25">
      <c r="B12" s="44" t="s">
        <v>26</v>
      </c>
      <c r="C12" s="44" t="s">
        <v>237</v>
      </c>
      <c r="D12" s="76">
        <f>10099.0357662677/1000</f>
        <v>10.099035766267701</v>
      </c>
      <c r="E12" s="77">
        <v>69.599999999999994</v>
      </c>
      <c r="F12" s="77">
        <f>E12*D12</f>
        <v>702.8928893322319</v>
      </c>
      <c r="G12" s="76">
        <f>F12*C30/C28</f>
        <v>929.78555698334412</v>
      </c>
      <c r="H12" s="100" t="s">
        <v>235</v>
      </c>
    </row>
    <row r="13" spans="2:13" x14ac:dyDescent="0.25">
      <c r="B13" s="65" t="s">
        <v>230</v>
      </c>
      <c r="C13" s="65"/>
      <c r="D13" s="22"/>
      <c r="E13" s="22"/>
      <c r="F13" s="22"/>
      <c r="G13" s="22">
        <f>SUM(G11:G12)</f>
        <v>1372.1811696775433</v>
      </c>
      <c r="H13" s="65"/>
    </row>
    <row r="14" spans="2:13" x14ac:dyDescent="0.25">
      <c r="B14" s="114" t="s">
        <v>220</v>
      </c>
      <c r="C14" s="115"/>
      <c r="D14" s="115"/>
      <c r="E14" s="115"/>
      <c r="F14" s="115"/>
      <c r="G14" s="115"/>
      <c r="H14" s="116"/>
    </row>
    <row r="15" spans="2:13" ht="18" x14ac:dyDescent="0.35">
      <c r="B15" s="85" t="s">
        <v>231</v>
      </c>
      <c r="C15" s="88" t="s">
        <v>33</v>
      </c>
      <c r="D15" s="76">
        <f>1839.2912389289/1000</f>
        <v>1.8392912389289</v>
      </c>
      <c r="E15" s="81">
        <v>15</v>
      </c>
      <c r="F15" s="77">
        <f>E15*D15</f>
        <v>27.589368583933499</v>
      </c>
      <c r="G15" s="76">
        <f>F15*C$30/C$26</f>
        <v>38.531137633036082</v>
      </c>
      <c r="H15" s="87" t="s">
        <v>243</v>
      </c>
    </row>
    <row r="16" spans="2:13" s="96" customFormat="1" ht="17.25" x14ac:dyDescent="0.25">
      <c r="B16" s="100" t="s">
        <v>238</v>
      </c>
      <c r="C16" s="44" t="s">
        <v>236</v>
      </c>
      <c r="D16" s="76">
        <f>6670.97178641261/1000</f>
        <v>6.6709717864126095</v>
      </c>
      <c r="E16" s="76">
        <v>1.6</v>
      </c>
      <c r="F16" s="77">
        <f t="shared" ref="F16:F17" si="3">E16*D16</f>
        <v>10.673554858260175</v>
      </c>
      <c r="G16" s="76">
        <f>F16*C30/C28</f>
        <v>14.118960796868933</v>
      </c>
      <c r="H16" s="95" t="s">
        <v>235</v>
      </c>
    </row>
    <row r="17" spans="2:8" s="96" customFormat="1" x14ac:dyDescent="0.25">
      <c r="B17" s="100" t="s">
        <v>55</v>
      </c>
      <c r="C17" s="100" t="s">
        <v>33</v>
      </c>
      <c r="D17" s="76">
        <f>730.174885105753/1000</f>
        <v>0.73017488510575301</v>
      </c>
      <c r="E17" s="76">
        <v>200</v>
      </c>
      <c r="F17" s="77">
        <f t="shared" si="3"/>
        <v>146.03497702115061</v>
      </c>
      <c r="G17" s="76">
        <f>F17*C30/C27</f>
        <v>194.5841610581937</v>
      </c>
      <c r="H17" s="95" t="s">
        <v>242</v>
      </c>
    </row>
    <row r="18" spans="2:8" s="84" customFormat="1" x14ac:dyDescent="0.25">
      <c r="B18" s="83" t="s">
        <v>230</v>
      </c>
      <c r="C18" s="83"/>
      <c r="D18" s="86"/>
      <c r="E18" s="86"/>
      <c r="F18" s="86"/>
      <c r="G18" s="86">
        <f>SUM(G15:G17)</f>
        <v>247.2342594880987</v>
      </c>
      <c r="H18" s="83"/>
    </row>
    <row r="19" spans="2:8" s="96" customFormat="1" x14ac:dyDescent="0.25">
      <c r="B19" s="114" t="s">
        <v>233</v>
      </c>
      <c r="C19" s="115"/>
      <c r="D19" s="115"/>
      <c r="E19" s="115"/>
      <c r="F19" s="115"/>
      <c r="G19" s="115"/>
      <c r="H19" s="116"/>
    </row>
    <row r="20" spans="2:8" s="96" customFormat="1" x14ac:dyDescent="0.25">
      <c r="B20" s="94" t="s">
        <v>234</v>
      </c>
      <c r="C20" s="94" t="s">
        <v>33</v>
      </c>
      <c r="D20" s="102">
        <f>-97044.2657966358/1000</f>
        <v>-97.044265796635798</v>
      </c>
      <c r="E20" s="81">
        <v>15.6</v>
      </c>
      <c r="F20" s="77">
        <f>E20*D20</f>
        <v>-1513.8905464275185</v>
      </c>
      <c r="G20" s="76">
        <f>F20*C30/C28</f>
        <v>-2002.5719228134221</v>
      </c>
      <c r="H20" s="100" t="s">
        <v>235</v>
      </c>
    </row>
    <row r="21" spans="2:8" s="96" customFormat="1" x14ac:dyDescent="0.25">
      <c r="B21" s="94" t="s">
        <v>230</v>
      </c>
      <c r="C21" s="94"/>
      <c r="D21" s="102"/>
      <c r="E21" s="102"/>
      <c r="F21" s="102"/>
      <c r="G21" s="102">
        <f>SUM(G20)</f>
        <v>-2002.5719228134221</v>
      </c>
      <c r="H21" s="94"/>
    </row>
    <row r="22" spans="2:8" x14ac:dyDescent="0.25">
      <c r="B22" s="2" t="s">
        <v>104</v>
      </c>
      <c r="C22" s="101" t="s">
        <v>37</v>
      </c>
      <c r="D22" s="76"/>
      <c r="E22" s="77"/>
      <c r="F22" s="76"/>
      <c r="G22" s="22">
        <f>SUM('Catalyst costs'!F5)</f>
        <v>18.532800000000002</v>
      </c>
      <c r="H22" s="18" t="s">
        <v>221</v>
      </c>
    </row>
    <row r="23" spans="2:8" x14ac:dyDescent="0.25">
      <c r="B23" s="65" t="s">
        <v>216</v>
      </c>
      <c r="C23" s="21" t="s">
        <v>37</v>
      </c>
      <c r="D23" s="18"/>
      <c r="E23" s="18"/>
      <c r="F23" s="22"/>
      <c r="G23" s="22">
        <f>(G9+G13+G18+G21)*8000/1000000+G$22</f>
        <v>495.20844675445272</v>
      </c>
      <c r="H23" s="18"/>
    </row>
    <row r="24" spans="2:8" x14ac:dyDescent="0.25">
      <c r="B24" s="78"/>
      <c r="C24" s="78"/>
      <c r="D24" s="78"/>
      <c r="E24" s="78"/>
      <c r="F24" s="78"/>
      <c r="G24" s="78"/>
      <c r="H24" s="79"/>
    </row>
    <row r="25" spans="2:8" x14ac:dyDescent="0.25">
      <c r="B25" s="93" t="s">
        <v>95</v>
      </c>
      <c r="C25" s="90"/>
      <c r="D25" s="78"/>
      <c r="E25" s="78"/>
      <c r="F25" s="78"/>
      <c r="G25" s="78"/>
      <c r="H25" s="79"/>
    </row>
    <row r="26" spans="2:8" x14ac:dyDescent="0.25">
      <c r="B26" s="89" t="s">
        <v>232</v>
      </c>
      <c r="C26" s="92">
        <v>575.4</v>
      </c>
      <c r="D26" s="79"/>
      <c r="E26" s="79"/>
      <c r="F26" s="79"/>
      <c r="G26" s="79"/>
      <c r="H26" s="79"/>
    </row>
    <row r="27" spans="2:8" x14ac:dyDescent="0.25">
      <c r="B27" s="89" t="s">
        <v>94</v>
      </c>
      <c r="C27" s="92">
        <v>603.1</v>
      </c>
      <c r="D27" s="79"/>
      <c r="E27" s="79"/>
      <c r="F27" s="79"/>
      <c r="G27" s="79"/>
      <c r="H27" s="79"/>
    </row>
    <row r="28" spans="2:8" x14ac:dyDescent="0.25">
      <c r="B28" s="89" t="s">
        <v>35</v>
      </c>
      <c r="C28" s="91">
        <v>607.5</v>
      </c>
      <c r="D28" s="79"/>
      <c r="E28" s="79"/>
      <c r="F28" s="79"/>
      <c r="G28" s="79"/>
      <c r="H28" s="79"/>
    </row>
    <row r="29" spans="2:8" x14ac:dyDescent="0.25">
      <c r="B29" s="98" t="s">
        <v>248</v>
      </c>
      <c r="C29" s="103">
        <v>776.3</v>
      </c>
      <c r="D29" s="79"/>
      <c r="E29" s="79"/>
      <c r="F29" s="79"/>
      <c r="G29" s="79"/>
      <c r="H29" s="79"/>
    </row>
    <row r="30" spans="2:8" x14ac:dyDescent="0.25">
      <c r="B30" s="98" t="s">
        <v>245</v>
      </c>
      <c r="C30" s="103">
        <v>803.6</v>
      </c>
      <c r="D30" s="79"/>
      <c r="E30" s="79"/>
      <c r="F30" s="79"/>
      <c r="G30" s="79"/>
      <c r="H30" s="79"/>
    </row>
    <row r="31" spans="2:8" x14ac:dyDescent="0.25">
      <c r="B31" s="79"/>
      <c r="C31" s="79"/>
      <c r="D31" s="79"/>
      <c r="E31" s="79"/>
      <c r="F31" s="79"/>
      <c r="G31" s="79"/>
      <c r="H31" s="79"/>
    </row>
    <row r="32" spans="2:8" x14ac:dyDescent="0.25">
      <c r="B32" s="79"/>
      <c r="C32" s="79"/>
      <c r="D32" s="79"/>
      <c r="E32" s="79"/>
      <c r="F32" s="79"/>
      <c r="G32" s="79"/>
      <c r="H32" s="79"/>
    </row>
    <row r="33" spans="2:8" x14ac:dyDescent="0.25">
      <c r="B33" s="79"/>
      <c r="C33" s="79"/>
      <c r="D33" s="79"/>
      <c r="E33" s="79"/>
      <c r="F33" s="79"/>
      <c r="G33" s="79"/>
      <c r="H33" s="79"/>
    </row>
  </sheetData>
  <mergeCells count="4">
    <mergeCell ref="B19:H19"/>
    <mergeCell ref="B4:H4"/>
    <mergeCell ref="B10:H10"/>
    <mergeCell ref="B14:H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K56"/>
  <sheetViews>
    <sheetView tabSelected="1" topLeftCell="A37" zoomScale="130" zoomScaleNormal="130" workbookViewId="0">
      <selection activeCell="E45" sqref="E45"/>
    </sheetView>
  </sheetViews>
  <sheetFormatPr defaultRowHeight="15" x14ac:dyDescent="0.25"/>
  <cols>
    <col min="2" max="2" width="39.140625" bestFit="1" customWidth="1"/>
    <col min="3" max="3" width="9.5703125" bestFit="1" customWidth="1"/>
    <col min="5" max="5" width="22.5703125" bestFit="1" customWidth="1"/>
    <col min="6" max="7" width="16.85546875" bestFit="1" customWidth="1"/>
    <col min="8" max="8" width="16.28515625" bestFit="1" customWidth="1"/>
    <col min="10" max="10" width="15.7109375" bestFit="1" customWidth="1"/>
    <col min="11" max="11" width="16.28515625" bestFit="1" customWidth="1"/>
  </cols>
  <sheetData>
    <row r="3" spans="2:11" x14ac:dyDescent="0.25">
      <c r="B3" s="14" t="s">
        <v>247</v>
      </c>
      <c r="C3" s="24">
        <f>SUM(CAPEX!B142)</f>
        <v>47.045217801016015</v>
      </c>
      <c r="E3" s="120" t="s">
        <v>251</v>
      </c>
      <c r="F3" s="120"/>
      <c r="G3" s="120"/>
      <c r="H3" s="120"/>
      <c r="I3" s="64"/>
      <c r="J3" s="114" t="s">
        <v>252</v>
      </c>
      <c r="K3" s="116"/>
    </row>
    <row r="4" spans="2:11" x14ac:dyDescent="0.25">
      <c r="B4" s="30" t="s">
        <v>60</v>
      </c>
      <c r="C4" s="24">
        <f>SUM(CAPEX!B143)</f>
        <v>175.94911457579994</v>
      </c>
      <c r="E4" s="108" t="s">
        <v>101</v>
      </c>
      <c r="F4" s="108" t="s">
        <v>264</v>
      </c>
      <c r="G4" s="108" t="s">
        <v>253</v>
      </c>
      <c r="H4" s="108" t="s">
        <v>254</v>
      </c>
      <c r="I4" s="64"/>
      <c r="J4" s="108" t="s">
        <v>101</v>
      </c>
      <c r="K4" s="109" t="s">
        <v>254</v>
      </c>
    </row>
    <row r="5" spans="2:11" x14ac:dyDescent="0.25">
      <c r="B5" s="30" t="s">
        <v>61</v>
      </c>
      <c r="C5" s="24">
        <f>SUM(CAPEX!B144)</f>
        <v>52.784734372739983</v>
      </c>
      <c r="E5" s="95" t="s">
        <v>57</v>
      </c>
      <c r="F5" s="104">
        <f>CAPEX!H30</f>
        <v>21.740556623667519</v>
      </c>
      <c r="G5" s="104">
        <f>F5*CAPEX!$B$141/CAPEX!$B$140</f>
        <v>32.784220872169676</v>
      </c>
      <c r="H5" s="104">
        <f>(G5*CAPEX!$C$147+Summary!G5*CAPEX!$C$147*0.15)*CAPEX!$B$152</f>
        <v>32.720187180262151</v>
      </c>
      <c r="I5" s="64"/>
      <c r="J5" s="110" t="s">
        <v>57</v>
      </c>
      <c r="K5" s="104">
        <f>H5</f>
        <v>32.720187180262151</v>
      </c>
    </row>
    <row r="6" spans="2:11" x14ac:dyDescent="0.25">
      <c r="B6" s="30" t="s">
        <v>84</v>
      </c>
      <c r="C6" s="24">
        <f>SUM(CAPEX!B145)</f>
        <v>68.620154684561982</v>
      </c>
      <c r="E6" s="95" t="s">
        <v>164</v>
      </c>
      <c r="F6" s="104">
        <f>CAPEX!H35</f>
        <v>2.883322152577323E-2</v>
      </c>
      <c r="G6" s="104">
        <f>F6*CAPEX!$B$141/CAPEX!$B$140</f>
        <v>4.3479783858343724E-2</v>
      </c>
      <c r="H6" s="104">
        <f>(G6*CAPEX!$C$147+Summary!G6*CAPEX!$C$147*0.15)*CAPEX!$B$152</f>
        <v>4.3394859739065525E-2</v>
      </c>
      <c r="I6" s="64"/>
      <c r="J6" s="110" t="s">
        <v>164</v>
      </c>
      <c r="K6" s="104">
        <f t="shared" ref="K6:K10" si="0">H6</f>
        <v>4.3394859739065525E-2</v>
      </c>
    </row>
    <row r="7" spans="2:11" x14ac:dyDescent="0.25">
      <c r="B7" s="30" t="s">
        <v>63</v>
      </c>
      <c r="C7" s="24">
        <f>SUM(CAPEX!B146)</f>
        <v>22.873384894853995</v>
      </c>
      <c r="E7" s="95" t="s">
        <v>167</v>
      </c>
      <c r="F7" s="104">
        <f>CAPEX!H105</f>
        <v>4.9813786531205988</v>
      </c>
      <c r="G7" s="104">
        <f>F7*CAPEX!$B$141/CAPEX!$B$140</f>
        <v>7.5117956195303313</v>
      </c>
      <c r="H7" s="104">
        <f>(G7*CAPEX!$C$147+Summary!G7*CAPEX!$C$147*0.15)*CAPEX!$B$152</f>
        <v>7.4971236830445198</v>
      </c>
      <c r="I7" s="64"/>
      <c r="J7" s="110" t="s">
        <v>167</v>
      </c>
      <c r="K7" s="104">
        <f t="shared" si="0"/>
        <v>7.4971236830445198</v>
      </c>
    </row>
    <row r="8" spans="2:11" x14ac:dyDescent="0.25">
      <c r="B8" s="30" t="s">
        <v>64</v>
      </c>
      <c r="C8" s="24">
        <f>SUM(CAPEX!B147)</f>
        <v>320.22738852795595</v>
      </c>
      <c r="E8" s="95" t="s">
        <v>58</v>
      </c>
      <c r="F8" s="104">
        <f>CAPEX!H111</f>
        <v>3.6177923594286021</v>
      </c>
      <c r="G8" s="104">
        <f>F8*CAPEX!$B$141/CAPEX!$B$140</f>
        <v>5.455541264846735</v>
      </c>
      <c r="H8" s="104">
        <f>(G8*CAPEX!$C$147+Summary!G8*CAPEX!$C$147*0.15)*CAPEX!$B$152</f>
        <v>5.4448855762487325</v>
      </c>
      <c r="I8" s="64"/>
      <c r="J8" s="110" t="s">
        <v>58</v>
      </c>
      <c r="K8" s="104">
        <f t="shared" si="0"/>
        <v>5.4448855762487325</v>
      </c>
    </row>
    <row r="9" spans="2:11" x14ac:dyDescent="0.25">
      <c r="B9" s="30" t="s">
        <v>67</v>
      </c>
      <c r="C9" s="24">
        <f>SUM(CAPEX!B148)</f>
        <v>48.03410827919339</v>
      </c>
      <c r="E9" s="95" t="s">
        <v>166</v>
      </c>
      <c r="F9" s="104">
        <f>CAPEX!H121</f>
        <v>0.65452343914345112</v>
      </c>
      <c r="G9" s="104">
        <f>F9*CAPEX!$B$141/CAPEX!$B$140</f>
        <v>0.98700513360044539</v>
      </c>
      <c r="H9" s="104">
        <f>(G9*CAPEX!$C$147+Summary!G9*CAPEX!$C$147*0.15)*CAPEX!$B$152</f>
        <v>0.98507732867006292</v>
      </c>
      <c r="I9" s="64"/>
      <c r="J9" s="110" t="s">
        <v>166</v>
      </c>
      <c r="K9" s="104">
        <f t="shared" si="0"/>
        <v>0.98507732867006292</v>
      </c>
    </row>
    <row r="10" spans="2:11" x14ac:dyDescent="0.25">
      <c r="B10" s="14" t="s">
        <v>65</v>
      </c>
      <c r="C10" s="24">
        <f>SUM(CAPEX!B149)</f>
        <v>368.26149680714934</v>
      </c>
      <c r="E10" s="95" t="s">
        <v>255</v>
      </c>
      <c r="F10" s="104">
        <f>CAPEX!H125+CAPEX!H129+CAPEX!H133+CAPEX!H137</f>
        <v>0.17452218166237932</v>
      </c>
      <c r="G10" s="104">
        <f>F10*CAPEX!$B$141/CAPEX!$B$140</f>
        <v>0.26317512701048612</v>
      </c>
      <c r="H10" s="104">
        <f>(G10*CAPEX!$C$147+Summary!G10*CAPEX!$C$147*0.15)*CAPEX!$B$152</f>
        <v>0.26266109695113465</v>
      </c>
      <c r="I10" s="64"/>
      <c r="J10" s="110" t="s">
        <v>255</v>
      </c>
      <c r="K10" s="104">
        <f t="shared" si="0"/>
        <v>0.26266109695113465</v>
      </c>
    </row>
    <row r="11" spans="2:11" x14ac:dyDescent="0.25">
      <c r="B11" s="14" t="s">
        <v>89</v>
      </c>
      <c r="C11" s="24">
        <f>SUM('Production costs'!C9)</f>
        <v>7.3406250000000002</v>
      </c>
      <c r="E11" s="108" t="s">
        <v>146</v>
      </c>
      <c r="F11" s="102">
        <f>SUM(F5:F10)</f>
        <v>31.19760647854832</v>
      </c>
      <c r="G11" s="102">
        <f>SUM(G5:G10)</f>
        <v>47.045217801016022</v>
      </c>
      <c r="H11" s="102">
        <f>SUM(H5:H10)</f>
        <v>46.953329724915669</v>
      </c>
      <c r="I11" s="64"/>
      <c r="J11" s="107" t="s">
        <v>146</v>
      </c>
      <c r="K11" s="102">
        <f>SUM(K5:K10)</f>
        <v>46.953329724915669</v>
      </c>
    </row>
    <row r="12" spans="2:11" x14ac:dyDescent="0.25">
      <c r="B12" s="14" t="s">
        <v>90</v>
      </c>
      <c r="C12" s="24">
        <f>SUM('Production costs'!C12)</f>
        <v>5.2784734372739983</v>
      </c>
      <c r="E12" s="64"/>
      <c r="F12" s="64"/>
      <c r="G12" s="64"/>
      <c r="H12" s="64"/>
      <c r="I12" s="64"/>
      <c r="J12" s="64"/>
      <c r="K12" s="64"/>
    </row>
    <row r="13" spans="2:11" x14ac:dyDescent="0.25">
      <c r="B13" s="14" t="s">
        <v>78</v>
      </c>
      <c r="C13" s="24">
        <f>SUM('Production costs'!C16)</f>
        <v>12.777090963198898</v>
      </c>
      <c r="E13" s="114" t="s">
        <v>256</v>
      </c>
      <c r="F13" s="116"/>
      <c r="G13" s="64"/>
      <c r="H13" s="64"/>
      <c r="I13" s="64"/>
      <c r="J13" s="114" t="s">
        <v>257</v>
      </c>
      <c r="K13" s="116"/>
    </row>
    <row r="14" spans="2:11" x14ac:dyDescent="0.25">
      <c r="B14" s="14" t="s">
        <v>86</v>
      </c>
      <c r="C14" s="24">
        <f>SUM('Production costs'!C19)</f>
        <v>2.8820464967516033</v>
      </c>
      <c r="E14" s="108" t="s">
        <v>258</v>
      </c>
      <c r="F14" s="108" t="s">
        <v>37</v>
      </c>
      <c r="G14" s="64"/>
      <c r="H14" s="64"/>
      <c r="I14" s="64"/>
      <c r="J14" s="108" t="s">
        <v>258</v>
      </c>
      <c r="K14" s="108" t="s">
        <v>37</v>
      </c>
    </row>
    <row r="15" spans="2:11" x14ac:dyDescent="0.25">
      <c r="B15" s="14" t="s">
        <v>27</v>
      </c>
      <c r="C15" s="24">
        <f>SUM(CAPEX!B150)</f>
        <v>25</v>
      </c>
      <c r="E15" s="95" t="s">
        <v>81</v>
      </c>
      <c r="F15" s="104">
        <f>'Production costs'!C6</f>
        <v>4.05</v>
      </c>
      <c r="G15" s="64"/>
      <c r="H15" s="64"/>
      <c r="I15" s="64"/>
      <c r="J15" s="95" t="s">
        <v>259</v>
      </c>
      <c r="K15" s="104">
        <f>F15+F16+F17</f>
        <v>7.3406250000000002</v>
      </c>
    </row>
    <row r="16" spans="2:11" x14ac:dyDescent="0.25">
      <c r="B16" s="14" t="s">
        <v>28</v>
      </c>
      <c r="C16" s="24">
        <f>SUM(CAPEX!B151)</f>
        <v>0.12</v>
      </c>
      <c r="E16" s="95" t="s">
        <v>69</v>
      </c>
      <c r="F16" s="104">
        <f>'Production costs'!C7</f>
        <v>1.0125</v>
      </c>
      <c r="G16" s="64"/>
      <c r="H16" s="64"/>
      <c r="I16" s="64"/>
      <c r="J16" s="95" t="s">
        <v>76</v>
      </c>
      <c r="K16" s="104">
        <f>F18</f>
        <v>5.2784734372739983</v>
      </c>
    </row>
    <row r="17" spans="2:11" x14ac:dyDescent="0.25">
      <c r="B17" s="14" t="s">
        <v>29</v>
      </c>
      <c r="C17" s="23">
        <f>SUM(CAPEX!B152)</f>
        <v>0.12749996980950773</v>
      </c>
      <c r="E17" s="95" t="s">
        <v>73</v>
      </c>
      <c r="F17" s="104">
        <f>'Production costs'!C8</f>
        <v>2.2781250000000002</v>
      </c>
      <c r="G17" s="64"/>
      <c r="H17" s="64"/>
      <c r="I17" s="64"/>
      <c r="J17" s="95" t="s">
        <v>260</v>
      </c>
      <c r="K17" s="104">
        <f>F19+F20</f>
        <v>12.777090963198898</v>
      </c>
    </row>
    <row r="18" spans="2:11" x14ac:dyDescent="0.25">
      <c r="B18" s="17" t="s">
        <v>36</v>
      </c>
      <c r="C18" s="20">
        <f>SUM(CAPEX!B154)</f>
        <v>46.953329724915669</v>
      </c>
      <c r="E18" s="95" t="s">
        <v>76</v>
      </c>
      <c r="F18" s="104">
        <f>'Production costs'!C11</f>
        <v>5.2784734372739983</v>
      </c>
      <c r="G18" s="64"/>
      <c r="H18" s="64"/>
      <c r="I18" s="64"/>
      <c r="J18" s="95" t="s">
        <v>86</v>
      </c>
      <c r="K18" s="104">
        <f>F21</f>
        <v>2.8820464967516033</v>
      </c>
    </row>
    <row r="19" spans="2:11" x14ac:dyDescent="0.25">
      <c r="B19" s="17" t="s">
        <v>223</v>
      </c>
      <c r="C19" s="20">
        <f>'Production costs'!C20</f>
        <v>28.278235897224498</v>
      </c>
      <c r="E19" s="95" t="s">
        <v>80</v>
      </c>
      <c r="F19" s="104">
        <f>'Production costs'!C14</f>
        <v>8.2024139842280981</v>
      </c>
      <c r="G19" s="64"/>
      <c r="H19" s="64"/>
      <c r="I19" s="64"/>
      <c r="J19" s="108" t="s">
        <v>146</v>
      </c>
      <c r="K19" s="102">
        <f>SUM(K15:K18)</f>
        <v>28.278235897224498</v>
      </c>
    </row>
    <row r="20" spans="2:11" x14ac:dyDescent="0.25">
      <c r="B20" s="17" t="s">
        <v>56</v>
      </c>
      <c r="C20" s="20">
        <f>OPEX!G23</f>
        <v>495.20844675445272</v>
      </c>
      <c r="E20" s="95" t="s">
        <v>83</v>
      </c>
      <c r="F20" s="104">
        <f>'Production costs'!C15</f>
        <v>4.5746769789707988</v>
      </c>
      <c r="G20" s="64"/>
      <c r="H20" s="64"/>
      <c r="I20" s="64"/>
      <c r="J20" s="64"/>
      <c r="K20" s="64"/>
    </row>
    <row r="21" spans="2:11" x14ac:dyDescent="0.25">
      <c r="B21" s="17" t="s">
        <v>224</v>
      </c>
      <c r="C21" s="20">
        <f>($C$18+$C$19+C20)</f>
        <v>570.4400123765929</v>
      </c>
      <c r="E21" s="95" t="s">
        <v>87</v>
      </c>
      <c r="F21" s="104">
        <f>'Production costs'!C18</f>
        <v>2.8820464967516033</v>
      </c>
      <c r="G21" s="64"/>
      <c r="H21" s="64"/>
      <c r="I21" s="64"/>
      <c r="J21" s="64"/>
      <c r="K21" s="64"/>
    </row>
    <row r="22" spans="2:11" x14ac:dyDescent="0.25">
      <c r="B22" s="17" t="s">
        <v>225</v>
      </c>
      <c r="C22" s="20">
        <f>(C21)*1000000/8000</f>
        <v>71305.001547074105</v>
      </c>
      <c r="E22" s="108" t="s">
        <v>146</v>
      </c>
      <c r="F22" s="102">
        <f>SUM(F15:F21)</f>
        <v>28.278235897224498</v>
      </c>
      <c r="G22" s="64"/>
      <c r="H22" s="64"/>
      <c r="I22" s="64"/>
      <c r="J22" s="64"/>
      <c r="K22" s="64"/>
    </row>
    <row r="23" spans="2:11" x14ac:dyDescent="0.25">
      <c r="B23" s="33" t="s">
        <v>226</v>
      </c>
      <c r="C23" s="20">
        <v>56724.823237051998</v>
      </c>
      <c r="E23" s="64"/>
      <c r="F23" s="64"/>
      <c r="G23" s="64"/>
      <c r="H23" s="64"/>
      <c r="I23" s="64"/>
      <c r="J23" s="64"/>
      <c r="K23" s="64"/>
    </row>
    <row r="24" spans="2:11" x14ac:dyDescent="0.25">
      <c r="B24" s="39" t="s">
        <v>222</v>
      </c>
      <c r="C24" s="38">
        <f>C22/C23</f>
        <v>1.2570334727900661</v>
      </c>
      <c r="E24" s="114" t="s">
        <v>261</v>
      </c>
      <c r="F24" s="116"/>
      <c r="G24" s="64"/>
      <c r="H24" s="64"/>
      <c r="I24" s="64"/>
      <c r="J24" s="64"/>
      <c r="K24" s="64"/>
    </row>
    <row r="25" spans="2:11" x14ac:dyDescent="0.25">
      <c r="B25" s="105" t="s">
        <v>249</v>
      </c>
      <c r="C25" s="106">
        <f>C24*1000</f>
        <v>1257.0334727900661</v>
      </c>
      <c r="E25" s="108" t="s">
        <v>258</v>
      </c>
      <c r="F25" s="108" t="s">
        <v>37</v>
      </c>
      <c r="G25" s="64"/>
      <c r="H25" s="64"/>
      <c r="I25" s="64"/>
      <c r="J25" s="64"/>
      <c r="K25" s="64"/>
    </row>
    <row r="26" spans="2:11" x14ac:dyDescent="0.25">
      <c r="E26" s="95" t="s">
        <v>227</v>
      </c>
      <c r="F26" s="104">
        <f>OPEX!G5*8000/10^6</f>
        <v>69.616870205245363</v>
      </c>
      <c r="G26" s="64"/>
      <c r="H26" s="64"/>
      <c r="I26" s="111"/>
      <c r="J26" s="64"/>
      <c r="K26" s="64"/>
    </row>
    <row r="27" spans="2:11" x14ac:dyDescent="0.25">
      <c r="E27" s="95" t="s">
        <v>228</v>
      </c>
      <c r="F27" s="104">
        <f>OPEX!G6*8000/10^6</f>
        <v>29.429001890233792</v>
      </c>
      <c r="G27" s="64"/>
      <c r="H27" s="64"/>
      <c r="I27" s="64"/>
      <c r="J27" s="64"/>
      <c r="K27" s="64"/>
    </row>
    <row r="28" spans="2:11" x14ac:dyDescent="0.25">
      <c r="E28" s="95" t="s">
        <v>229</v>
      </c>
      <c r="F28" s="104">
        <f>OPEX!G7*8000/10^6</f>
        <v>367.65296269705669</v>
      </c>
      <c r="G28" s="64"/>
      <c r="H28" s="64"/>
      <c r="I28" s="64"/>
      <c r="J28" s="64"/>
      <c r="K28" s="64"/>
    </row>
    <row r="29" spans="2:11" x14ac:dyDescent="0.25">
      <c r="E29" s="95" t="s">
        <v>96</v>
      </c>
      <c r="F29" s="104">
        <f>OPEX!G8*8000/10^6</f>
        <v>13.042063911099186</v>
      </c>
      <c r="G29" s="64"/>
      <c r="H29" s="64"/>
      <c r="I29" s="64"/>
      <c r="J29" s="64"/>
      <c r="K29" s="64"/>
    </row>
    <row r="30" spans="2:11" x14ac:dyDescent="0.25">
      <c r="E30" s="95" t="s">
        <v>25</v>
      </c>
      <c r="F30" s="104">
        <f>OPEX!G11*8000/10^6</f>
        <v>3.5391649015535935</v>
      </c>
      <c r="G30" s="64"/>
      <c r="H30" s="64"/>
      <c r="I30" s="64"/>
      <c r="J30" s="64"/>
      <c r="K30" s="64"/>
    </row>
    <row r="31" spans="2:11" x14ac:dyDescent="0.25">
      <c r="E31" s="95" t="s">
        <v>26</v>
      </c>
      <c r="F31" s="104">
        <f>OPEX!G12*8000/10^6</f>
        <v>7.4382844558667527</v>
      </c>
      <c r="G31" s="64"/>
      <c r="H31" s="64"/>
      <c r="I31" s="64"/>
      <c r="J31" s="64"/>
      <c r="K31" s="64"/>
    </row>
    <row r="32" spans="2:11" ht="18" x14ac:dyDescent="0.35">
      <c r="E32" s="95" t="s">
        <v>262</v>
      </c>
      <c r="F32" s="104">
        <f>OPEX!G15*8000/10^6</f>
        <v>0.30824910106428866</v>
      </c>
      <c r="G32" s="64"/>
      <c r="H32" s="64"/>
      <c r="I32" s="64"/>
      <c r="J32" s="64"/>
      <c r="K32" s="64"/>
    </row>
    <row r="33" spans="5:11" x14ac:dyDescent="0.25">
      <c r="E33" s="95" t="s">
        <v>238</v>
      </c>
      <c r="F33" s="104">
        <f>OPEX!G16*8000/10^6</f>
        <v>0.11295168637495145</v>
      </c>
      <c r="G33" s="64"/>
      <c r="H33" s="64"/>
      <c r="I33" s="64"/>
      <c r="J33" s="64"/>
      <c r="K33" s="64"/>
    </row>
    <row r="34" spans="5:11" x14ac:dyDescent="0.25">
      <c r="E34" s="95" t="s">
        <v>55</v>
      </c>
      <c r="F34" s="104">
        <f>OPEX!G17*8000/10^6</f>
        <v>1.5566732884655496</v>
      </c>
      <c r="G34" s="64"/>
      <c r="H34" s="64"/>
      <c r="I34" s="64"/>
      <c r="J34" s="64"/>
      <c r="K34" s="64"/>
    </row>
    <row r="35" spans="5:11" x14ac:dyDescent="0.25">
      <c r="E35" s="95" t="s">
        <v>234</v>
      </c>
      <c r="F35" s="104">
        <f>OPEX!G20*8000/10^6</f>
        <v>-16.020575382507378</v>
      </c>
      <c r="G35" s="64"/>
      <c r="H35" s="64"/>
      <c r="I35" s="64"/>
      <c r="J35" s="64"/>
      <c r="K35" s="64"/>
    </row>
    <row r="36" spans="5:11" x14ac:dyDescent="0.25">
      <c r="E36" s="95" t="s">
        <v>263</v>
      </c>
      <c r="F36" s="104">
        <f>OPEX!G22</f>
        <v>18.532800000000002</v>
      </c>
      <c r="G36" s="64"/>
      <c r="H36" s="64"/>
      <c r="I36" s="64"/>
      <c r="J36" s="64"/>
      <c r="K36" s="64"/>
    </row>
    <row r="37" spans="5:11" x14ac:dyDescent="0.25">
      <c r="E37" s="108" t="s">
        <v>146</v>
      </c>
      <c r="F37" s="102">
        <f>SUM(F26:F36)</f>
        <v>495.20844675445289</v>
      </c>
      <c r="G37" s="64"/>
      <c r="H37" s="64"/>
      <c r="I37" s="64"/>
      <c r="J37" s="64"/>
      <c r="K37" s="64"/>
    </row>
    <row r="39" spans="5:11" x14ac:dyDescent="0.25">
      <c r="E39" s="122" t="s">
        <v>265</v>
      </c>
      <c r="F39" s="122"/>
      <c r="G39" s="122"/>
      <c r="H39" s="122"/>
    </row>
    <row r="40" spans="5:11" x14ac:dyDescent="0.25">
      <c r="E40" s="113" t="s">
        <v>258</v>
      </c>
      <c r="F40" s="112" t="s">
        <v>273</v>
      </c>
      <c r="G40" s="112" t="s">
        <v>271</v>
      </c>
      <c r="H40" s="113" t="s">
        <v>30</v>
      </c>
    </row>
    <row r="41" spans="5:11" x14ac:dyDescent="0.25">
      <c r="E41" s="95" t="s">
        <v>227</v>
      </c>
      <c r="F41" s="41">
        <f>F26*10^9/8000/$C$23</f>
        <v>153.40918277153048</v>
      </c>
      <c r="G41" s="41">
        <f>OPEX!D5</f>
        <v>16.042900085449201</v>
      </c>
      <c r="H41" s="95" t="s">
        <v>33</v>
      </c>
    </row>
    <row r="42" spans="5:11" s="64" customFormat="1" x14ac:dyDescent="0.25">
      <c r="E42" s="95" t="s">
        <v>268</v>
      </c>
      <c r="F42" s="41">
        <v>0</v>
      </c>
      <c r="G42" s="41">
        <v>0</v>
      </c>
      <c r="H42" s="95" t="s">
        <v>33</v>
      </c>
    </row>
    <row r="43" spans="5:11" x14ac:dyDescent="0.25">
      <c r="E43" s="95" t="s">
        <v>228</v>
      </c>
      <c r="F43" s="41">
        <f t="shared" ref="F43:F47" si="1">F27*10^9/8000/$C$23</f>
        <v>64.850360501015871</v>
      </c>
      <c r="G43" s="41">
        <f>OPEX!D6</f>
        <v>22.4</v>
      </c>
      <c r="H43" s="95" t="s">
        <v>33</v>
      </c>
    </row>
    <row r="44" spans="5:11" x14ac:dyDescent="0.25">
      <c r="E44" s="95" t="s">
        <v>96</v>
      </c>
      <c r="F44" s="41">
        <f>F29*10^9/8000/$C$23</f>
        <v>28.739763226314164</v>
      </c>
      <c r="G44" s="41">
        <f>OPEX!D8</f>
        <v>0.589680009484291</v>
      </c>
      <c r="H44" s="95" t="s">
        <v>33</v>
      </c>
    </row>
    <row r="45" spans="5:11" x14ac:dyDescent="0.25">
      <c r="E45" s="95" t="s">
        <v>229</v>
      </c>
      <c r="F45" s="41">
        <f>F28*10^9/8000/$C$23</f>
        <v>810.16771343791083</v>
      </c>
      <c r="G45" s="41">
        <f>OPEX!D7</f>
        <v>26.8692727802304</v>
      </c>
      <c r="H45" s="95" t="s">
        <v>33</v>
      </c>
    </row>
    <row r="46" spans="5:11" ht="17.25" x14ac:dyDescent="0.25">
      <c r="E46" s="95" t="s">
        <v>25</v>
      </c>
      <c r="F46" s="41">
        <f t="shared" si="1"/>
        <v>7.7989773691393633</v>
      </c>
      <c r="G46" s="41">
        <f>OPEX!D11</f>
        <v>9289.9775562650684</v>
      </c>
      <c r="H46" s="44" t="s">
        <v>236</v>
      </c>
    </row>
    <row r="47" spans="5:11" x14ac:dyDescent="0.25">
      <c r="E47" s="95" t="s">
        <v>26</v>
      </c>
      <c r="F47" s="41">
        <f t="shared" si="1"/>
        <v>16.391158295862592</v>
      </c>
      <c r="G47" s="41">
        <f>OPEX!D12</f>
        <v>10.099035766267701</v>
      </c>
      <c r="H47" s="44" t="s">
        <v>237</v>
      </c>
    </row>
    <row r="48" spans="5:11" s="64" customFormat="1" x14ac:dyDescent="0.25">
      <c r="E48" s="95" t="s">
        <v>269</v>
      </c>
      <c r="F48" s="41">
        <v>0</v>
      </c>
      <c r="G48" s="41">
        <v>0</v>
      </c>
      <c r="H48" s="95" t="s">
        <v>33</v>
      </c>
    </row>
    <row r="49" spans="5:8" x14ac:dyDescent="0.25">
      <c r="E49" s="95" t="s">
        <v>270</v>
      </c>
      <c r="F49" s="41">
        <f>F32*10^9/8000/$C$23</f>
        <v>0.67926412872218511</v>
      </c>
      <c r="G49" s="41">
        <f>OPEX!D15</f>
        <v>1.8392912389289</v>
      </c>
      <c r="H49" s="100" t="s">
        <v>33</v>
      </c>
    </row>
    <row r="50" spans="5:8" ht="17.25" x14ac:dyDescent="0.25">
      <c r="E50" s="95" t="s">
        <v>238</v>
      </c>
      <c r="F50" s="41">
        <f>F33*10^9/8000/$C$23</f>
        <v>0.24890268477111074</v>
      </c>
      <c r="G50" s="41">
        <f>OPEX!D16</f>
        <v>6.6709717864126095</v>
      </c>
      <c r="H50" s="44" t="s">
        <v>236</v>
      </c>
    </row>
    <row r="51" spans="5:8" x14ac:dyDescent="0.25">
      <c r="E51" s="95" t="s">
        <v>55</v>
      </c>
      <c r="F51" s="41">
        <f>F34*10^9/8000/$C$23</f>
        <v>3.4303176273468505</v>
      </c>
      <c r="G51" s="41">
        <f>OPEX!D17</f>
        <v>0.73017488510575301</v>
      </c>
      <c r="H51" s="100" t="s">
        <v>33</v>
      </c>
    </row>
    <row r="52" spans="5:8" x14ac:dyDescent="0.25">
      <c r="E52" s="95" t="s">
        <v>234</v>
      </c>
      <c r="F52" s="41">
        <f>F35*10^9/8000/$C$23</f>
        <v>-35.303273038766662</v>
      </c>
      <c r="G52" s="41">
        <f>OPEX!D20</f>
        <v>-97.044265796635798</v>
      </c>
      <c r="H52" s="100" t="s">
        <v>33</v>
      </c>
    </row>
    <row r="53" spans="5:8" x14ac:dyDescent="0.25">
      <c r="E53" s="95" t="s">
        <v>263</v>
      </c>
      <c r="F53" s="41">
        <f>F36*10^9/8000/$C$23</f>
        <v>40.839263444135753</v>
      </c>
      <c r="G53" s="41">
        <v>0</v>
      </c>
      <c r="H53" s="95" t="s">
        <v>272</v>
      </c>
    </row>
    <row r="54" spans="5:8" x14ac:dyDescent="0.25">
      <c r="E54" s="3" t="s">
        <v>267</v>
      </c>
      <c r="F54" s="41">
        <f>K19*10^9/8000/$C$23</f>
        <v>62.314508630221432</v>
      </c>
      <c r="G54" s="41">
        <v>0</v>
      </c>
      <c r="H54" s="95" t="s">
        <v>272</v>
      </c>
    </row>
    <row r="55" spans="5:8" x14ac:dyDescent="0.25">
      <c r="E55" s="3" t="s">
        <v>266</v>
      </c>
      <c r="F55" s="41">
        <f>H11*10^9/8000/$C$23</f>
        <v>103.46733371186228</v>
      </c>
      <c r="G55" s="41">
        <v>0</v>
      </c>
      <c r="H55" s="95" t="s">
        <v>272</v>
      </c>
    </row>
    <row r="56" spans="5:8" x14ac:dyDescent="0.25">
      <c r="E56" s="113" t="s">
        <v>146</v>
      </c>
      <c r="F56" s="101">
        <f>SUM(F41:F55)</f>
        <v>1257.0334727900658</v>
      </c>
      <c r="G56" s="14"/>
      <c r="H56" s="14"/>
    </row>
  </sheetData>
  <mergeCells count="6">
    <mergeCell ref="E39:H39"/>
    <mergeCell ref="E3:H3"/>
    <mergeCell ref="J3:K3"/>
    <mergeCell ref="E13:F13"/>
    <mergeCell ref="J13:K13"/>
    <mergeCell ref="E24:F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CAPEX</vt:lpstr>
      <vt:lpstr>Production costs</vt:lpstr>
      <vt:lpstr>Catalyst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2022-07-30T20:14:36Z</dcterms:modified>
</cp:coreProperties>
</file>