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Propanol production\Data\Economics and LCA\Methane to 1-propanol\Methane to 1-propanol v5\"/>
    </mc:Choice>
  </mc:AlternateContent>
  <xr:revisionPtr revIDLastSave="0" documentId="13_ncr:1_{7CFDCE20-F84B-46C0-B722-57C1DF0AE27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terial streams" sheetId="1" r:id="rId1"/>
    <sheet name="Electricity" sheetId="2" r:id="rId2"/>
    <sheet name="Utilities" sheetId="3" r:id="rId3"/>
    <sheet name="Hydroformylation cataly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" l="1"/>
  <c r="H4" i="1"/>
  <c r="H5" i="1"/>
  <c r="H6" i="1"/>
  <c r="H8" i="1"/>
  <c r="H9" i="1"/>
  <c r="H10" i="1"/>
  <c r="H11" i="1"/>
  <c r="H12" i="1"/>
  <c r="H13" i="1"/>
  <c r="H14" i="1"/>
  <c r="H15" i="1"/>
  <c r="H3" i="1"/>
  <c r="C8" i="1"/>
  <c r="I5" i="3"/>
  <c r="I4" i="3"/>
  <c r="I3" i="3"/>
  <c r="D17" i="2"/>
  <c r="D16" i="2"/>
  <c r="D15" i="2"/>
  <c r="D14" i="2"/>
  <c r="D13" i="2"/>
  <c r="D12" i="2"/>
  <c r="D11" i="2"/>
  <c r="D10" i="2"/>
  <c r="D9" i="2"/>
  <c r="H16" i="1" l="1"/>
  <c r="I6" i="3"/>
  <c r="D1" i="6"/>
  <c r="F4" i="6"/>
  <c r="G16" i="3"/>
  <c r="C7" i="3" s="1"/>
  <c r="D7" i="3" s="1"/>
  <c r="G15" i="3"/>
  <c r="C6" i="3" s="1"/>
  <c r="C21" i="2"/>
  <c r="D20" i="2"/>
  <c r="D7" i="1"/>
  <c r="D6" i="3" l="1"/>
  <c r="J5" i="3"/>
  <c r="G4" i="6"/>
  <c r="D6" i="2"/>
  <c r="D5" i="2"/>
  <c r="D4" i="2"/>
  <c r="D3" i="2"/>
  <c r="G11" i="3"/>
  <c r="G12" i="3"/>
  <c r="C3" i="3" s="1"/>
  <c r="G13" i="3"/>
  <c r="C4" i="3" s="1"/>
  <c r="C2" i="3" l="1"/>
  <c r="D2" i="3" s="1"/>
  <c r="D4" i="3"/>
  <c r="J4" i="3"/>
  <c r="D3" i="3"/>
  <c r="D6" i="1"/>
  <c r="G14" i="3" l="1"/>
  <c r="C5" i="3" s="1"/>
  <c r="J3" i="3" s="1"/>
  <c r="J6" i="3" s="1"/>
  <c r="J7" i="3" s="1"/>
  <c r="D5" i="3" l="1"/>
  <c r="D19" i="2"/>
  <c r="D18" i="2"/>
  <c r="D8" i="2"/>
  <c r="D7" i="2"/>
  <c r="D11" i="1"/>
  <c r="D10" i="1"/>
  <c r="D9" i="1"/>
  <c r="D8" i="1"/>
  <c r="E8" i="1" s="1"/>
  <c r="D5" i="1"/>
  <c r="D4" i="1"/>
  <c r="E4" i="1" s="1"/>
  <c r="D21" i="2" l="1"/>
</calcChain>
</file>

<file path=xl/sharedStrings.xml><?xml version="1.0" encoding="utf-8"?>
<sst xmlns="http://schemas.openxmlformats.org/spreadsheetml/2006/main" count="117" uniqueCount="84">
  <si>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</si>
  <si>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</si>
  <si>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</si>
  <si>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</si>
  <si>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</si>
  <si>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</si>
  <si>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</si>
  <si>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</si>
  <si>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</si>
  <si>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K-109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</si>
  <si>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</si>
  <si>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</si>
  <si>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</si>
  <si>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</si>
  <si>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</si>
  <si>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</si>
  <si>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</si>
  <si>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</si>
  <si>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HP Steam Generation</t>
  </si>
  <si>
    <t>LP Steam Generation</t>
  </si>
  <si>
    <t>MP Steam Generation</t>
  </si>
  <si>
    <t>Cooling water</t>
  </si>
  <si>
    <t>K-102</t>
  </si>
  <si>
    <t>K-103</t>
  </si>
  <si>
    <t>K-104</t>
  </si>
  <si>
    <t>K-105</t>
  </si>
  <si>
    <t>Unit operation</t>
  </si>
  <si>
    <t>Catalyst used</t>
  </si>
  <si>
    <t>Natural gas</t>
  </si>
  <si>
    <t>Oxygen</t>
  </si>
  <si>
    <t>Ethylene</t>
  </si>
  <si>
    <t>1-propanol (99.8 wt %)</t>
  </si>
  <si>
    <t>Product</t>
  </si>
  <si>
    <t>Waste water</t>
  </si>
  <si>
    <t>Emissions</t>
  </si>
  <si>
    <t>Caputred carbon dioxide</t>
  </si>
  <si>
    <t>kWh/kg propanol</t>
  </si>
  <si>
    <t>P-100</t>
  </si>
  <si>
    <t>P-101</t>
  </si>
  <si>
    <t>Pump</t>
  </si>
  <si>
    <t>P-102</t>
  </si>
  <si>
    <t>Data used for calculating the mass flow rate taken from Aspen Energy Analyzer</t>
  </si>
  <si>
    <t>Target load (kJ/h)</t>
  </si>
  <si>
    <t>Target flow rate (kg/h)</t>
  </si>
  <si>
    <t>Flow /kg propanol</t>
  </si>
  <si>
    <t>Flow rate (kg/h)</t>
  </si>
  <si>
    <t>Propanol produced</t>
  </si>
  <si>
    <t>Hydroformylation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</si>
  <si>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</si>
  <si>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Price ($/kg)</t>
  </si>
  <si>
    <t>kg/hr</t>
  </si>
  <si>
    <r>
      <t>Loading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</si>
  <si>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Reactor 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</si>
  <si>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Catalyst required (kg/hr)</t>
  </si>
  <si>
    <t>Catalyst required (kg/kg propanol)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</si>
  <si>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</si>
  <si>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</si>
  <si>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</si>
  <si>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</si>
  <si>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</si>
  <si>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</si>
  <si>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</si>
  <si>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</si>
  <si>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LP Steam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</si>
  <si>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</si>
  <si>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</si>
  <si>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</si>
  <si>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</si>
  <si>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</si>
  <si>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</si>
  <si>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</si>
  <si>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</si>
  <si>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Final product: 1-propanol (99.8 wt%)</t>
  </si>
  <si>
    <t>Methane</t>
  </si>
  <si>
    <t>CO</t>
  </si>
  <si>
    <t>CO2</t>
  </si>
  <si>
    <t>Ethane</t>
  </si>
  <si>
    <t>Propanal</t>
  </si>
  <si>
    <t>1-Propanol</t>
  </si>
  <si>
    <t>H2O</t>
  </si>
  <si>
    <t>MEAmine</t>
  </si>
  <si>
    <t>H2S</t>
  </si>
  <si>
    <t>TEGlycol</t>
  </si>
  <si>
    <t>Purge gas composotion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</si>
</sst>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0" fillId="0" borderId="0" xfId="0" applyNumberFormat="1"/>
    <xf numFmtId="0" fontId="0" fillId="0" borderId="1" xfId="0" applyBorder="1"/>
    <xf numFmtId="2" fontId="1" fillId="0" borderId="1" xfId="0" applyNumberFormat="1" applyFont="1" applyBorder="1"/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30" zoomScaleNormal="130" workbookViewId="0">
      <selection activeCell="F18" sqref="F18"/>
    </sheetView>
  </sheetViews>
  <sheetFormatPr defaultColWidth="9" defaultRowHeight="14.4" x14ac:dyDescent="0.3"/>
  <cols>
    <col min="1" max="1" width="33.88671875" style="1" bestFit="1" customWidth="1"/>
    <col min="2" max="2" width="21.109375" style="1" bestFit="1" customWidth="1"/>
    <col min="3" max="4" width="16.6640625" style="1" bestFit="1" customWidth="1"/>
    <col min="5" max="5" width="17" style="1" bestFit="1" customWidth="1"/>
    <col min="6" max="6" width="10.109375" style="1" bestFit="1" customWidth="1"/>
    <col min="7" max="7" width="12.109375" style="1" bestFit="1" customWidth="1"/>
    <col min="8" max="8" width="12.109375" style="23" bestFit="1" customWidth="1"/>
    <col min="9" max="16384" width="9" style="1"/>
  </cols>
  <sheetData>
    <row r="1" spans="1:8" x14ac:dyDescent="0.3">
      <c r="A1" s="2" t="s">
        <v>72</v>
      </c>
    </row>
    <row r="2" spans="1:8" x14ac:dyDescent="0.3">
      <c r="A2" s="2"/>
      <c r="F2" s="24" t="s">
        <v>83</v>
      </c>
      <c r="G2" s="24"/>
      <c r="H2" s="24"/>
    </row>
    <row r="3" spans="1:8" x14ac:dyDescent="0.3">
      <c r="A3" s="6" t="s">
        <v>0</v>
      </c>
      <c r="B3" s="6" t="s">
        <v>1</v>
      </c>
      <c r="C3" s="6" t="s">
        <v>2</v>
      </c>
      <c r="D3" s="6" t="s">
        <v>71</v>
      </c>
      <c r="F3" s="1" t="s">
        <v>73</v>
      </c>
      <c r="G3" s="1">
        <v>1.46775581817511</v>
      </c>
      <c r="H3" s="23">
        <f>G3/$C$11</f>
        <v>2.5875307733964073E-5</v>
      </c>
    </row>
    <row r="4" spans="1:8" x14ac:dyDescent="0.3">
      <c r="A4" s="3" t="s">
        <v>28</v>
      </c>
      <c r="B4" s="3" t="s">
        <v>17</v>
      </c>
      <c r="C4" s="4">
        <v>17147.7393199539</v>
      </c>
      <c r="D4" s="5">
        <f t="shared" ref="D4:D11" si="0">C4/C$11</f>
        <v>0.30230030523555873</v>
      </c>
      <c r="E4" s="1">
        <f>D4/0.68</f>
        <v>0.44455927240523341</v>
      </c>
      <c r="F4" s="1" t="s">
        <v>29</v>
      </c>
      <c r="G4" s="22">
        <v>1.0253283331929E-6</v>
      </c>
      <c r="H4" s="23">
        <f t="shared" ref="H4:H15" si="1">G4/$C$11</f>
        <v>1.8075681132509405E-11</v>
      </c>
    </row>
    <row r="5" spans="1:8" x14ac:dyDescent="0.3">
      <c r="A5" s="3" t="s">
        <v>29</v>
      </c>
      <c r="B5" s="3" t="s">
        <v>17</v>
      </c>
      <c r="C5" s="4">
        <v>23942.638719999999</v>
      </c>
      <c r="D5" s="5">
        <f t="shared" si="0"/>
        <v>0.42208869974938279</v>
      </c>
      <c r="F5" s="1" t="s">
        <v>74</v>
      </c>
      <c r="G5" s="1">
        <v>8.0063288946859795E-2</v>
      </c>
      <c r="H5" s="23">
        <f t="shared" si="1"/>
        <v>1.4114488350446606E-6</v>
      </c>
    </row>
    <row r="6" spans="1:8" x14ac:dyDescent="0.3">
      <c r="A6" s="3" t="s">
        <v>30</v>
      </c>
      <c r="B6" s="3" t="s">
        <v>17</v>
      </c>
      <c r="C6" s="4">
        <v>26751.322225834101</v>
      </c>
      <c r="D6" s="5">
        <f t="shared" si="0"/>
        <v>0.47160344133025789</v>
      </c>
      <c r="F6" s="1" t="s">
        <v>3</v>
      </c>
      <c r="G6" s="1">
        <v>0.61954619179389903</v>
      </c>
      <c r="H6" s="23">
        <f t="shared" si="1"/>
        <v>1.0922081295514306E-5</v>
      </c>
    </row>
    <row r="7" spans="1:8" x14ac:dyDescent="0.3">
      <c r="A7" s="3" t="s">
        <v>3</v>
      </c>
      <c r="B7" s="3" t="s">
        <v>17</v>
      </c>
      <c r="C7" s="4">
        <v>0</v>
      </c>
      <c r="D7" s="5">
        <f t="shared" ref="D7" si="2">C7/C$11</f>
        <v>0</v>
      </c>
      <c r="F7" s="1" t="s">
        <v>75</v>
      </c>
      <c r="G7" s="1">
        <v>4.5794141833400498E-2</v>
      </c>
      <c r="H7" s="23">
        <f>G7/$C$11</f>
        <v>8.0731242736635304E-7</v>
      </c>
    </row>
    <row r="8" spans="1:8" x14ac:dyDescent="0.3">
      <c r="A8" s="3" t="s">
        <v>33</v>
      </c>
      <c r="B8" s="3" t="s">
        <v>34</v>
      </c>
      <c r="C8" s="4">
        <f>4559.05292910432+161.866454911873+61.0250140223648+153.374043214225</f>
        <v>4935.3184412527835</v>
      </c>
      <c r="D8" s="5">
        <f t="shared" si="0"/>
        <v>8.7005537195757265E-2</v>
      </c>
      <c r="E8" s="1">
        <f>D8/1000</f>
        <v>8.7005537195757263E-5</v>
      </c>
      <c r="F8" s="1" t="s">
        <v>30</v>
      </c>
      <c r="G8" s="22">
        <v>1.02582889563813E-7</v>
      </c>
      <c r="H8" s="23">
        <f t="shared" si="1"/>
        <v>1.8084505629847452E-12</v>
      </c>
    </row>
    <row r="9" spans="1:8" x14ac:dyDescent="0.3">
      <c r="A9" s="3" t="s">
        <v>35</v>
      </c>
      <c r="B9" s="3" t="s">
        <v>34</v>
      </c>
      <c r="C9" s="4">
        <v>6329.9284125129298</v>
      </c>
      <c r="D9" s="5">
        <f t="shared" si="0"/>
        <v>0.11159134481331962</v>
      </c>
      <c r="F9" s="1" t="s">
        <v>76</v>
      </c>
      <c r="G9" s="1">
        <v>2.2608659630119301</v>
      </c>
      <c r="H9" s="23">
        <f t="shared" si="1"/>
        <v>3.9857176387087121E-5</v>
      </c>
    </row>
    <row r="10" spans="1:8" x14ac:dyDescent="0.3">
      <c r="A10" s="3" t="s">
        <v>70</v>
      </c>
      <c r="B10" s="3" t="s">
        <v>34</v>
      </c>
      <c r="C10" s="4">
        <v>5.4492008382907899</v>
      </c>
      <c r="D10" s="5">
        <f t="shared" si="0"/>
        <v>9.6064854146009774E-5</v>
      </c>
      <c r="F10" s="1" t="s">
        <v>77</v>
      </c>
      <c r="G10" s="1">
        <v>0</v>
      </c>
      <c r="H10" s="23">
        <f t="shared" si="1"/>
        <v>0</v>
      </c>
    </row>
    <row r="11" spans="1:8" x14ac:dyDescent="0.3">
      <c r="A11" s="9" t="s">
        <v>31</v>
      </c>
      <c r="B11" s="9" t="s">
        <v>32</v>
      </c>
      <c r="C11" s="16">
        <v>56724.187911725799</v>
      </c>
      <c r="D11" s="10">
        <f t="shared" si="0"/>
        <v>1</v>
      </c>
      <c r="F11" s="1" t="s">
        <v>78</v>
      </c>
      <c r="G11" s="1">
        <v>0.97157600059604099</v>
      </c>
      <c r="H11" s="23">
        <f t="shared" si="1"/>
        <v>1.7128072456638917E-5</v>
      </c>
    </row>
    <row r="12" spans="1:8" x14ac:dyDescent="0.3">
      <c r="F12" s="1" t="s">
        <v>79</v>
      </c>
      <c r="G12" s="1">
        <v>3.59534524922408E-3</v>
      </c>
      <c r="H12" s="23">
        <f t="shared" si="1"/>
        <v>6.3382930308656996E-8</v>
      </c>
    </row>
    <row r="13" spans="1:8" x14ac:dyDescent="0.3">
      <c r="F13" s="1" t="s">
        <v>80</v>
      </c>
      <c r="G13" s="22">
        <v>4.39831809001559E-10</v>
      </c>
      <c r="H13" s="23">
        <f t="shared" si="1"/>
        <v>7.7538670044254383E-15</v>
      </c>
    </row>
    <row r="14" spans="1:8" x14ac:dyDescent="0.3">
      <c r="F14" s="1" t="s">
        <v>81</v>
      </c>
      <c r="G14" s="1">
        <v>0</v>
      </c>
      <c r="H14" s="23">
        <f t="shared" si="1"/>
        <v>0</v>
      </c>
    </row>
    <row r="15" spans="1:8" x14ac:dyDescent="0.3">
      <c r="F15" s="1" t="s">
        <v>82</v>
      </c>
      <c r="G15" s="22">
        <v>3.6701574340956698E-8</v>
      </c>
      <c r="H15" s="23">
        <f t="shared" si="1"/>
        <v>6.4701806569838784E-13</v>
      </c>
    </row>
    <row r="16" spans="1:8" x14ac:dyDescent="0.3">
      <c r="H16" s="23">
        <f>SUM(H3:H15)</f>
        <v>9.6064802604827712E-5</v>
      </c>
    </row>
  </sheetData>
  <mergeCells count="1">
    <mergeCell ref="F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1"/>
  <sheetViews>
    <sheetView zoomScale="130" zoomScaleNormal="130" workbookViewId="0">
      <selection activeCell="D3" sqref="D3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6.5546875" style="1" bestFit="1" customWidth="1"/>
  </cols>
  <sheetData>
    <row r="2" spans="1:4" x14ac:dyDescent="0.3">
      <c r="A2" s="6" t="s">
        <v>5</v>
      </c>
      <c r="B2" s="6" t="s">
        <v>1</v>
      </c>
      <c r="C2" s="6" t="s">
        <v>4</v>
      </c>
      <c r="D2" s="6" t="s">
        <v>36</v>
      </c>
    </row>
    <row r="3" spans="1:4" x14ac:dyDescent="0.3">
      <c r="A3" s="3" t="s">
        <v>8</v>
      </c>
      <c r="B3" s="3" t="s">
        <v>6</v>
      </c>
      <c r="C3" s="5">
        <v>1757.5948316152601</v>
      </c>
      <c r="D3" s="5">
        <f>C3/'Material streams'!C$11</f>
        <v>3.0984927176928998E-2</v>
      </c>
    </row>
    <row r="4" spans="1:4" x14ac:dyDescent="0.3">
      <c r="A4" s="3" t="s">
        <v>7</v>
      </c>
      <c r="B4" s="3" t="s">
        <v>6</v>
      </c>
      <c r="C4" s="5">
        <v>1897.9966215173199</v>
      </c>
      <c r="D4" s="5">
        <f>C4/'Material streams'!C$11</f>
        <v>3.346009332863404E-2</v>
      </c>
    </row>
    <row r="5" spans="1:4" x14ac:dyDescent="0.3">
      <c r="A5" s="3" t="s">
        <v>22</v>
      </c>
      <c r="B5" s="3" t="s">
        <v>6</v>
      </c>
      <c r="C5" s="5">
        <v>1891.3410182626501</v>
      </c>
      <c r="D5" s="5">
        <f>C5/'Material streams'!C$11</f>
        <v>3.3342760608683471E-2</v>
      </c>
    </row>
    <row r="6" spans="1:4" x14ac:dyDescent="0.3">
      <c r="A6" s="3" t="s">
        <v>23</v>
      </c>
      <c r="B6" s="3" t="s">
        <v>6</v>
      </c>
      <c r="C6" s="5">
        <v>1291.6366073081699</v>
      </c>
      <c r="D6" s="5">
        <f>C6/'Material streams'!C$11</f>
        <v>2.277047331762978E-2</v>
      </c>
    </row>
    <row r="7" spans="1:4" x14ac:dyDescent="0.3">
      <c r="A7" s="3" t="s">
        <v>24</v>
      </c>
      <c r="B7" s="3" t="s">
        <v>6</v>
      </c>
      <c r="C7" s="5">
        <v>112.836626732269</v>
      </c>
      <c r="D7" s="5">
        <f>C7/'Material streams'!C$11</f>
        <v>1.989215375068311E-3</v>
      </c>
    </row>
    <row r="8" spans="1:4" x14ac:dyDescent="0.3">
      <c r="A8" s="3" t="s">
        <v>25</v>
      </c>
      <c r="B8" s="3" t="s">
        <v>6</v>
      </c>
      <c r="C8" s="5">
        <v>31.729198582828801</v>
      </c>
      <c r="D8" s="5">
        <f>C8/'Material streams'!C$11</f>
        <v>5.593592389935276E-4</v>
      </c>
    </row>
    <row r="9" spans="1:4" x14ac:dyDescent="0.3">
      <c r="A9" s="3" t="s">
        <v>55</v>
      </c>
      <c r="B9" s="3" t="s">
        <v>6</v>
      </c>
      <c r="C9" s="5">
        <v>1.8582964424383199</v>
      </c>
      <c r="D9" s="5">
        <f>C9/'Material streams'!C$11</f>
        <v>3.2760212368843456E-5</v>
      </c>
    </row>
    <row r="10" spans="1:4" x14ac:dyDescent="0.3">
      <c r="A10" s="3" t="s">
        <v>56</v>
      </c>
      <c r="B10" s="3" t="s">
        <v>6</v>
      </c>
      <c r="C10" s="5">
        <v>1.98122215268867</v>
      </c>
      <c r="D10" s="5">
        <f>C10/'Material streams'!C$11</f>
        <v>3.4927289849822948E-5</v>
      </c>
    </row>
    <row r="11" spans="1:4" x14ac:dyDescent="0.3">
      <c r="A11" s="3" t="s">
        <v>57</v>
      </c>
      <c r="B11" s="3" t="s">
        <v>6</v>
      </c>
      <c r="C11" s="5">
        <v>2.0742246606301702</v>
      </c>
      <c r="D11" s="5">
        <f>C11/'Material streams'!C$11</f>
        <v>3.6566846295941327E-5</v>
      </c>
    </row>
    <row r="12" spans="1:4" x14ac:dyDescent="0.3">
      <c r="A12" s="3" t="s">
        <v>9</v>
      </c>
      <c r="B12" s="3" t="s">
        <v>6</v>
      </c>
      <c r="C12" s="5">
        <v>1.4434991705812299</v>
      </c>
      <c r="D12" s="5">
        <f>C12/'Material streams'!C$11</f>
        <v>2.5447683320343057E-5</v>
      </c>
    </row>
    <row r="13" spans="1:4" x14ac:dyDescent="0.3">
      <c r="A13" s="3" t="s">
        <v>58</v>
      </c>
      <c r="B13" s="3" t="s">
        <v>6</v>
      </c>
      <c r="C13" s="5">
        <v>867.14823172742797</v>
      </c>
      <c r="D13" s="5">
        <f>C13/'Material streams'!C$11</f>
        <v>1.5287098214202455E-2</v>
      </c>
    </row>
    <row r="14" spans="1:4" x14ac:dyDescent="0.3">
      <c r="A14" s="3" t="s">
        <v>59</v>
      </c>
      <c r="B14" s="3" t="s">
        <v>6</v>
      </c>
      <c r="C14" s="5">
        <v>929.59754444857003</v>
      </c>
      <c r="D14" s="5">
        <f>C14/'Material streams'!C$11</f>
        <v>1.6388027377231211E-2</v>
      </c>
    </row>
    <row r="15" spans="1:4" x14ac:dyDescent="0.3">
      <c r="A15" s="3" t="s">
        <v>60</v>
      </c>
      <c r="B15" s="3" t="s">
        <v>6</v>
      </c>
      <c r="C15" s="5">
        <v>909.24837904992796</v>
      </c>
      <c r="D15" s="5">
        <f>C15/'Material streams'!C$11</f>
        <v>1.6029288607267513E-2</v>
      </c>
    </row>
    <row r="16" spans="1:4" x14ac:dyDescent="0.3">
      <c r="A16" s="3" t="s">
        <v>61</v>
      </c>
      <c r="B16" s="3" t="s">
        <v>6</v>
      </c>
      <c r="C16" s="5">
        <v>532.87049197203896</v>
      </c>
      <c r="D16" s="5">
        <f>C16/'Material streams'!C$11</f>
        <v>9.3940611860550954E-3</v>
      </c>
    </row>
    <row r="17" spans="1:4" x14ac:dyDescent="0.3">
      <c r="A17" s="3" t="s">
        <v>62</v>
      </c>
      <c r="B17" s="3" t="s">
        <v>6</v>
      </c>
      <c r="C17" s="5">
        <v>324.58092810333397</v>
      </c>
      <c r="D17" s="5">
        <f>C17/'Material streams'!C$11</f>
        <v>5.7220903472156694E-3</v>
      </c>
    </row>
    <row r="18" spans="1:4" x14ac:dyDescent="0.3">
      <c r="A18" s="3" t="s">
        <v>37</v>
      </c>
      <c r="B18" s="3" t="s">
        <v>39</v>
      </c>
      <c r="C18" s="5">
        <v>0.116935256079208</v>
      </c>
      <c r="D18" s="5">
        <f>C18/'Material streams'!C$11</f>
        <v>2.0614707831724746E-6</v>
      </c>
    </row>
    <row r="19" spans="1:4" x14ac:dyDescent="0.3">
      <c r="A19" s="3" t="s">
        <v>38</v>
      </c>
      <c r="B19" s="3" t="s">
        <v>39</v>
      </c>
      <c r="C19" s="5">
        <v>44.890113267603397</v>
      </c>
      <c r="D19" s="5">
        <f>C19/'Material streams'!C$11</f>
        <v>7.9137515970191421E-4</v>
      </c>
    </row>
    <row r="20" spans="1:4" x14ac:dyDescent="0.3">
      <c r="A20" s="3" t="s">
        <v>40</v>
      </c>
      <c r="B20" s="3" t="s">
        <v>39</v>
      </c>
      <c r="C20" s="5">
        <v>15.202885986014801</v>
      </c>
      <c r="D20" s="5">
        <f>C20/'Material streams'!C$11</f>
        <v>2.6801416724860896E-4</v>
      </c>
    </row>
    <row r="21" spans="1:4" x14ac:dyDescent="0.3">
      <c r="A21" s="3"/>
      <c r="B21" s="12" t="s">
        <v>10</v>
      </c>
      <c r="C21" s="15">
        <f>SUM(C3:C20)</f>
        <v>10614.147656255833</v>
      </c>
      <c r="D21" s="14">
        <f>SUM(D3:D20)</f>
        <v>0.1871185476074787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0" zoomScaleNormal="140" workbookViewId="0">
      <selection activeCell="F8" sqref="F8"/>
    </sheetView>
  </sheetViews>
  <sheetFormatPr defaultRowHeight="14.4" x14ac:dyDescent="0.3"/>
  <cols>
    <col min="1" max="1" width="32.5546875" customWidth="1"/>
    <col min="2" max="2" width="17.109375" bestFit="1" customWidth="1"/>
    <col min="3" max="3" width="20.33203125" customWidth="1"/>
    <col min="4" max="4" width="20" bestFit="1" customWidth="1"/>
    <col min="5" max="5" width="7.6640625" bestFit="1" customWidth="1"/>
    <col min="6" max="6" width="4.6640625" bestFit="1" customWidth="1"/>
    <col min="7" max="7" width="5.33203125" bestFit="1" customWidth="1"/>
    <col min="8" max="8" width="12.109375" bestFit="1" customWidth="1"/>
    <col min="9" max="9" width="14.5546875" bestFit="1" customWidth="1"/>
    <col min="10" max="10" width="10.109375" bestFit="1" customWidth="1"/>
  </cols>
  <sheetData>
    <row r="1" spans="1:10" x14ac:dyDescent="0.3">
      <c r="A1" s="13" t="s">
        <v>11</v>
      </c>
      <c r="B1" s="13" t="s">
        <v>12</v>
      </c>
      <c r="C1" s="13" t="s">
        <v>45</v>
      </c>
      <c r="D1" s="8" t="s">
        <v>44</v>
      </c>
    </row>
    <row r="2" spans="1:10" x14ac:dyDescent="0.3">
      <c r="A2" s="3" t="s">
        <v>21</v>
      </c>
      <c r="B2" s="4">
        <v>225006202.30875799</v>
      </c>
      <c r="C2" s="4">
        <f>B2/D11/G11</f>
        <v>10758125.857459145</v>
      </c>
      <c r="D2" s="5">
        <f>C2/'Material streams'!C$11</f>
        <v>189.65676289982227</v>
      </c>
      <c r="H2" s="20"/>
      <c r="I2" s="3" t="s">
        <v>67</v>
      </c>
      <c r="J2" s="20" t="s">
        <v>69</v>
      </c>
    </row>
    <row r="3" spans="1:10" x14ac:dyDescent="0.3">
      <c r="A3" s="3" t="s">
        <v>63</v>
      </c>
      <c r="B3" s="4">
        <v>1274259.7329893899</v>
      </c>
      <c r="C3" s="4">
        <f t="shared" ref="C3:C7" si="0">B3/D12/G12</f>
        <v>580.15831951802488</v>
      </c>
      <c r="D3" s="5">
        <f>C3/'Material streams'!C$11</f>
        <v>1.0227706043511234E-2</v>
      </c>
      <c r="E3" s="19"/>
      <c r="H3" s="3" t="s">
        <v>65</v>
      </c>
      <c r="I3" s="4">
        <f>B3-B5</f>
        <v>-134719207.1152356</v>
      </c>
      <c r="J3" s="4">
        <f>C3-C5</f>
        <v>-61336.371842667817</v>
      </c>
    </row>
    <row r="4" spans="1:10" x14ac:dyDescent="0.3">
      <c r="A4" s="3" t="s">
        <v>20</v>
      </c>
      <c r="B4" s="4">
        <v>19877930.435229201</v>
      </c>
      <c r="C4" s="4">
        <f t="shared" si="0"/>
        <v>10032.265284762894</v>
      </c>
      <c r="D4" s="5">
        <f>C4/'Material streams'!C$11</f>
        <v>0.17686044796930558</v>
      </c>
      <c r="E4" s="19"/>
      <c r="H4" s="3" t="s">
        <v>66</v>
      </c>
      <c r="I4" s="4">
        <f>-B4</f>
        <v>-19877930.435229201</v>
      </c>
      <c r="J4" s="4">
        <f>-C4</f>
        <v>-10032.265284762894</v>
      </c>
    </row>
    <row r="5" spans="1:10" x14ac:dyDescent="0.3">
      <c r="A5" s="3" t="s">
        <v>19</v>
      </c>
      <c r="B5" s="4">
        <v>135993466.848225</v>
      </c>
      <c r="C5" s="4">
        <f t="shared" si="0"/>
        <v>61916.530162185845</v>
      </c>
      <c r="D5" s="5">
        <f>C5/'Material streams'!C$11</f>
        <v>1.0915366520282384</v>
      </c>
      <c r="H5" s="3" t="s">
        <v>68</v>
      </c>
      <c r="I5" s="4">
        <f>B6-B7</f>
        <v>-20484590.094008323</v>
      </c>
      <c r="J5" s="4">
        <f>C6-C7</f>
        <v>-12027.825784750352</v>
      </c>
    </row>
    <row r="6" spans="1:10" x14ac:dyDescent="0.3">
      <c r="A6" s="3" t="s">
        <v>64</v>
      </c>
      <c r="B6" s="4">
        <v>101263.836810277</v>
      </c>
      <c r="C6" s="4">
        <f t="shared" si="0"/>
        <v>59.4585384359562</v>
      </c>
      <c r="D6" s="5">
        <f>C6/'Material streams'!C$11</f>
        <v>1.0482043132725954E-3</v>
      </c>
      <c r="E6" s="19"/>
      <c r="H6" s="6" t="s">
        <v>10</v>
      </c>
      <c r="I6" s="21">
        <f>SUM(I3:I5)</f>
        <v>-175081727.64447314</v>
      </c>
      <c r="J6" s="21">
        <f>SUM(J3:J5)</f>
        <v>-83396.462912181072</v>
      </c>
    </row>
    <row r="7" spans="1:10" x14ac:dyDescent="0.3">
      <c r="A7" s="3" t="s">
        <v>18</v>
      </c>
      <c r="B7" s="4">
        <v>20585853.930818599</v>
      </c>
      <c r="C7" s="4">
        <f t="shared" si="0"/>
        <v>12087.284323186308</v>
      </c>
      <c r="D7" s="5">
        <f>C7/'Material streams'!C$11</f>
        <v>0.21308871520552297</v>
      </c>
      <c r="J7">
        <f>J6/'Material streams'!C11</f>
        <v>-1.4702099048462831</v>
      </c>
    </row>
    <row r="9" spans="1:10" x14ac:dyDescent="0.3">
      <c r="A9" s="7" t="s">
        <v>41</v>
      </c>
    </row>
    <row r="10" spans="1:10" ht="15.6" x14ac:dyDescent="0.35">
      <c r="A10" s="6" t="s">
        <v>11</v>
      </c>
      <c r="B10" s="6" t="s">
        <v>42</v>
      </c>
      <c r="C10" s="6" t="s">
        <v>43</v>
      </c>
      <c r="D10" s="6" t="s">
        <v>13</v>
      </c>
      <c r="E10" s="6" t="s">
        <v>15</v>
      </c>
      <c r="F10" s="6" t="s">
        <v>16</v>
      </c>
      <c r="G10" s="6" t="s">
        <v>14</v>
      </c>
    </row>
    <row r="11" spans="1:10" x14ac:dyDescent="0.3">
      <c r="A11" s="3" t="s">
        <v>21</v>
      </c>
      <c r="B11" s="4">
        <v>225001150.438256</v>
      </c>
      <c r="C11" s="4">
        <v>10757884.314523401</v>
      </c>
      <c r="D11" s="3">
        <v>4.1829999999999998</v>
      </c>
      <c r="E11" s="3">
        <v>15</v>
      </c>
      <c r="F11" s="3">
        <v>20</v>
      </c>
      <c r="G11" s="3">
        <f t="shared" ref="G11:G16" si="1">F11-E11</f>
        <v>5</v>
      </c>
    </row>
    <row r="12" spans="1:10" x14ac:dyDescent="0.3">
      <c r="A12" s="3" t="s">
        <v>63</v>
      </c>
      <c r="B12" s="4">
        <v>1274259.7329893899</v>
      </c>
      <c r="C12" s="4">
        <v>580.15831951802704</v>
      </c>
      <c r="D12" s="3">
        <v>2196.4</v>
      </c>
      <c r="E12" s="3">
        <v>124</v>
      </c>
      <c r="F12" s="3">
        <v>125</v>
      </c>
      <c r="G12" s="3">
        <f t="shared" si="1"/>
        <v>1</v>
      </c>
    </row>
    <row r="13" spans="1:10" x14ac:dyDescent="0.3">
      <c r="A13" s="3" t="s">
        <v>20</v>
      </c>
      <c r="B13" s="4">
        <v>25316865.754232101</v>
      </c>
      <c r="C13" s="4">
        <v>12777.2614082125</v>
      </c>
      <c r="D13" s="3">
        <v>1981.4</v>
      </c>
      <c r="E13" s="3">
        <v>174</v>
      </c>
      <c r="F13" s="3">
        <v>175</v>
      </c>
      <c r="G13" s="3">
        <f t="shared" si="1"/>
        <v>1</v>
      </c>
    </row>
    <row r="14" spans="1:10" x14ac:dyDescent="0.3">
      <c r="A14" s="3" t="s">
        <v>19</v>
      </c>
      <c r="B14" s="4">
        <v>130559583.39976101</v>
      </c>
      <c r="C14" s="4">
        <v>59442.534784083298</v>
      </c>
      <c r="D14" s="3">
        <v>2196.4</v>
      </c>
      <c r="E14" s="3">
        <v>124</v>
      </c>
      <c r="F14" s="3">
        <v>125</v>
      </c>
      <c r="G14" s="3">
        <f t="shared" si="1"/>
        <v>1</v>
      </c>
    </row>
    <row r="15" spans="1:10" x14ac:dyDescent="0.3">
      <c r="A15" s="3" t="s">
        <v>64</v>
      </c>
      <c r="B15" s="4">
        <v>101263.836810277</v>
      </c>
      <c r="C15" s="4">
        <v>59.458538435955901</v>
      </c>
      <c r="D15" s="3">
        <v>1703.1</v>
      </c>
      <c r="E15" s="3">
        <v>249</v>
      </c>
      <c r="F15" s="3">
        <v>250</v>
      </c>
      <c r="G15" s="3">
        <f t="shared" si="1"/>
        <v>1</v>
      </c>
    </row>
    <row r="16" spans="1:10" x14ac:dyDescent="0.3">
      <c r="A16" s="3" t="s">
        <v>18</v>
      </c>
      <c r="B16" s="4">
        <v>20585853.9307824</v>
      </c>
      <c r="C16" s="4">
        <v>12087.2843231651</v>
      </c>
      <c r="D16" s="3">
        <v>1703.1</v>
      </c>
      <c r="E16" s="3">
        <v>249</v>
      </c>
      <c r="F16" s="3">
        <v>250</v>
      </c>
      <c r="G16" s="3">
        <f t="shared" si="1"/>
        <v>1</v>
      </c>
    </row>
    <row r="17" spans="5:5" x14ac:dyDescent="0.3">
      <c r="E17" s="11"/>
    </row>
    <row r="18" spans="5:5" x14ac:dyDescent="0.3">
      <c r="E18" s="11"/>
    </row>
    <row r="19" spans="5:5" x14ac:dyDescent="0.3">
      <c r="E19" s="11"/>
    </row>
    <row r="20" spans="5:5" x14ac:dyDescent="0.3">
      <c r="E20" s="11"/>
    </row>
    <row r="21" spans="5:5" x14ac:dyDescent="0.3">
      <c r="E21" s="11"/>
    </row>
    <row r="22" spans="5:5" x14ac:dyDescent="0.3">
      <c r="E22" s="11"/>
    </row>
    <row r="23" spans="5:5" x14ac:dyDescent="0.3">
      <c r="E23" s="11"/>
    </row>
    <row r="24" spans="5:5" x14ac:dyDescent="0.3">
      <c r="E24" s="11"/>
    </row>
    <row r="25" spans="5:5" x14ac:dyDescent="0.3">
      <c r="E25" s="11"/>
    </row>
    <row r="26" spans="5:5" x14ac:dyDescent="0.3">
      <c r="E26" s="11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zoomScale="120" zoomScaleNormal="120" workbookViewId="0">
      <selection activeCell="E8" sqref="E8"/>
    </sheetView>
  </sheetViews>
  <sheetFormatPr defaultRowHeight="14.4" x14ac:dyDescent="0.3"/>
  <cols>
    <col min="1" max="1" width="17.88671875" bestFit="1" customWidth="1"/>
    <col min="2" max="2" width="12.6640625" bestFit="1" customWidth="1"/>
    <col min="3" max="3" width="15.44140625" bestFit="1" customWidth="1"/>
    <col min="4" max="4" width="15.33203125" bestFit="1" customWidth="1"/>
    <col min="5" max="5" width="19.5546875" bestFit="1" customWidth="1"/>
    <col min="6" max="6" width="28.33203125" bestFit="1" customWidth="1"/>
    <col min="7" max="7" width="32.6640625" bestFit="1" customWidth="1"/>
  </cols>
  <sheetData>
    <row r="1" spans="1:7" x14ac:dyDescent="0.3">
      <c r="A1" s="25" t="s">
        <v>46</v>
      </c>
      <c r="B1" s="25"/>
      <c r="C1" s="25"/>
      <c r="D1" s="17">
        <f>SUM('Material streams'!C11)</f>
        <v>56724.187911725799</v>
      </c>
      <c r="E1" s="18" t="s">
        <v>50</v>
      </c>
    </row>
    <row r="3" spans="1:7" ht="16.2" x14ac:dyDescent="0.3">
      <c r="A3" s="6" t="s">
        <v>26</v>
      </c>
      <c r="B3" s="6" t="s">
        <v>27</v>
      </c>
      <c r="C3" s="6" t="s">
        <v>49</v>
      </c>
      <c r="D3" s="6" t="s">
        <v>51</v>
      </c>
      <c r="E3" s="6" t="s">
        <v>52</v>
      </c>
      <c r="F3" s="6" t="s">
        <v>53</v>
      </c>
      <c r="G3" s="6" t="s">
        <v>54</v>
      </c>
    </row>
    <row r="4" spans="1:7" ht="15.6" x14ac:dyDescent="0.35">
      <c r="A4" s="3" t="s">
        <v>47</v>
      </c>
      <c r="B4" s="3" t="s">
        <v>48</v>
      </c>
      <c r="C4" s="3">
        <v>286000</v>
      </c>
      <c r="D4" s="5">
        <v>0.27</v>
      </c>
      <c r="E4" s="4">
        <v>240</v>
      </c>
      <c r="F4" s="3">
        <f>D4*E4/8000</f>
        <v>8.1000000000000013E-3</v>
      </c>
      <c r="G4" s="3">
        <f>F4/D1</f>
        <v>1.4279622676317947E-7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streams</vt:lpstr>
      <vt:lpstr>Electricity</vt:lpstr>
      <vt:lpstr>Utilities</vt:lpstr>
      <vt:lpstr>Hydroformylation catalyst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2022-09-19T14:04:30Z</dcterms:modified>
</cp:coreProperties>
</file>