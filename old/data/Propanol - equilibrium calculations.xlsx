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13_ncr:1_{606C2D1E-FBC7-47FA-A692-A5D449CDFA79}" xr6:coauthVersionLast="47" xr6:coauthVersionMax="47" xr10:uidLastSave="{00000000-0000-0000-0000-000000000000}"/>
  <bookViews>
    <workbookView xWindow="1560" yWindow="1560" windowWidth="21600" windowHeight="12735" xr2:uid="{D579EDAB-2A82-4157-BA71-B25C65660C10}"/>
  </bookViews>
  <sheets>
    <sheet name="Data" sheetId="1" r:id="rId1"/>
    <sheet name="LCA results - cradle to gate" sheetId="2" r:id="rId2"/>
    <sheet name="LCA contri - cradle to gate" sheetId="4" r:id="rId3"/>
    <sheet name="Economic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I5" i="1"/>
  <c r="I4" i="1"/>
  <c r="B12" i="1" l="1"/>
  <c r="B5" i="3"/>
  <c r="B13" i="1"/>
  <c r="B11" i="1"/>
  <c r="B10" i="1"/>
  <c r="D7" i="1"/>
  <c r="G6" i="1"/>
  <c r="D6" i="1"/>
  <c r="G5" i="1"/>
  <c r="D5" i="1"/>
  <c r="G4" i="1"/>
  <c r="D4" i="1"/>
  <c r="E4" i="1" l="1"/>
  <c r="C4" i="3" s="1"/>
  <c r="C5" i="3" s="1"/>
  <c r="D5" i="3" s="1"/>
  <c r="E6" i="1"/>
  <c r="C7" i="3" s="1"/>
  <c r="C8" i="3" s="1"/>
  <c r="D8" i="3" s="1"/>
  <c r="E5" i="1"/>
  <c r="E7" i="1"/>
  <c r="C6" i="3" l="1"/>
  <c r="D6" i="3" s="1"/>
  <c r="C9" i="3"/>
  <c r="D9" i="3" s="1"/>
  <c r="D4" i="3"/>
  <c r="D7" i="3"/>
  <c r="B17" i="3" l="1"/>
  <c r="D17" i="3" s="1"/>
  <c r="B15" i="3"/>
  <c r="D15" i="3" s="1"/>
  <c r="B16" i="3"/>
  <c r="D16" i="3" s="1"/>
  <c r="B18" i="3"/>
  <c r="D18" i="3" s="1"/>
</calcChain>
</file>

<file path=xl/sharedStrings.xml><?xml version="1.0" encoding="utf-8"?>
<sst xmlns="http://schemas.openxmlformats.org/spreadsheetml/2006/main" count="262" uniqueCount="96">
  <si>
    <t>Propanol (1 kmol/hr)</t>
  </si>
  <si>
    <t>M. Wt.</t>
  </si>
  <si>
    <t>kmol/hr</t>
  </si>
  <si>
    <t>kg/hr</t>
  </si>
  <si>
    <t>kg/kg of propanol</t>
  </si>
  <si>
    <t>Type</t>
  </si>
  <si>
    <t>Molar ratio</t>
  </si>
  <si>
    <t>Stoichiometric ratio</t>
  </si>
  <si>
    <t>Carbon dioxide</t>
  </si>
  <si>
    <t>Feed</t>
  </si>
  <si>
    <t>Hydrogen</t>
  </si>
  <si>
    <t>Ethylene</t>
  </si>
  <si>
    <t>Propanol</t>
  </si>
  <si>
    <t>Output</t>
  </si>
  <si>
    <t>Equilibrium conversion</t>
  </si>
  <si>
    <t>Literature value</t>
  </si>
  <si>
    <t>RWGS (carbon dioxide)</t>
  </si>
  <si>
    <t>Hydroformylation (CO)</t>
  </si>
  <si>
    <t>Hydrogenation (propanal)</t>
  </si>
  <si>
    <t>Global warming</t>
  </si>
  <si>
    <t>Stratospheric ozone depletion</t>
  </si>
  <si>
    <t>Ionizing radiation</t>
  </si>
  <si>
    <t>Ozone formation, Human health</t>
  </si>
  <si>
    <t>Fine particulate matter formation</t>
  </si>
  <si>
    <t>Ozone formation, Terrestrial ecosystems</t>
  </si>
  <si>
    <t>Terrestrial acidification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</si>
  <si>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</si>
  <si>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</si>
  <si>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</si>
  <si>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</si>
  <si>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</si>
  <si>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</si>
  <si>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</si>
  <si>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Land use</t>
  </si>
  <si>
    <t>Mineral resource scarcity</t>
  </si>
  <si>
    <t>Fossil resource scarcity</t>
  </si>
  <si>
    <t>Water consumption</t>
  </si>
  <si>
    <t>Process</t>
  </si>
  <si>
    <t>kg CO2 eq</t>
  </si>
  <si>
    <t>kg CFC11 eq</t>
  </si>
  <si>
    <t>kBq Co-60 eq</t>
  </si>
  <si>
    <t>kg NOx eq</t>
  </si>
  <si>
    <t>kg PM2.5 eq</t>
  </si>
  <si>
    <t>kg SO2 eq</t>
  </si>
  <si>
    <t>kg P eq</t>
  </si>
  <si>
    <t>kg N eq</t>
  </si>
  <si>
    <t>kg 1,4-DCB</t>
  </si>
  <si>
    <t>m2a crop eq</t>
  </si>
  <si>
    <t>kg Cu eq</t>
  </si>
  <si>
    <t>kg oil eq</t>
  </si>
  <si>
    <t>m3</t>
  </si>
  <si>
    <t>1-propanol {GLO}| market for | Cut-off, S</t>
  </si>
  <si>
    <t>BAU</t>
  </si>
  <si>
    <t>DAC + wind</t>
  </si>
  <si>
    <t>DAC + wind + gE</t>
  </si>
  <si>
    <t>NG + wind</t>
  </si>
  <si>
    <t>NG + wind + gE</t>
  </si>
  <si>
    <t>Hydroformylation (ethylene)</t>
  </si>
  <si>
    <t>Propanol; carbon dioxide from DAC; hydrogen from wind-powered water electrolysis; BAU ethylene; equilibrium conversions; Abhi</t>
  </si>
  <si>
    <t>Propanol; carbon dioxide from DAC; hydrogen from wind-powered water electrolysis; ethylene from gMeOH; equilibrium conversions; Abhi</t>
  </si>
  <si>
    <t>Propanol; carbon dioxide from NG power-plant; hydrogen from wind-powered water electrolysis; BAU ethylene; equilibrium conversions; Abhi</t>
  </si>
  <si>
    <t>Propanol; carbon dioxide from NG power-plant; hydrogen from wind-powered water electrolysis; ethylene from gMeOH; equilibrium conversions; Abhi</t>
  </si>
  <si>
    <t>Cost of production assuming reaction efficiencies and only raw material costs</t>
  </si>
  <si>
    <t>Price [$/t]</t>
  </si>
  <si>
    <t>Input [t/t propanol]</t>
  </si>
  <si>
    <t>Amount [$/t propanol]</t>
  </si>
  <si>
    <t>Carbon dioxide from NG</t>
  </si>
  <si>
    <t>Carbon dioxide from DAC</t>
  </si>
  <si>
    <t>Hydrogen from wind</t>
  </si>
  <si>
    <t>Ethylene BAU</t>
  </si>
  <si>
    <t>Ethylene - gMeOH - NG</t>
  </si>
  <si>
    <t>Ethylene - gMeOH - DAC</t>
  </si>
  <si>
    <t>Market price</t>
  </si>
  <si>
    <t>$/t propanol</t>
  </si>
  <si>
    <t>Global warming in kg CO2 eq</t>
  </si>
  <si>
    <t xml:space="preserve">Case </t>
  </si>
  <si>
    <t>Label</t>
  </si>
  <si>
    <t>Total</t>
  </si>
  <si>
    <t>Human health in DALY</t>
  </si>
  <si>
    <t>Ecosystems in species.yr</t>
  </si>
  <si>
    <t>Resources in USD2013</t>
  </si>
  <si>
    <t>Wind scenario</t>
  </si>
  <si>
    <t>Grid scenaraio</t>
  </si>
  <si>
    <t>DAC + grid</t>
  </si>
  <si>
    <t>DAC + grid + gE</t>
  </si>
  <si>
    <t>NG + grid</t>
  </si>
  <si>
    <t>NG + grid + gE</t>
  </si>
  <si>
    <t>Propanol; carbon dioxide from NG power-plant; hydrogen from grid-powered water electrolysis; BAU ethylene; equilibrium conversions; Abhi</t>
  </si>
  <si>
    <t>Propanol; carbon dioxide from DAC; hydrogen from grid-powered water electrolysis; BAU ethylene; equilibrium conversions; Abhi</t>
  </si>
  <si>
    <t>Propanol; carbon dioxide from DAC; hydrogen from grid-powered water electrolysis; ethylene from gMeOH; equilibrium conversions; Abhi</t>
  </si>
  <si>
    <t>Propanol; carbon dioxide from NG power-plant; hydrogen from grid-powered water electrolysis; ethylene from gMeOH; equilibrium conversions; Abhi</t>
  </si>
  <si>
    <t>Emissions</t>
  </si>
  <si>
    <t>Electricity</t>
  </si>
  <si>
    <t>Cooling</t>
  </si>
  <si>
    <t>kmol / kg propanol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</si>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</sst>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2" fontId="1" fillId="0" borderId="1" xfId="1" applyNumberForma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0" borderId="2" xfId="1" applyBorder="1" applyAlignment="1">
      <alignment horizontal="center"/>
    </xf>
    <xf numFmtId="0" fontId="2" fillId="0" borderId="0" xfId="2"/>
    <xf numFmtId="0" fontId="2" fillId="0" borderId="1" xfId="2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2" applyNumberFormat="1" applyBorder="1" applyAlignment="1">
      <alignment horizontal="center"/>
    </xf>
    <xf numFmtId="11" fontId="2" fillId="0" borderId="1" xfId="2" applyNumberFormat="1" applyBorder="1" applyAlignment="1">
      <alignment horizontal="center"/>
    </xf>
    <xf numFmtId="0" fontId="2" fillId="0" borderId="0" xfId="2" applyAlignment="1">
      <alignment horizontal="center"/>
    </xf>
    <xf numFmtId="11" fontId="2" fillId="0" borderId="0" xfId="2" applyNumberFormat="1"/>
    <xf numFmtId="0" fontId="2" fillId="0" borderId="3" xfId="2" applyBorder="1"/>
    <xf numFmtId="2" fontId="2" fillId="0" borderId="1" xfId="2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0" borderId="0" xfId="2" applyNumberFormat="1" applyAlignment="1">
      <alignment horizontal="center"/>
    </xf>
    <xf numFmtId="10" fontId="2" fillId="0" borderId="1" xfId="2" applyNumberFormat="1" applyBorder="1" applyAlignment="1">
      <alignment horizontal="center"/>
    </xf>
    <xf numFmtId="0" fontId="1" fillId="4" borderId="2" xfId="1" applyFill="1" applyBorder="1" applyAlignment="1">
      <alignment horizontal="center"/>
    </xf>
    <xf numFmtId="2" fontId="1" fillId="4" borderId="1" xfId="1" applyNumberFormat="1" applyFill="1" applyBorder="1" applyAlignment="1">
      <alignment horizontal="center"/>
    </xf>
    <xf numFmtId="0" fontId="1" fillId="0" borderId="0" xfId="3"/>
    <xf numFmtId="0" fontId="1" fillId="0" borderId="1" xfId="3" applyBorder="1" applyAlignment="1">
      <alignment horizontal="center"/>
    </xf>
    <xf numFmtId="11" fontId="1" fillId="0" borderId="0" xfId="3" applyNumberFormat="1"/>
    <xf numFmtId="0" fontId="1" fillId="0" borderId="1" xfId="3" applyBorder="1"/>
    <xf numFmtId="11" fontId="1" fillId="0" borderId="1" xfId="3" applyNumberFormat="1" applyBorder="1"/>
    <xf numFmtId="0" fontId="1" fillId="0" borderId="0" xfId="1" applyAlignment="1">
      <alignment horizontal="right"/>
    </xf>
    <xf numFmtId="11" fontId="1" fillId="0" borderId="0" xfId="1" applyNumberFormat="1" applyAlignment="1">
      <alignment horizontal="right"/>
    </xf>
    <xf numFmtId="0" fontId="3" fillId="0" borderId="0" xfId="1" applyFont="1"/>
    <xf numFmtId="0" fontId="3" fillId="5" borderId="2" xfId="3" applyFont="1" applyFill="1" applyBorder="1" applyAlignment="1">
      <alignment horizontal="center"/>
    </xf>
    <xf numFmtId="0" fontId="3" fillId="5" borderId="4" xfId="3" applyFont="1" applyFill="1" applyBorder="1" applyAlignment="1">
      <alignment horizontal="center"/>
    </xf>
    <xf numFmtId="0" fontId="3" fillId="5" borderId="5" xfId="3" applyFont="1" applyFill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4" xfId="3" applyFont="1" applyBorder="1" applyAlignment="1">
      <alignment horizontal="center"/>
    </xf>
    <xf numFmtId="0" fontId="3" fillId="0" borderId="5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3" fillId="2" borderId="1" xfId="3" applyFont="1" applyFill="1" applyBorder="1" applyAlignment="1">
      <alignment horizontal="center"/>
    </xf>
  </cellXfs>
  <cellStyles count="4">
    <cellStyle name="Normal" xfId="0" builtinId="0"/>
    <cellStyle name="Normal 2" xfId="1" xr:uid="{427E4D0A-EE0A-4F93-90DD-14F34B5BFA3F}"/>
    <cellStyle name="Normal 2 2" xfId="2" xr:uid="{67F682E8-AC1E-4071-8928-D3C8732F4F95}"/>
    <cellStyle name="Normal 3" xfId="3" xr:uid="{3FAE82B9-AD25-4604-88E1-876E69966EAD}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Global warming [kg CO2 eq]</a:t>
            </a:r>
            <a:r>
              <a:rPr lang="de-CH" sz="1400" b="0" i="0" u="none" strike="noStrike" baseline="0"/>
              <a:t> 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gate'!$C$3:$C$7</c:f>
              <c:numCache>
                <c:formatCode>0.0000</c:formatCode>
                <c:ptCount val="5"/>
                <c:pt idx="0">
                  <c:v>4.6039285999999997</c:v>
                </c:pt>
                <c:pt idx="1">
                  <c:v>0.38783301999999997</c:v>
                </c:pt>
                <c:pt idx="2">
                  <c:v>-1.6351616</c:v>
                </c:pt>
                <c:pt idx="3">
                  <c:v>1.1808419999999999</c:v>
                </c:pt>
                <c:pt idx="4">
                  <c:v>0.99334683000000001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C-46DD-9899-95F89686D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Stratospheric ozone depletion</a:t>
            </a:r>
            <a:r>
              <a:rPr lang="de-CH" sz="1400" b="0" i="0" u="none" strike="noStrike" baseline="0"/>
              <a:t> [kg CFC11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gate'!$D$3:$D$7</c:f>
              <c:numCache>
                <c:formatCode>0.00E+00</c:formatCode>
                <c:ptCount val="5"/>
                <c:pt idx="0">
                  <c:v>1.4640390000000001E-6</c:v>
                </c:pt>
                <c:pt idx="1">
                  <c:v>9.7167512999999994E-8</c:v>
                </c:pt>
                <c:pt idx="2">
                  <c:v>3.2556585999999999E-7</c:v>
                </c:pt>
                <c:pt idx="3">
                  <c:v>1.0267421E-7</c:v>
                </c:pt>
                <c:pt idx="4">
                  <c:v>3.4381835000000001E-7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1-4C90-A0C5-496BB6810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Ionizing radiation [kBq Co-60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gate'!$E$3:$E$7</c:f>
              <c:numCache>
                <c:formatCode>0.0000</c:formatCode>
                <c:ptCount val="5"/>
                <c:pt idx="0">
                  <c:v>0.25496323999999998</c:v>
                </c:pt>
                <c:pt idx="1">
                  <c:v>6.9405405999999996E-3</c:v>
                </c:pt>
                <c:pt idx="2">
                  <c:v>2.5325692E-2</c:v>
                </c:pt>
                <c:pt idx="3">
                  <c:v>7.6734932E-3</c:v>
                </c:pt>
                <c:pt idx="4">
                  <c:v>2.7755136999999999E-2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0-4FD7-98BE-6C6592AE4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Human health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gate'!$F$3:$F$7</c:f>
              <c:numCache>
                <c:formatCode>0.0000</c:formatCode>
                <c:ptCount val="5"/>
                <c:pt idx="0">
                  <c:v>1.6488507999999999E-2</c:v>
                </c:pt>
                <c:pt idx="1">
                  <c:v>2.1127714E-3</c:v>
                </c:pt>
                <c:pt idx="2">
                  <c:v>2.5809240000000001E-3</c:v>
                </c:pt>
                <c:pt idx="3">
                  <c:v>2.5410762999999999E-3</c:v>
                </c:pt>
                <c:pt idx="4">
                  <c:v>4.0005839999999997E-3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0-44CD-90FD-52DD14C3E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Fine particulate matter formation</a:t>
            </a:r>
            <a:r>
              <a:rPr lang="de-CH" sz="1400" b="0" i="0" u="none" strike="noStrike" baseline="0"/>
              <a:t> [kg PM2.5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gate'!$G$3:$G$7</c:f>
              <c:numCache>
                <c:formatCode>0.0000</c:formatCode>
                <c:ptCount val="5"/>
                <c:pt idx="0">
                  <c:v>8.4093069999999995E-3</c:v>
                </c:pt>
                <c:pt idx="1">
                  <c:v>1.0299253E-3</c:v>
                </c:pt>
                <c:pt idx="2">
                  <c:v>1.4382583999999999E-3</c:v>
                </c:pt>
                <c:pt idx="3">
                  <c:v>1.0767292000000001E-3</c:v>
                </c:pt>
                <c:pt idx="4">
                  <c:v>1.5933945000000001E-3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E-46A7-99C8-B3D94686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Terrestrial ecosystems</a:t>
            </a:r>
            <a:r>
              <a:rPr lang="de-CH" sz="1400" b="0" i="0" u="none" strike="noStrike" baseline="0"/>
              <a:t>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gate'!$H$3:$H$7</c:f>
              <c:numCache>
                <c:formatCode>0.0000</c:formatCode>
                <c:ptCount val="5"/>
                <c:pt idx="0">
                  <c:v>2.0628871E-2</c:v>
                </c:pt>
                <c:pt idx="1">
                  <c:v>2.2899968000000001E-3</c:v>
                </c:pt>
                <c:pt idx="2">
                  <c:v>3.1294588000000002E-3</c:v>
                </c:pt>
                <c:pt idx="3">
                  <c:v>2.7148132E-3</c:v>
                </c:pt>
                <c:pt idx="4">
                  <c:v>4.5375557999999998E-3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8-487B-9EF2-E84760B44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acidification</a:t>
            </a:r>
            <a:r>
              <a:rPr lang="de-CH" sz="1400" b="0" i="0" u="none" strike="noStrike" baseline="0"/>
              <a:t> [kg SO2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gate'!$I$3:$I$7</c:f>
              <c:numCache>
                <c:formatCode>0.0000</c:formatCode>
                <c:ptCount val="5"/>
                <c:pt idx="0">
                  <c:v>1.8631587000000002E-2</c:v>
                </c:pt>
                <c:pt idx="1">
                  <c:v>2.6675556E-3</c:v>
                </c:pt>
                <c:pt idx="2">
                  <c:v>2.6930227E-3</c:v>
                </c:pt>
                <c:pt idx="3">
                  <c:v>2.8249521E-3</c:v>
                </c:pt>
                <c:pt idx="4">
                  <c:v>3.2147293E-3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2-4E78-85B4-B0680F8D7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eutrophication</a:t>
            </a:r>
            <a:r>
              <a:rPr lang="de-CH" sz="1400" b="0" i="0" u="none" strike="noStrike" baseline="0"/>
              <a:t> [kg 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gate'!$J$3:$J$7</c:f>
              <c:numCache>
                <c:formatCode>0.00E+00</c:formatCode>
                <c:ptCount val="5"/>
                <c:pt idx="0">
                  <c:v>1.6225464E-3</c:v>
                </c:pt>
                <c:pt idx="1">
                  <c:v>1.1455567E-4</c:v>
                </c:pt>
                <c:pt idx="2">
                  <c:v>3.8242319000000001E-4</c:v>
                </c:pt>
                <c:pt idx="3">
                  <c:v>1.1271034999999999E-4</c:v>
                </c:pt>
                <c:pt idx="4">
                  <c:v>3.7630668000000002E-4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8-4149-8CC6-86EB3E173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eutrophication</a:t>
            </a:r>
            <a:r>
              <a:rPr lang="de-CH" sz="1400" b="0" i="0" u="none" strike="noStrike" baseline="0"/>
              <a:t> [kg N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gate'!$K$3:$K$7</c:f>
              <c:numCache>
                <c:formatCode>0.00E+00</c:formatCode>
                <c:ptCount val="5"/>
                <c:pt idx="0">
                  <c:v>1.0706915E-4</c:v>
                </c:pt>
                <c:pt idx="1">
                  <c:v>1.4235823E-5</c:v>
                </c:pt>
                <c:pt idx="2">
                  <c:v>4.5803511E-5</c:v>
                </c:pt>
                <c:pt idx="3">
                  <c:v>1.7959366E-5</c:v>
                </c:pt>
                <c:pt idx="4">
                  <c:v>5.8145571000000002E-5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F-4CB5-B66F-A0EB58FCD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gate'!$L$3:$L$7</c:f>
              <c:numCache>
                <c:formatCode>0.0000</c:formatCode>
                <c:ptCount val="5"/>
                <c:pt idx="0">
                  <c:v>8.8305188999999995</c:v>
                </c:pt>
                <c:pt idx="1">
                  <c:v>2.1396375999999999</c:v>
                </c:pt>
                <c:pt idx="2">
                  <c:v>7.3541344999999998</c:v>
                </c:pt>
                <c:pt idx="3">
                  <c:v>2.1733834999999999</c:v>
                </c:pt>
                <c:pt idx="4">
                  <c:v>7.4659886000000002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F-452C-AA98-05C4674C2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gate'!$M$3:$M$7</c:f>
              <c:numCache>
                <c:formatCode>0.0000</c:formatCode>
                <c:ptCount val="5"/>
                <c:pt idx="0">
                  <c:v>0.10247449</c:v>
                </c:pt>
                <c:pt idx="1">
                  <c:v>6.3802209999999998E-2</c:v>
                </c:pt>
                <c:pt idx="2">
                  <c:v>0.21722760999999999</c:v>
                </c:pt>
                <c:pt idx="3">
                  <c:v>6.1459900999999997E-2</c:v>
                </c:pt>
                <c:pt idx="4">
                  <c:v>0.20946379000000001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E-4326-8970-E39FEB422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gate'!$N$3:$N$7</c:f>
              <c:numCache>
                <c:formatCode>0.0000</c:formatCode>
                <c:ptCount val="5"/>
                <c:pt idx="0">
                  <c:v>0.14484010999999999</c:v>
                </c:pt>
                <c:pt idx="1">
                  <c:v>8.0105494999999999E-2</c:v>
                </c:pt>
                <c:pt idx="2">
                  <c:v>0.27200457</c:v>
                </c:pt>
                <c:pt idx="3">
                  <c:v>7.7099083999999998E-2</c:v>
                </c:pt>
                <c:pt idx="4">
                  <c:v>0.26203952000000003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B-49C6-A596-AA1EF59A1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gate'!$O$3:$O$7</c:f>
              <c:numCache>
                <c:formatCode>0.0000</c:formatCode>
                <c:ptCount val="5"/>
                <c:pt idx="0">
                  <c:v>0.14768858000000001</c:v>
                </c:pt>
                <c:pt idx="1">
                  <c:v>6.4826409000000002E-2</c:v>
                </c:pt>
                <c:pt idx="2">
                  <c:v>0.19141294</c:v>
                </c:pt>
                <c:pt idx="3">
                  <c:v>6.2915258000000002E-2</c:v>
                </c:pt>
                <c:pt idx="4">
                  <c:v>0.18507823000000001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3-4D4C-A0B0-1460532F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non-carcinogenic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gate'!$P$3:$P$7</c:f>
              <c:numCache>
                <c:formatCode>0.0000</c:formatCode>
                <c:ptCount val="5"/>
                <c:pt idx="0">
                  <c:v>4.5199340000000001</c:v>
                </c:pt>
                <c:pt idx="1">
                  <c:v>0.68735900000000005</c:v>
                </c:pt>
                <c:pt idx="2">
                  <c:v>2.2725947</c:v>
                </c:pt>
                <c:pt idx="3">
                  <c:v>0.65139789999999997</c:v>
                </c:pt>
                <c:pt idx="4">
                  <c:v>2.1533980000000001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B-4811-ABAD-BB3A1F68A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Land use</a:t>
            </a:r>
            <a:r>
              <a:rPr lang="de-CH" sz="1400" b="0" i="0" u="none" strike="noStrike" baseline="0"/>
              <a:t> [m2a crop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gate'!$Q$3:$Q$7</c:f>
              <c:numCache>
                <c:formatCode>0.0000</c:formatCode>
                <c:ptCount val="5"/>
                <c:pt idx="0">
                  <c:v>0.10146991</c:v>
                </c:pt>
                <c:pt idx="1">
                  <c:v>1.2333663999999999E-2</c:v>
                </c:pt>
                <c:pt idx="2">
                  <c:v>4.2589544999999999E-2</c:v>
                </c:pt>
                <c:pt idx="3">
                  <c:v>1.1726624999999999E-2</c:v>
                </c:pt>
                <c:pt idx="4">
                  <c:v>4.0577452999999999E-2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6-4195-BFB8-D90B1DCED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Mineral resource scarcity</a:t>
            </a:r>
            <a:r>
              <a:rPr lang="de-CH" sz="1400" b="0" i="0" u="none" strike="noStrike" baseline="0"/>
              <a:t> [kg Cu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gate'!$R$3:$R$7</c:f>
              <c:numCache>
                <c:formatCode>0.0000</c:formatCode>
                <c:ptCount val="5"/>
                <c:pt idx="0">
                  <c:v>7.6205869000000002E-3</c:v>
                </c:pt>
                <c:pt idx="1">
                  <c:v>5.5242407000000004E-3</c:v>
                </c:pt>
                <c:pt idx="2">
                  <c:v>1.9104904999999998E-2</c:v>
                </c:pt>
                <c:pt idx="3">
                  <c:v>5.3042419000000002E-3</c:v>
                </c:pt>
                <c:pt idx="4">
                  <c:v>1.8375696E-2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0-4BEC-883C-BD0460D31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Fossil resource scarcity</a:t>
            </a:r>
            <a:r>
              <a:rPr lang="de-CH" sz="1400" b="0" i="0" u="none" strike="noStrike" baseline="0"/>
              <a:t> [kg oil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gate'!$S$3:$S$7</c:f>
              <c:numCache>
                <c:formatCode>0.0000</c:formatCode>
                <c:ptCount val="5"/>
                <c:pt idx="0">
                  <c:v>2.0455138000000002</c:v>
                </c:pt>
                <c:pt idx="1">
                  <c:v>1.0421539</c:v>
                </c:pt>
                <c:pt idx="2">
                  <c:v>0.52216260000000003</c:v>
                </c:pt>
                <c:pt idx="3">
                  <c:v>1.0209490000000001</c:v>
                </c:pt>
                <c:pt idx="4">
                  <c:v>0.45187690000000003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D-4E2C-B2E9-90286A55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Water consumption</a:t>
            </a:r>
            <a:r>
              <a:rPr lang="de-CH" sz="1400" b="0" i="0" u="none" strike="noStrike" baseline="0"/>
              <a:t> [m3]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gate'!$T$3:$T$7</c:f>
              <c:numCache>
                <c:formatCode>0.0000</c:formatCode>
                <c:ptCount val="5"/>
                <c:pt idx="0">
                  <c:v>8.0522865999999998E-2</c:v>
                </c:pt>
                <c:pt idx="1">
                  <c:v>1.258283E-2</c:v>
                </c:pt>
                <c:pt idx="2">
                  <c:v>1.8402789999999999E-2</c:v>
                </c:pt>
                <c:pt idx="3">
                  <c:v>1.0743376000000001E-2</c:v>
                </c:pt>
                <c:pt idx="4">
                  <c:v>1.2305734E-2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7-412B-A6EE-E8B34C62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8</xdr:row>
      <xdr:rowOff>171449</xdr:rowOff>
    </xdr:from>
    <xdr:to>
      <xdr:col>0</xdr:col>
      <xdr:colOff>4705350</xdr:colOff>
      <xdr:row>22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A1568-0805-42D4-870F-AC7625C53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4762500</xdr:colOff>
      <xdr:row>8</xdr:row>
      <xdr:rowOff>180975</xdr:rowOff>
    </xdr:from>
    <xdr:to>
      <xdr:col>1</xdr:col>
      <xdr:colOff>1247775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1C9069-7871-41D6-BB2F-5E67CA7DD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23</xdr:row>
      <xdr:rowOff>9525</xdr:rowOff>
    </xdr:from>
    <xdr:to>
      <xdr:col>0</xdr:col>
      <xdr:colOff>4705350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16F197-7CD1-4F3C-B3D7-A1BF160CD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4905375</xdr:colOff>
      <xdr:row>23</xdr:row>
      <xdr:rowOff>9525</xdr:rowOff>
    </xdr:from>
    <xdr:to>
      <xdr:col>1</xdr:col>
      <xdr:colOff>742950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9870B0-B1A3-408C-AECD-73225E22E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36</xdr:row>
      <xdr:rowOff>190500</xdr:rowOff>
    </xdr:from>
    <xdr:to>
      <xdr:col>0</xdr:col>
      <xdr:colOff>4676775</xdr:colOff>
      <xdr:row>50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1BFBEF-4BA0-4697-B6E9-D341850B9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4914900</xdr:colOff>
      <xdr:row>37</xdr:row>
      <xdr:rowOff>0</xdr:rowOff>
    </xdr:from>
    <xdr:to>
      <xdr:col>1</xdr:col>
      <xdr:colOff>752475</xdr:colOff>
      <xdr:row>50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B7B434-8E12-4A56-A86E-E4CA6D2A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104775</xdr:colOff>
      <xdr:row>50</xdr:row>
      <xdr:rowOff>180975</xdr:rowOff>
    </xdr:from>
    <xdr:to>
      <xdr:col>0</xdr:col>
      <xdr:colOff>4676775</xdr:colOff>
      <xdr:row>64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8A54F3-9382-4F5D-B5FE-B9AE05E31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4924424</xdr:colOff>
      <xdr:row>50</xdr:row>
      <xdr:rowOff>180975</xdr:rowOff>
    </xdr:from>
    <xdr:to>
      <xdr:col>2</xdr:col>
      <xdr:colOff>333374</xdr:colOff>
      <xdr:row>64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A44E10-0A11-4F92-869D-4C5B201B9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95250</xdr:colOff>
      <xdr:row>65</xdr:row>
      <xdr:rowOff>9525</xdr:rowOff>
    </xdr:from>
    <xdr:to>
      <xdr:col>0</xdr:col>
      <xdr:colOff>4667250</xdr:colOff>
      <xdr:row>78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A9CC9E-68ED-4683-B929-33D0BD381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4905375</xdr:colOff>
      <xdr:row>65</xdr:row>
      <xdr:rowOff>9525</xdr:rowOff>
    </xdr:from>
    <xdr:to>
      <xdr:col>1</xdr:col>
      <xdr:colOff>742950</xdr:colOff>
      <xdr:row>78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2C1B6F-4DEB-467A-BAFC-B146A1398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114300</xdr:colOff>
      <xdr:row>79</xdr:row>
      <xdr:rowOff>19050</xdr:rowOff>
    </xdr:from>
    <xdr:to>
      <xdr:col>0</xdr:col>
      <xdr:colOff>4686300</xdr:colOff>
      <xdr:row>92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17B8AA9-A627-47AE-8084-FDCDAA567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4905375</xdr:colOff>
      <xdr:row>79</xdr:row>
      <xdr:rowOff>28575</xdr:rowOff>
    </xdr:from>
    <xdr:to>
      <xdr:col>1</xdr:col>
      <xdr:colOff>742950</xdr:colOff>
      <xdr:row>92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F39FAEB-A793-44CA-ADD9-CC8F84C70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93</xdr:row>
      <xdr:rowOff>28575</xdr:rowOff>
    </xdr:from>
    <xdr:to>
      <xdr:col>0</xdr:col>
      <xdr:colOff>4667250</xdr:colOff>
      <xdr:row>106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AC81FAD-5F22-459B-8170-8E781D6EF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4905375</xdr:colOff>
      <xdr:row>93</xdr:row>
      <xdr:rowOff>38100</xdr:rowOff>
    </xdr:from>
    <xdr:to>
      <xdr:col>1</xdr:col>
      <xdr:colOff>742950</xdr:colOff>
      <xdr:row>106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9FAB318-C3B3-49BD-9CAD-FA4406396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104775</xdr:colOff>
      <xdr:row>107</xdr:row>
      <xdr:rowOff>38100</xdr:rowOff>
    </xdr:from>
    <xdr:to>
      <xdr:col>0</xdr:col>
      <xdr:colOff>4676775</xdr:colOff>
      <xdr:row>120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4EAE71-50ED-4597-B5DB-6155267B6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4905375</xdr:colOff>
      <xdr:row>107</xdr:row>
      <xdr:rowOff>19050</xdr:rowOff>
    </xdr:from>
    <xdr:to>
      <xdr:col>1</xdr:col>
      <xdr:colOff>742950</xdr:colOff>
      <xdr:row>120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975104-E787-4605-B377-470C9FD7D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104775</xdr:colOff>
      <xdr:row>121</xdr:row>
      <xdr:rowOff>38100</xdr:rowOff>
    </xdr:from>
    <xdr:to>
      <xdr:col>0</xdr:col>
      <xdr:colOff>4676775</xdr:colOff>
      <xdr:row>134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1D45FD1-BFC3-49F1-96F9-5B6C16B9A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4914900</xdr:colOff>
      <xdr:row>121</xdr:row>
      <xdr:rowOff>28575</xdr:rowOff>
    </xdr:from>
    <xdr:to>
      <xdr:col>1</xdr:col>
      <xdr:colOff>752475</xdr:colOff>
      <xdr:row>134</xdr:row>
      <xdr:rowOff>171450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62483FD-567B-4B98-AB04-4430F955A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9B4D-0FE2-454A-8259-5D61A06DE031}">
  <dimension ref="A1:I25"/>
  <sheetViews>
    <sheetView tabSelected="1" zoomScale="130" zoomScaleNormal="130" workbookViewId="0">
      <selection activeCell="E10" sqref="E10:I17"/>
    </sheetView>
  </sheetViews>
  <sheetFormatPr defaultRowHeight="15" x14ac:dyDescent="0.25"/>
  <cols>
    <col min="1" max="1" width="27.140625" style="1" bestFit="1" customWidth="1"/>
    <col min="2" max="2" width="21.85546875" style="1" bestFit="1" customWidth="1"/>
    <col min="3" max="3" width="15.140625" style="1" bestFit="1" customWidth="1"/>
    <col min="4" max="4" width="10.42578125" style="1" bestFit="1" customWidth="1"/>
    <col min="5" max="5" width="16.7109375" style="1" bestFit="1" customWidth="1"/>
    <col min="6" max="6" width="9.140625" style="1"/>
    <col min="7" max="7" width="10.7109375" style="1" bestFit="1" customWidth="1"/>
    <col min="8" max="8" width="18.7109375" style="1" bestFit="1" customWidth="1"/>
    <col min="9" max="9" width="17.85546875" style="1" bestFit="1" customWidth="1"/>
    <col min="10" max="16384" width="9.140625" style="1"/>
  </cols>
  <sheetData>
    <row r="1" spans="1:9" x14ac:dyDescent="0.25">
      <c r="A1" s="1" t="s">
        <v>0</v>
      </c>
    </row>
    <row r="3" spans="1:9" x14ac:dyDescent="0.25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94</v>
      </c>
    </row>
    <row r="4" spans="1:9" x14ac:dyDescent="0.25">
      <c r="A4" s="3" t="s">
        <v>8</v>
      </c>
      <c r="B4" s="3">
        <v>44</v>
      </c>
      <c r="C4" s="3">
        <v>2000</v>
      </c>
      <c r="D4" s="4">
        <f>B4*C4</f>
        <v>88000</v>
      </c>
      <c r="E4" s="5">
        <f>D4/$D$7</f>
        <v>0.96853899409096311</v>
      </c>
      <c r="F4" s="6" t="s">
        <v>9</v>
      </c>
      <c r="G4" s="5">
        <f>C4/C7</f>
        <v>1.3207349919422224</v>
      </c>
      <c r="H4" s="3">
        <v>1</v>
      </c>
      <c r="I4" s="4">
        <f>C4/$C$7</f>
        <v>1.3207349919422224</v>
      </c>
    </row>
    <row r="5" spans="1:9" x14ac:dyDescent="0.25">
      <c r="A5" s="3" t="s">
        <v>10</v>
      </c>
      <c r="B5" s="3">
        <v>2</v>
      </c>
      <c r="C5" s="3">
        <v>5562.50000000001</v>
      </c>
      <c r="D5" s="4">
        <f>B5*C5</f>
        <v>11125.00000000002</v>
      </c>
      <c r="E5" s="5">
        <f>D5/$D$7</f>
        <v>0.1224431398779771</v>
      </c>
      <c r="F5" s="6" t="s">
        <v>9</v>
      </c>
      <c r="G5" s="5">
        <f>C5/C7</f>
        <v>3.6732941963393126</v>
      </c>
      <c r="H5" s="3">
        <v>3</v>
      </c>
      <c r="I5" s="4">
        <f>C5/$C$7</f>
        <v>3.6732941963393126</v>
      </c>
    </row>
    <row r="6" spans="1:9" x14ac:dyDescent="0.25">
      <c r="A6" s="3" t="s">
        <v>11</v>
      </c>
      <c r="B6" s="3">
        <v>28</v>
      </c>
      <c r="C6" s="3">
        <v>2008.93</v>
      </c>
      <c r="D6" s="4">
        <f>B6*C6</f>
        <v>56250.04</v>
      </c>
      <c r="E6" s="5">
        <f>D6/$D$7</f>
        <v>0.61909496771791417</v>
      </c>
      <c r="F6" s="6" t="s">
        <v>9</v>
      </c>
      <c r="G6" s="5">
        <f>C6/C7</f>
        <v>1.3266320736812445</v>
      </c>
      <c r="H6" s="3">
        <v>1</v>
      </c>
    </row>
    <row r="7" spans="1:9" x14ac:dyDescent="0.25">
      <c r="A7" s="3" t="s">
        <v>12</v>
      </c>
      <c r="B7" s="3">
        <v>60</v>
      </c>
      <c r="C7" s="4">
        <v>1514.30832998441</v>
      </c>
      <c r="D7" s="4">
        <f>B7*C7</f>
        <v>90858.499799064593</v>
      </c>
      <c r="E7" s="5">
        <f>D7/$D$7</f>
        <v>1</v>
      </c>
      <c r="F7" s="7" t="s">
        <v>13</v>
      </c>
    </row>
    <row r="9" spans="1:9" x14ac:dyDescent="0.25">
      <c r="B9" s="3" t="s">
        <v>14</v>
      </c>
      <c r="C9" s="3" t="s">
        <v>15</v>
      </c>
    </row>
    <row r="10" spans="1:9" x14ac:dyDescent="0.25">
      <c r="A10" s="8" t="s">
        <v>16</v>
      </c>
      <c r="B10" s="4">
        <f>(2000-465.07)/2000*100</f>
        <v>76.746500000000012</v>
      </c>
      <c r="C10" s="4">
        <v>65.599999999999994</v>
      </c>
    </row>
    <row r="11" spans="1:9" x14ac:dyDescent="0.25">
      <c r="A11" s="8" t="s">
        <v>17</v>
      </c>
      <c r="B11" s="4">
        <f>(1534.92968253088-0.00276803377636697)/1534.92968253088*100</f>
        <v>99.999819663805596</v>
      </c>
      <c r="C11" s="4">
        <v>90</v>
      </c>
    </row>
    <row r="12" spans="1:9" x14ac:dyDescent="0.25">
      <c r="A12" s="22" t="s">
        <v>57</v>
      </c>
      <c r="B12" s="23">
        <f>(2008.93-474.003085497017)/2008.93*100</f>
        <v>76.405196522675396</v>
      </c>
      <c r="C12" s="23">
        <v>81</v>
      </c>
      <c r="F12" s="2"/>
      <c r="G12" s="2"/>
      <c r="H12" s="2"/>
    </row>
    <row r="13" spans="1:9" x14ac:dyDescent="0.25">
      <c r="A13" s="8" t="s">
        <v>18</v>
      </c>
      <c r="B13" s="4">
        <f>(1534.9269186224-20.6185957448022)/1534.9269186224*100</f>
        <v>98.656705052556674</v>
      </c>
      <c r="C13" s="4">
        <v>100</v>
      </c>
      <c r="F13" s="2"/>
      <c r="G13" s="2"/>
      <c r="H13" s="2"/>
    </row>
    <row r="14" spans="1:9" x14ac:dyDescent="0.25">
      <c r="E14" s="29"/>
    </row>
    <row r="15" spans="1:9" x14ac:dyDescent="0.25">
      <c r="E15" s="29"/>
    </row>
    <row r="16" spans="1:9" x14ac:dyDescent="0.25">
      <c r="E16" s="29"/>
    </row>
    <row r="17" spans="5:8" x14ac:dyDescent="0.25">
      <c r="E17" s="29"/>
    </row>
    <row r="18" spans="5:8" x14ac:dyDescent="0.25">
      <c r="F18" s="31"/>
      <c r="G18" s="31"/>
    </row>
    <row r="20" spans="5:8" x14ac:dyDescent="0.25">
      <c r="E20" s="29"/>
      <c r="F20" s="29"/>
    </row>
    <row r="21" spans="5:8" x14ac:dyDescent="0.25">
      <c r="E21" s="29"/>
      <c r="F21" s="29"/>
      <c r="G21" s="29"/>
      <c r="H21" s="30"/>
    </row>
    <row r="22" spans="5:8" x14ac:dyDescent="0.25">
      <c r="E22" s="29"/>
      <c r="F22" s="29"/>
      <c r="G22" s="29"/>
      <c r="H22" s="30"/>
    </row>
    <row r="23" spans="5:8" x14ac:dyDescent="0.25">
      <c r="E23" s="29"/>
      <c r="F23" s="29"/>
    </row>
    <row r="24" spans="5:8" x14ac:dyDescent="0.25">
      <c r="E24" s="29"/>
      <c r="F24" s="29"/>
    </row>
    <row r="25" spans="5:8" x14ac:dyDescent="0.25">
      <c r="F25" s="2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1E8E-ABD0-4EE6-B6E9-A37A96A1319B}">
  <dimension ref="A1:T52"/>
  <sheetViews>
    <sheetView topLeftCell="A4" zoomScaleNormal="100" workbookViewId="0">
      <pane xSplit="3" topLeftCell="D1" activePane="topRight" state="frozen"/>
      <selection pane="topRight" activeCell="D3" sqref="D3"/>
    </sheetView>
  </sheetViews>
  <sheetFormatPr defaultColWidth="10.140625" defaultRowHeight="15.75" x14ac:dyDescent="0.25"/>
  <cols>
    <col min="1" max="1" width="150.85546875" style="9" bestFit="1" customWidth="1"/>
    <col min="2" max="2" width="20.5703125" style="9" bestFit="1" customWidth="1"/>
    <col min="3" max="3" width="15.5703125" style="9" bestFit="1" customWidth="1"/>
    <col min="4" max="4" width="29" style="9" bestFit="1" customWidth="1"/>
    <col min="5" max="5" width="17.140625" style="9" bestFit="1" customWidth="1"/>
    <col min="6" max="6" width="31" style="9" bestFit="1" customWidth="1"/>
    <col min="7" max="7" width="32.140625" style="9" bestFit="1" customWidth="1"/>
    <col min="8" max="8" width="39.42578125" style="9" bestFit="1" customWidth="1"/>
    <col min="9" max="9" width="22.85546875" style="9" bestFit="1" customWidth="1"/>
    <col min="10" max="10" width="25.7109375" style="9" bestFit="1" customWidth="1"/>
    <col min="11" max="11" width="21.85546875" style="9" bestFit="1" customWidth="1"/>
    <col min="12" max="12" width="21.28515625" style="9" bestFit="1" customWidth="1"/>
    <col min="13" max="13" width="22.140625" style="9" bestFit="1" customWidth="1"/>
    <col min="14" max="14" width="18.42578125" style="9" bestFit="1" customWidth="1"/>
    <col min="15" max="15" width="27.5703125" style="9" bestFit="1" customWidth="1"/>
    <col min="16" max="16" width="32" style="9" bestFit="1" customWidth="1"/>
    <col min="17" max="17" width="12.42578125" style="9" bestFit="1" customWidth="1"/>
    <col min="18" max="18" width="24.7109375" style="9" bestFit="1" customWidth="1"/>
    <col min="19" max="19" width="22.85546875" style="9" bestFit="1" customWidth="1"/>
    <col min="20" max="20" width="19.28515625" style="9" bestFit="1" customWidth="1"/>
    <col min="21" max="16384" width="10.140625" style="9"/>
  </cols>
  <sheetData>
    <row r="1" spans="1:20" x14ac:dyDescent="0.25"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</row>
    <row r="2" spans="1:20" x14ac:dyDescent="0.25">
      <c r="A2" s="10" t="s">
        <v>37</v>
      </c>
      <c r="B2" s="10"/>
      <c r="C2" s="10" t="s">
        <v>38</v>
      </c>
      <c r="D2" s="10" t="s">
        <v>39</v>
      </c>
      <c r="E2" s="10" t="s">
        <v>40</v>
      </c>
      <c r="F2" s="10" t="s">
        <v>41</v>
      </c>
      <c r="G2" s="10" t="s">
        <v>42</v>
      </c>
      <c r="H2" s="10" t="s">
        <v>41</v>
      </c>
      <c r="I2" s="10" t="s">
        <v>43</v>
      </c>
      <c r="J2" s="10" t="s">
        <v>44</v>
      </c>
      <c r="K2" s="10" t="s">
        <v>45</v>
      </c>
      <c r="L2" s="10" t="s">
        <v>46</v>
      </c>
      <c r="M2" s="10" t="s">
        <v>46</v>
      </c>
      <c r="N2" s="10" t="s">
        <v>46</v>
      </c>
      <c r="O2" s="10" t="s">
        <v>46</v>
      </c>
      <c r="P2" s="10" t="s">
        <v>46</v>
      </c>
      <c r="Q2" s="10" t="s">
        <v>47</v>
      </c>
      <c r="R2" s="10" t="s">
        <v>48</v>
      </c>
      <c r="S2" s="10" t="s">
        <v>49</v>
      </c>
      <c r="T2" s="10" t="s">
        <v>50</v>
      </c>
    </row>
    <row r="3" spans="1:20" x14ac:dyDescent="0.25">
      <c r="A3" s="10" t="s">
        <v>51</v>
      </c>
      <c r="B3" s="11" t="s">
        <v>52</v>
      </c>
      <c r="C3" s="12">
        <v>4.6039285999999997</v>
      </c>
      <c r="D3" s="13">
        <v>1.4640390000000001E-6</v>
      </c>
      <c r="E3" s="12">
        <v>0.25496323999999998</v>
      </c>
      <c r="F3" s="12">
        <v>1.6488507999999999E-2</v>
      </c>
      <c r="G3" s="12">
        <v>8.4093069999999995E-3</v>
      </c>
      <c r="H3" s="12">
        <v>2.0628871E-2</v>
      </c>
      <c r="I3" s="12">
        <v>1.8631587000000002E-2</v>
      </c>
      <c r="J3" s="13">
        <v>1.6225464E-3</v>
      </c>
      <c r="K3" s="13">
        <v>1.0706915E-4</v>
      </c>
      <c r="L3" s="12">
        <v>8.8305188999999995</v>
      </c>
      <c r="M3" s="12">
        <v>0.10247449</v>
      </c>
      <c r="N3" s="12">
        <v>0.14484010999999999</v>
      </c>
      <c r="O3" s="12">
        <v>0.14768858000000001</v>
      </c>
      <c r="P3" s="12">
        <v>4.5199340000000001</v>
      </c>
      <c r="Q3" s="12">
        <v>0.10146991</v>
      </c>
      <c r="R3" s="12">
        <v>7.6205869000000002E-3</v>
      </c>
      <c r="S3" s="12">
        <v>2.0455138000000002</v>
      </c>
      <c r="T3" s="12">
        <v>8.0522865999999998E-2</v>
      </c>
    </row>
    <row r="4" spans="1:20" x14ac:dyDescent="0.25">
      <c r="A4" s="10" t="s">
        <v>58</v>
      </c>
      <c r="B4" s="11" t="s">
        <v>53</v>
      </c>
      <c r="C4" s="12">
        <v>0.38783301999999997</v>
      </c>
      <c r="D4" s="13">
        <v>9.7167512999999994E-8</v>
      </c>
      <c r="E4" s="12">
        <v>6.9405405999999996E-3</v>
      </c>
      <c r="F4" s="12">
        <v>2.1127714E-3</v>
      </c>
      <c r="G4" s="12">
        <v>1.0299253E-3</v>
      </c>
      <c r="H4" s="12">
        <v>2.2899968000000001E-3</v>
      </c>
      <c r="I4" s="12">
        <v>2.6675556E-3</v>
      </c>
      <c r="J4" s="13">
        <v>1.1455567E-4</v>
      </c>
      <c r="K4" s="13">
        <v>1.4235823E-5</v>
      </c>
      <c r="L4" s="12">
        <v>2.1396375999999999</v>
      </c>
      <c r="M4" s="12">
        <v>6.3802209999999998E-2</v>
      </c>
      <c r="N4" s="12">
        <v>8.0105494999999999E-2</v>
      </c>
      <c r="O4" s="12">
        <v>6.4826409000000002E-2</v>
      </c>
      <c r="P4" s="12">
        <v>0.68735900000000005</v>
      </c>
      <c r="Q4" s="12">
        <v>1.2333663999999999E-2</v>
      </c>
      <c r="R4" s="12">
        <v>5.5242407000000004E-3</v>
      </c>
      <c r="S4" s="12">
        <v>1.0421539</v>
      </c>
      <c r="T4" s="12">
        <v>1.258283E-2</v>
      </c>
    </row>
    <row r="5" spans="1:20" x14ac:dyDescent="0.25">
      <c r="A5" s="10" t="s">
        <v>59</v>
      </c>
      <c r="B5" s="11" t="s">
        <v>54</v>
      </c>
      <c r="C5" s="12">
        <v>-1.6351616</v>
      </c>
      <c r="D5" s="13">
        <v>3.2556585999999999E-7</v>
      </c>
      <c r="E5" s="12">
        <v>2.5325692E-2</v>
      </c>
      <c r="F5" s="12">
        <v>2.5809240000000001E-3</v>
      </c>
      <c r="G5" s="12">
        <v>1.4382583999999999E-3</v>
      </c>
      <c r="H5" s="12">
        <v>3.1294588000000002E-3</v>
      </c>
      <c r="I5" s="12">
        <v>2.6930227E-3</v>
      </c>
      <c r="J5" s="13">
        <v>3.8242319000000001E-4</v>
      </c>
      <c r="K5" s="13">
        <v>4.5803511E-5</v>
      </c>
      <c r="L5" s="12">
        <v>7.3541344999999998</v>
      </c>
      <c r="M5" s="12">
        <v>0.21722760999999999</v>
      </c>
      <c r="N5" s="12">
        <v>0.27200457</v>
      </c>
      <c r="O5" s="12">
        <v>0.19141294</v>
      </c>
      <c r="P5" s="12">
        <v>2.2725947</v>
      </c>
      <c r="Q5" s="12">
        <v>4.2589544999999999E-2</v>
      </c>
      <c r="R5" s="12">
        <v>1.9104904999999998E-2</v>
      </c>
      <c r="S5" s="12">
        <v>0.52216260000000003</v>
      </c>
      <c r="T5" s="12">
        <v>1.8402789999999999E-2</v>
      </c>
    </row>
    <row r="6" spans="1:20" x14ac:dyDescent="0.25">
      <c r="A6" s="10" t="s">
        <v>60</v>
      </c>
      <c r="B6" s="11" t="s">
        <v>55</v>
      </c>
      <c r="C6" s="12">
        <v>1.1808419999999999</v>
      </c>
      <c r="D6" s="13">
        <v>1.0267421E-7</v>
      </c>
      <c r="E6" s="12">
        <v>7.6734932E-3</v>
      </c>
      <c r="F6" s="12">
        <v>2.5410762999999999E-3</v>
      </c>
      <c r="G6" s="12">
        <v>1.0767292000000001E-3</v>
      </c>
      <c r="H6" s="12">
        <v>2.7148132E-3</v>
      </c>
      <c r="I6" s="12">
        <v>2.8249521E-3</v>
      </c>
      <c r="J6" s="13">
        <v>1.1271034999999999E-4</v>
      </c>
      <c r="K6" s="13">
        <v>1.7959366E-5</v>
      </c>
      <c r="L6" s="12">
        <v>2.1733834999999999</v>
      </c>
      <c r="M6" s="12">
        <v>6.1459900999999997E-2</v>
      </c>
      <c r="N6" s="12">
        <v>7.7099083999999998E-2</v>
      </c>
      <c r="O6" s="12">
        <v>6.2915258000000002E-2</v>
      </c>
      <c r="P6" s="12">
        <v>0.65139789999999997</v>
      </c>
      <c r="Q6" s="12">
        <v>1.1726624999999999E-2</v>
      </c>
      <c r="R6" s="12">
        <v>5.3042419000000002E-3</v>
      </c>
      <c r="S6" s="12">
        <v>1.0209490000000001</v>
      </c>
      <c r="T6" s="12">
        <v>1.0743376000000001E-2</v>
      </c>
    </row>
    <row r="7" spans="1:20" x14ac:dyDescent="0.25">
      <c r="A7" s="10" t="s">
        <v>61</v>
      </c>
      <c r="B7" s="11" t="s">
        <v>56</v>
      </c>
      <c r="C7" s="12">
        <v>0.99334683000000001</v>
      </c>
      <c r="D7" s="13">
        <v>3.4381835000000001E-7</v>
      </c>
      <c r="E7" s="12">
        <v>2.7755136999999999E-2</v>
      </c>
      <c r="F7" s="12">
        <v>4.0005839999999997E-3</v>
      </c>
      <c r="G7" s="12">
        <v>1.5933945000000001E-3</v>
      </c>
      <c r="H7" s="12">
        <v>4.5375557999999998E-3</v>
      </c>
      <c r="I7" s="12">
        <v>3.2147293E-3</v>
      </c>
      <c r="J7" s="13">
        <v>3.7630668000000002E-4</v>
      </c>
      <c r="K7" s="13">
        <v>5.8145571000000002E-5</v>
      </c>
      <c r="L7" s="12">
        <v>7.4659886000000002</v>
      </c>
      <c r="M7" s="12">
        <v>0.20946379000000001</v>
      </c>
      <c r="N7" s="12">
        <v>0.26203952000000003</v>
      </c>
      <c r="O7" s="12">
        <v>0.18507823000000001</v>
      </c>
      <c r="P7" s="12">
        <v>2.1533980000000001</v>
      </c>
      <c r="Q7" s="12">
        <v>4.0577452999999999E-2</v>
      </c>
      <c r="R7" s="12">
        <v>1.8375696E-2</v>
      </c>
      <c r="S7" s="12">
        <v>0.45187690000000003</v>
      </c>
      <c r="T7" s="12">
        <v>1.2305734E-2</v>
      </c>
    </row>
    <row r="8" spans="1:20" x14ac:dyDescent="0.25">
      <c r="C8" s="14"/>
      <c r="E8" s="14"/>
      <c r="F8" s="14"/>
    </row>
    <row r="9" spans="1:20" x14ac:dyDescent="0.25">
      <c r="C9" s="14"/>
    </row>
    <row r="10" spans="1:20" x14ac:dyDescent="0.25">
      <c r="C10" s="14"/>
    </row>
    <row r="11" spans="1:20" x14ac:dyDescent="0.25">
      <c r="C11" s="14"/>
    </row>
    <row r="25" spans="3:8" x14ac:dyDescent="0.25">
      <c r="C25" s="15"/>
      <c r="E25" s="15"/>
      <c r="F25" s="15"/>
      <c r="G25" s="15"/>
      <c r="H25" s="15"/>
    </row>
    <row r="26" spans="3:8" x14ac:dyDescent="0.25">
      <c r="C26" s="15"/>
      <c r="D26" s="15"/>
      <c r="E26" s="15"/>
    </row>
    <row r="27" spans="3:8" x14ac:dyDescent="0.25">
      <c r="C27" s="15"/>
      <c r="D27" s="15"/>
      <c r="E27" s="15"/>
    </row>
    <row r="28" spans="3:8" x14ac:dyDescent="0.25">
      <c r="C28" s="15"/>
      <c r="D28" s="15"/>
      <c r="E28" s="15"/>
    </row>
    <row r="29" spans="3:8" x14ac:dyDescent="0.25">
      <c r="E29" s="15"/>
    </row>
    <row r="30" spans="3:8" x14ac:dyDescent="0.25">
      <c r="E30" s="15"/>
    </row>
    <row r="31" spans="3:8" x14ac:dyDescent="0.25">
      <c r="C31" s="15"/>
      <c r="D31" s="15"/>
      <c r="E31" s="15"/>
    </row>
    <row r="32" spans="3:8" x14ac:dyDescent="0.25">
      <c r="C32" s="15"/>
      <c r="D32" s="15"/>
      <c r="E32" s="15"/>
    </row>
    <row r="33" spans="3:13" x14ac:dyDescent="0.25">
      <c r="C33" s="15"/>
      <c r="D33" s="15"/>
      <c r="E33" s="15"/>
    </row>
    <row r="34" spans="3:13" x14ac:dyDescent="0.25">
      <c r="C34" s="15"/>
      <c r="D34" s="15"/>
      <c r="E34" s="15"/>
    </row>
    <row r="35" spans="3:13" x14ac:dyDescent="0.25">
      <c r="C35" s="15"/>
      <c r="D35" s="15"/>
      <c r="E35" s="15"/>
      <c r="G35" s="15"/>
    </row>
    <row r="36" spans="3:13" x14ac:dyDescent="0.25">
      <c r="C36" s="15"/>
      <c r="D36" s="15"/>
      <c r="E36" s="15"/>
      <c r="F36" s="15"/>
      <c r="G36" s="15"/>
      <c r="H36" s="15"/>
      <c r="I36" s="15"/>
    </row>
    <row r="37" spans="3:13" x14ac:dyDescent="0.25">
      <c r="E37" s="15"/>
      <c r="F37" s="15"/>
      <c r="G37" s="15"/>
    </row>
    <row r="38" spans="3:13" x14ac:dyDescent="0.25">
      <c r="D38" s="15"/>
      <c r="E38" s="15"/>
      <c r="G38" s="15"/>
    </row>
    <row r="39" spans="3:13" x14ac:dyDescent="0.25">
      <c r="C39" s="15"/>
      <c r="D39" s="15"/>
      <c r="E39" s="15"/>
      <c r="G39" s="15"/>
    </row>
    <row r="40" spans="3:13" x14ac:dyDescent="0.25">
      <c r="C40" s="15"/>
      <c r="D40" s="15"/>
      <c r="E40" s="15"/>
      <c r="G40" s="15"/>
    </row>
    <row r="41" spans="3:13" x14ac:dyDescent="0.25">
      <c r="D41" s="15"/>
      <c r="E41" s="15"/>
      <c r="G41" s="15"/>
    </row>
    <row r="42" spans="3:13" x14ac:dyDescent="0.25">
      <c r="C42" s="15"/>
      <c r="D42" s="15"/>
      <c r="E42" s="15"/>
      <c r="F42" s="15"/>
      <c r="G42" s="15"/>
      <c r="I42" s="15"/>
    </row>
    <row r="43" spans="3:13" x14ac:dyDescent="0.25">
      <c r="C43" s="15"/>
      <c r="D43" s="15"/>
      <c r="E43" s="15"/>
      <c r="F43" s="15"/>
      <c r="G43" s="15"/>
      <c r="H43" s="15"/>
      <c r="I43" s="15"/>
    </row>
    <row r="44" spans="3:13" x14ac:dyDescent="0.25">
      <c r="G44" s="15"/>
    </row>
    <row r="45" spans="3:13" x14ac:dyDescent="0.25">
      <c r="M45" s="15"/>
    </row>
    <row r="46" spans="3:13" x14ac:dyDescent="0.25">
      <c r="M46" s="15"/>
    </row>
    <row r="47" spans="3:13" x14ac:dyDescent="0.25">
      <c r="M47" s="15"/>
    </row>
    <row r="48" spans="3:13" x14ac:dyDescent="0.25">
      <c r="M48" s="15"/>
    </row>
    <row r="49" spans="10:13" x14ac:dyDescent="0.25">
      <c r="L49" s="15"/>
      <c r="M49" s="15"/>
    </row>
    <row r="50" spans="10:13" x14ac:dyDescent="0.25">
      <c r="J50" s="15"/>
      <c r="L50" s="15"/>
      <c r="M50" s="15"/>
    </row>
    <row r="51" spans="10:13" x14ac:dyDescent="0.25">
      <c r="M51" s="15"/>
    </row>
    <row r="52" spans="10:13" x14ac:dyDescent="0.25">
      <c r="M52" s="15"/>
    </row>
  </sheetData>
  <conditionalFormatting sqref="C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9F9E-CA5B-49DE-959B-A2E81BAB9927}">
  <dimension ref="A2:Q98"/>
  <sheetViews>
    <sheetView workbookViewId="0">
      <selection activeCell="H8" sqref="H8"/>
    </sheetView>
  </sheetViews>
  <sheetFormatPr defaultRowHeight="15" x14ac:dyDescent="0.25"/>
  <cols>
    <col min="1" max="1" width="139" style="24" bestFit="1" customWidth="1"/>
    <col min="2" max="2" width="15" style="24" bestFit="1" customWidth="1"/>
    <col min="3" max="3" width="11.28515625" style="24" customWidth="1"/>
    <col min="4" max="4" width="10" style="24" bestFit="1" customWidth="1"/>
    <col min="5" max="5" width="14.5703125" style="24" bestFit="1" customWidth="1"/>
    <col min="6" max="7" width="11" style="24" bestFit="1" customWidth="1"/>
    <col min="8" max="16384" width="9.140625" style="24"/>
  </cols>
  <sheetData>
    <row r="2" spans="1:10" x14ac:dyDescent="0.25">
      <c r="A2" s="39" t="s">
        <v>81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38" t="s">
        <v>74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x14ac:dyDescent="0.25">
      <c r="A4" s="25" t="s">
        <v>75</v>
      </c>
      <c r="B4" s="25" t="s">
        <v>76</v>
      </c>
      <c r="C4" s="25" t="s">
        <v>77</v>
      </c>
      <c r="D4" s="25" t="s">
        <v>12</v>
      </c>
      <c r="E4" s="25" t="s">
        <v>8</v>
      </c>
      <c r="F4" s="25" t="s">
        <v>10</v>
      </c>
      <c r="G4" s="25" t="s">
        <v>11</v>
      </c>
      <c r="H4" s="25" t="s">
        <v>92</v>
      </c>
      <c r="I4" s="25" t="s">
        <v>93</v>
      </c>
      <c r="J4" s="27" t="s">
        <v>91</v>
      </c>
    </row>
    <row r="5" spans="1:10" x14ac:dyDescent="0.25">
      <c r="A5" s="25" t="s">
        <v>51</v>
      </c>
      <c r="B5" s="25" t="s">
        <v>52</v>
      </c>
      <c r="C5" s="25">
        <v>4.6039285999999997</v>
      </c>
      <c r="D5" s="25">
        <v>4.6039285999999997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</row>
    <row r="6" spans="1:10" x14ac:dyDescent="0.25">
      <c r="A6" s="25" t="s">
        <v>58</v>
      </c>
      <c r="B6" s="25" t="s">
        <v>53</v>
      </c>
      <c r="C6" s="25">
        <v>0.38783301999999997</v>
      </c>
      <c r="D6" s="25">
        <v>0</v>
      </c>
      <c r="E6" s="25">
        <v>-0.67106904000000001</v>
      </c>
      <c r="F6" s="25">
        <v>0.12146299000000001</v>
      </c>
      <c r="G6" s="25">
        <v>0.93743907999999998</v>
      </c>
      <c r="H6" s="25">
        <v>0</v>
      </c>
      <c r="I6" s="25">
        <v>0</v>
      </c>
      <c r="J6" s="25">
        <v>0</v>
      </c>
    </row>
    <row r="7" spans="1:10" x14ac:dyDescent="0.25">
      <c r="A7" s="25" t="s">
        <v>59</v>
      </c>
      <c r="B7" s="25" t="s">
        <v>54</v>
      </c>
      <c r="C7" s="25">
        <v>-1.0408667</v>
      </c>
      <c r="D7" s="25">
        <v>0</v>
      </c>
      <c r="E7" s="25">
        <v>-0.67106904000000001</v>
      </c>
      <c r="F7" s="25">
        <v>0.12146299000000001</v>
      </c>
      <c r="G7" s="25">
        <v>-0.49126061999999998</v>
      </c>
      <c r="H7" s="25">
        <v>0</v>
      </c>
      <c r="I7" s="25">
        <v>0</v>
      </c>
      <c r="J7" s="25">
        <v>0</v>
      </c>
    </row>
    <row r="8" spans="1:10" x14ac:dyDescent="0.25">
      <c r="A8" s="25" t="s">
        <v>60</v>
      </c>
      <c r="B8" s="25" t="s">
        <v>55</v>
      </c>
      <c r="C8" s="25">
        <v>1.1808419999999999</v>
      </c>
      <c r="D8" s="25">
        <v>0</v>
      </c>
      <c r="E8" s="25">
        <v>0.12193998</v>
      </c>
      <c r="F8" s="25">
        <v>0.12146299000000001</v>
      </c>
      <c r="G8" s="25">
        <v>0.93743907999999998</v>
      </c>
      <c r="H8" s="25">
        <v>0</v>
      </c>
      <c r="I8" s="25">
        <v>0</v>
      </c>
      <c r="J8" s="25">
        <v>0</v>
      </c>
    </row>
    <row r="9" spans="1:10" x14ac:dyDescent="0.25">
      <c r="A9" s="25" t="s">
        <v>61</v>
      </c>
      <c r="B9" s="25" t="s">
        <v>56</v>
      </c>
      <c r="C9" s="25">
        <v>1.5876418000000001</v>
      </c>
      <c r="D9" s="25">
        <v>0</v>
      </c>
      <c r="E9" s="25">
        <v>0.12193998</v>
      </c>
      <c r="F9" s="25">
        <v>0.12146299000000001</v>
      </c>
      <c r="G9" s="25">
        <v>1.3442388000000001</v>
      </c>
      <c r="H9" s="25">
        <v>0</v>
      </c>
      <c r="I9" s="25">
        <v>0</v>
      </c>
      <c r="J9" s="25">
        <v>0</v>
      </c>
    </row>
    <row r="10" spans="1:10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x14ac:dyDescent="0.25">
      <c r="A11" s="35" t="s">
        <v>78</v>
      </c>
      <c r="B11" s="36"/>
      <c r="C11" s="36"/>
      <c r="D11" s="36"/>
      <c r="E11" s="36"/>
      <c r="F11" s="36"/>
      <c r="G11" s="36"/>
      <c r="H11" s="36"/>
      <c r="I11" s="36"/>
      <c r="J11" s="37"/>
    </row>
    <row r="12" spans="1:10" x14ac:dyDescent="0.25">
      <c r="A12" s="25" t="s">
        <v>75</v>
      </c>
      <c r="B12" s="25" t="s">
        <v>76</v>
      </c>
      <c r="C12" s="25" t="s">
        <v>77</v>
      </c>
      <c r="D12" s="25" t="s">
        <v>12</v>
      </c>
      <c r="E12" s="25" t="s">
        <v>8</v>
      </c>
      <c r="F12" s="25" t="s">
        <v>10</v>
      </c>
      <c r="G12" s="25" t="s">
        <v>11</v>
      </c>
      <c r="H12" s="25" t="s">
        <v>92</v>
      </c>
      <c r="I12" s="25" t="s">
        <v>93</v>
      </c>
      <c r="J12" s="27" t="s">
        <v>91</v>
      </c>
    </row>
    <row r="13" spans="1:10" x14ac:dyDescent="0.25">
      <c r="A13" s="25" t="s">
        <v>51</v>
      </c>
      <c r="B13" s="25" t="s">
        <v>52</v>
      </c>
      <c r="C13" s="25">
        <v>1.1256093E-5</v>
      </c>
      <c r="D13" s="25">
        <v>1.1256093E-5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</row>
    <row r="14" spans="1:10" x14ac:dyDescent="0.25">
      <c r="A14" s="25" t="s">
        <v>58</v>
      </c>
      <c r="B14" s="25" t="s">
        <v>53</v>
      </c>
      <c r="C14" s="25">
        <v>1.4083379E-6</v>
      </c>
      <c r="D14" s="25">
        <v>0</v>
      </c>
      <c r="E14" s="25">
        <v>-5.3527462999999996E-7</v>
      </c>
      <c r="F14" s="25">
        <v>6.2021106E-7</v>
      </c>
      <c r="G14" s="25">
        <v>1.3234013999999999E-6</v>
      </c>
      <c r="H14" s="25">
        <v>0</v>
      </c>
      <c r="I14" s="25">
        <v>0</v>
      </c>
      <c r="J14" s="25">
        <v>0</v>
      </c>
    </row>
    <row r="15" spans="1:10" x14ac:dyDescent="0.25">
      <c r="A15" s="25" t="s">
        <v>59</v>
      </c>
      <c r="B15" s="25" t="s">
        <v>54</v>
      </c>
      <c r="C15" s="25">
        <v>2.1460945E-6</v>
      </c>
      <c r="D15" s="25">
        <v>0</v>
      </c>
      <c r="E15" s="25">
        <v>-5.3527462999999996E-7</v>
      </c>
      <c r="F15" s="25">
        <v>6.2021106E-7</v>
      </c>
      <c r="G15" s="25">
        <v>2.0611580999999999E-6</v>
      </c>
      <c r="H15" s="25">
        <v>0</v>
      </c>
      <c r="I15" s="25">
        <v>0</v>
      </c>
      <c r="J15" s="25">
        <v>0</v>
      </c>
    </row>
    <row r="16" spans="1:10" x14ac:dyDescent="0.25">
      <c r="A16" s="25" t="s">
        <v>60</v>
      </c>
      <c r="B16" s="25" t="s">
        <v>55</v>
      </c>
      <c r="C16" s="25">
        <v>2.1554798999999999E-6</v>
      </c>
      <c r="D16" s="25">
        <v>0</v>
      </c>
      <c r="E16" s="25">
        <v>2.1186744000000001E-7</v>
      </c>
      <c r="F16" s="25">
        <v>6.2021106E-7</v>
      </c>
      <c r="G16" s="25">
        <v>1.3234013999999999E-6</v>
      </c>
      <c r="H16" s="25">
        <v>0</v>
      </c>
      <c r="I16" s="25">
        <v>0</v>
      </c>
      <c r="J16" s="25">
        <v>0</v>
      </c>
    </row>
    <row r="17" spans="1:17" x14ac:dyDescent="0.25">
      <c r="A17" s="25" t="s">
        <v>61</v>
      </c>
      <c r="B17" s="25" t="s">
        <v>56</v>
      </c>
      <c r="C17" s="25">
        <v>4.6225723000000003E-6</v>
      </c>
      <c r="D17" s="25">
        <v>0</v>
      </c>
      <c r="E17" s="25">
        <v>2.1186744000000001E-7</v>
      </c>
      <c r="F17" s="25">
        <v>6.2021106E-7</v>
      </c>
      <c r="G17" s="25">
        <v>3.7904937999999999E-6</v>
      </c>
      <c r="H17" s="25">
        <v>0</v>
      </c>
      <c r="I17" s="25">
        <v>0</v>
      </c>
      <c r="J17" s="25">
        <v>0</v>
      </c>
    </row>
    <row r="18" spans="1:17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7" x14ac:dyDescent="0.25">
      <c r="A19" s="35" t="s">
        <v>79</v>
      </c>
      <c r="B19" s="36"/>
      <c r="C19" s="36"/>
      <c r="D19" s="36"/>
      <c r="E19" s="36"/>
      <c r="F19" s="36"/>
      <c r="G19" s="36"/>
      <c r="H19" s="36"/>
      <c r="I19" s="36"/>
      <c r="J19" s="37"/>
    </row>
    <row r="20" spans="1:17" x14ac:dyDescent="0.25">
      <c r="A20" s="25" t="s">
        <v>75</v>
      </c>
      <c r="B20" s="25" t="s">
        <v>76</v>
      </c>
      <c r="C20" s="25" t="s">
        <v>77</v>
      </c>
      <c r="D20" s="25" t="s">
        <v>12</v>
      </c>
      <c r="E20" s="25" t="s">
        <v>8</v>
      </c>
      <c r="F20" s="25" t="s">
        <v>10</v>
      </c>
      <c r="G20" s="25" t="s">
        <v>11</v>
      </c>
      <c r="H20" s="25" t="s">
        <v>92</v>
      </c>
      <c r="I20" s="25" t="s">
        <v>93</v>
      </c>
      <c r="J20" s="27" t="s">
        <v>91</v>
      </c>
    </row>
    <row r="21" spans="1:17" x14ac:dyDescent="0.25">
      <c r="A21" s="25" t="s">
        <v>51</v>
      </c>
      <c r="B21" s="25" t="s">
        <v>52</v>
      </c>
      <c r="C21" s="25">
        <v>2.2664456E-8</v>
      </c>
      <c r="D21" s="25">
        <v>2.2664456E-8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</row>
    <row r="22" spans="1:17" x14ac:dyDescent="0.25">
      <c r="A22" s="25" t="s">
        <v>58</v>
      </c>
      <c r="B22" s="25" t="s">
        <v>53</v>
      </c>
      <c r="C22" s="25">
        <v>2.3787577999999999E-9</v>
      </c>
      <c r="D22" s="25">
        <v>0</v>
      </c>
      <c r="E22" s="25">
        <v>-1.7598992E-9</v>
      </c>
      <c r="F22" s="25">
        <v>7.7309563999999996E-10</v>
      </c>
      <c r="G22" s="25">
        <v>3.3655614000000001E-9</v>
      </c>
      <c r="H22" s="25">
        <v>0</v>
      </c>
      <c r="I22" s="25">
        <v>0</v>
      </c>
      <c r="J22" s="25">
        <v>0</v>
      </c>
    </row>
    <row r="23" spans="1:17" x14ac:dyDescent="0.25">
      <c r="A23" s="25" t="s">
        <v>59</v>
      </c>
      <c r="B23" s="25" t="s">
        <v>54</v>
      </c>
      <c r="C23" s="25">
        <v>1.0783584999999999E-10</v>
      </c>
      <c r="D23" s="25">
        <v>0</v>
      </c>
      <c r="E23" s="25">
        <v>-1.7598992E-9</v>
      </c>
      <c r="F23" s="25">
        <v>7.7309563999999996E-10</v>
      </c>
      <c r="G23" s="25">
        <v>1.0946394999999999E-9</v>
      </c>
      <c r="H23" s="25">
        <v>0</v>
      </c>
      <c r="I23" s="25">
        <v>0</v>
      </c>
      <c r="J23" s="25">
        <v>0</v>
      </c>
    </row>
    <row r="24" spans="1:17" x14ac:dyDescent="0.25">
      <c r="A24" s="25" t="s">
        <v>60</v>
      </c>
      <c r="B24" s="25" t="s">
        <v>55</v>
      </c>
      <c r="C24" s="25">
        <v>4.6542640999999997E-9</v>
      </c>
      <c r="D24" s="25">
        <v>0</v>
      </c>
      <c r="E24" s="25">
        <v>5.1560712000000003E-10</v>
      </c>
      <c r="F24" s="25">
        <v>7.7309563999999996E-10</v>
      </c>
      <c r="G24" s="25">
        <v>3.3655614000000001E-9</v>
      </c>
      <c r="H24" s="25">
        <v>0</v>
      </c>
      <c r="I24" s="25">
        <v>0</v>
      </c>
      <c r="J24" s="25">
        <v>0</v>
      </c>
    </row>
    <row r="25" spans="1:17" x14ac:dyDescent="0.25">
      <c r="A25" s="25" t="s">
        <v>61</v>
      </c>
      <c r="B25" s="25" t="s">
        <v>56</v>
      </c>
      <c r="C25" s="25">
        <v>7.6502313E-9</v>
      </c>
      <c r="D25" s="25">
        <v>0</v>
      </c>
      <c r="E25" s="25">
        <v>5.1560712000000003E-10</v>
      </c>
      <c r="F25" s="25">
        <v>7.7309563999999996E-10</v>
      </c>
      <c r="G25" s="25">
        <v>6.3615285000000004E-9</v>
      </c>
      <c r="H25" s="25">
        <v>0</v>
      </c>
      <c r="I25" s="25">
        <v>0</v>
      </c>
      <c r="J25" s="25">
        <v>0</v>
      </c>
    </row>
    <row r="26" spans="1:17" x14ac:dyDescent="0.25">
      <c r="A26" s="27"/>
      <c r="B26" s="27"/>
      <c r="C26" s="28"/>
      <c r="D26" s="27"/>
      <c r="E26" s="28"/>
      <c r="F26" s="28"/>
      <c r="G26" s="28"/>
      <c r="H26" s="27"/>
      <c r="I26" s="27"/>
      <c r="J26" s="27"/>
      <c r="M26" s="26"/>
      <c r="O26" s="26"/>
      <c r="P26" s="26"/>
      <c r="Q26" s="26"/>
    </row>
    <row r="27" spans="1:17" x14ac:dyDescent="0.25">
      <c r="A27" s="35" t="s">
        <v>80</v>
      </c>
      <c r="B27" s="36"/>
      <c r="C27" s="36"/>
      <c r="D27" s="36"/>
      <c r="E27" s="36"/>
      <c r="F27" s="36"/>
      <c r="G27" s="36"/>
      <c r="H27" s="36"/>
      <c r="I27" s="36"/>
      <c r="J27" s="37"/>
      <c r="M27" s="26"/>
      <c r="O27" s="26"/>
      <c r="P27" s="26"/>
      <c r="Q27" s="26"/>
    </row>
    <row r="28" spans="1:17" x14ac:dyDescent="0.25">
      <c r="A28" s="25" t="s">
        <v>75</v>
      </c>
      <c r="B28" s="25" t="s">
        <v>76</v>
      </c>
      <c r="C28" s="25" t="s">
        <v>77</v>
      </c>
      <c r="D28" s="25" t="s">
        <v>12</v>
      </c>
      <c r="E28" s="25" t="s">
        <v>8</v>
      </c>
      <c r="F28" s="25" t="s">
        <v>10</v>
      </c>
      <c r="G28" s="25" t="s">
        <v>11</v>
      </c>
      <c r="H28" s="25" t="s">
        <v>92</v>
      </c>
      <c r="I28" s="25" t="s">
        <v>93</v>
      </c>
      <c r="J28" s="27" t="s">
        <v>91</v>
      </c>
    </row>
    <row r="29" spans="1:17" x14ac:dyDescent="0.25">
      <c r="A29" s="25" t="s">
        <v>51</v>
      </c>
      <c r="B29" s="25" t="s">
        <v>52</v>
      </c>
      <c r="C29" s="25">
        <v>0.68911549000000005</v>
      </c>
      <c r="D29" s="25">
        <v>0.68911549000000005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O29" s="26"/>
    </row>
    <row r="30" spans="1:17" x14ac:dyDescent="0.25">
      <c r="A30" s="25" t="s">
        <v>58</v>
      </c>
      <c r="B30" s="25" t="s">
        <v>53</v>
      </c>
      <c r="C30" s="25">
        <v>0.42450314</v>
      </c>
      <c r="D30" s="25">
        <v>0</v>
      </c>
      <c r="E30" s="25">
        <v>4.5210907000000002E-2</v>
      </c>
      <c r="F30" s="25">
        <v>9.2245056000000002E-3</v>
      </c>
      <c r="G30" s="25">
        <v>0.37006771999999999</v>
      </c>
      <c r="H30" s="25">
        <v>0</v>
      </c>
      <c r="I30" s="25">
        <v>0</v>
      </c>
      <c r="J30" s="25">
        <v>0</v>
      </c>
    </row>
    <row r="31" spans="1:17" x14ac:dyDescent="0.25">
      <c r="A31" s="25" t="s">
        <v>59</v>
      </c>
      <c r="B31" s="25" t="s">
        <v>54</v>
      </c>
      <c r="C31" s="25">
        <v>0.20367441999999999</v>
      </c>
      <c r="D31" s="25">
        <v>0</v>
      </c>
      <c r="E31" s="25">
        <v>4.5210907000000002E-2</v>
      </c>
      <c r="F31" s="25">
        <v>9.2245056000000002E-3</v>
      </c>
      <c r="G31" s="25">
        <v>0.14923901000000001</v>
      </c>
      <c r="H31" s="25">
        <v>0</v>
      </c>
      <c r="I31" s="25">
        <v>0</v>
      </c>
      <c r="J31" s="25">
        <v>0</v>
      </c>
    </row>
    <row r="32" spans="1:17" x14ac:dyDescent="0.25">
      <c r="A32" s="25" t="s">
        <v>60</v>
      </c>
      <c r="B32" s="25" t="s">
        <v>55</v>
      </c>
      <c r="C32" s="25">
        <v>0.41675246999999999</v>
      </c>
      <c r="D32" s="25">
        <v>0</v>
      </c>
      <c r="E32" s="25">
        <v>3.7460246000000003E-2</v>
      </c>
      <c r="F32" s="25">
        <v>9.2245056000000002E-3</v>
      </c>
      <c r="G32" s="25">
        <v>0.37006771999999999</v>
      </c>
      <c r="H32" s="25">
        <v>0</v>
      </c>
      <c r="I32" s="25">
        <v>0</v>
      </c>
      <c r="J32" s="25">
        <v>0</v>
      </c>
      <c r="O32" s="26"/>
      <c r="P32" s="26"/>
    </row>
    <row r="33" spans="1:17" x14ac:dyDescent="0.25">
      <c r="A33" s="25" t="s">
        <v>61</v>
      </c>
      <c r="B33" s="25" t="s">
        <v>56</v>
      </c>
      <c r="C33" s="25">
        <v>0.17798406999999999</v>
      </c>
      <c r="D33" s="25">
        <v>0</v>
      </c>
      <c r="E33" s="25">
        <v>3.7460246000000003E-2</v>
      </c>
      <c r="F33" s="25">
        <v>9.2245056000000002E-3</v>
      </c>
      <c r="G33" s="25">
        <v>0.13129932</v>
      </c>
      <c r="H33" s="25">
        <v>0</v>
      </c>
      <c r="I33" s="25">
        <v>0</v>
      </c>
      <c r="J33" s="25">
        <v>0</v>
      </c>
      <c r="M33" s="26"/>
      <c r="O33" s="26"/>
      <c r="P33" s="26"/>
      <c r="Q33" s="26"/>
    </row>
    <row r="35" spans="1:17" x14ac:dyDescent="0.25">
      <c r="D35" s="26"/>
      <c r="F35" s="26"/>
      <c r="G35" s="26"/>
      <c r="H35" s="26"/>
    </row>
    <row r="36" spans="1:17" x14ac:dyDescent="0.25">
      <c r="D36" s="26"/>
      <c r="F36" s="26"/>
      <c r="G36" s="26"/>
      <c r="H36" s="26"/>
    </row>
    <row r="37" spans="1:17" x14ac:dyDescent="0.25">
      <c r="A37" s="32" t="s">
        <v>82</v>
      </c>
      <c r="B37" s="33"/>
      <c r="C37" s="33"/>
      <c r="D37" s="33"/>
      <c r="E37" s="33"/>
      <c r="F37" s="33"/>
      <c r="G37" s="33"/>
      <c r="H37" s="33"/>
      <c r="I37" s="33"/>
      <c r="J37" s="34"/>
    </row>
    <row r="38" spans="1:17" x14ac:dyDescent="0.25">
      <c r="A38" s="35" t="s">
        <v>74</v>
      </c>
      <c r="B38" s="36"/>
      <c r="C38" s="36"/>
      <c r="D38" s="36"/>
      <c r="E38" s="36"/>
      <c r="F38" s="36"/>
      <c r="G38" s="36"/>
      <c r="H38" s="36"/>
      <c r="I38" s="36"/>
      <c r="J38" s="37"/>
    </row>
    <row r="39" spans="1:17" x14ac:dyDescent="0.25">
      <c r="A39" s="25" t="s">
        <v>75</v>
      </c>
      <c r="B39" s="25" t="s">
        <v>76</v>
      </c>
      <c r="C39" s="25" t="s">
        <v>77</v>
      </c>
      <c r="D39" s="25" t="s">
        <v>12</v>
      </c>
      <c r="E39" s="25" t="s">
        <v>8</v>
      </c>
      <c r="F39" s="25" t="s">
        <v>10</v>
      </c>
      <c r="G39" s="25" t="s">
        <v>11</v>
      </c>
      <c r="H39" s="25" t="s">
        <v>92</v>
      </c>
      <c r="I39" s="25" t="s">
        <v>93</v>
      </c>
      <c r="J39" s="27" t="s">
        <v>91</v>
      </c>
    </row>
    <row r="40" spans="1:17" x14ac:dyDescent="0.25">
      <c r="A40" s="25" t="s">
        <v>51</v>
      </c>
      <c r="B40" s="25" t="s">
        <v>52</v>
      </c>
      <c r="C40" s="25">
        <v>4.6039285999999997</v>
      </c>
      <c r="D40" s="25">
        <v>4.6039285999999997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O40" s="26"/>
    </row>
    <row r="41" spans="1:17" x14ac:dyDescent="0.25">
      <c r="A41" s="25" t="s">
        <v>88</v>
      </c>
      <c r="B41" s="25" t="s">
        <v>83</v>
      </c>
      <c r="C41" s="25">
        <v>6.1800473</v>
      </c>
      <c r="D41" s="25">
        <v>0</v>
      </c>
      <c r="E41" s="25">
        <v>-0.47406009999999998</v>
      </c>
      <c r="F41" s="25">
        <v>5.7166683999999997</v>
      </c>
      <c r="G41" s="25">
        <v>0.93743907999999998</v>
      </c>
      <c r="H41" s="25">
        <v>0</v>
      </c>
      <c r="I41" s="25">
        <v>0</v>
      </c>
      <c r="J41" s="25">
        <v>0</v>
      </c>
    </row>
    <row r="42" spans="1:17" x14ac:dyDescent="0.25">
      <c r="A42" s="25" t="s">
        <v>89</v>
      </c>
      <c r="B42" s="25" t="s">
        <v>84</v>
      </c>
      <c r="C42" s="25">
        <v>18.634868999999998</v>
      </c>
      <c r="D42" s="25">
        <v>0</v>
      </c>
      <c r="E42" s="25">
        <v>-0.47406009999999998</v>
      </c>
      <c r="F42" s="25">
        <v>5.7166683999999997</v>
      </c>
      <c r="G42" s="25">
        <v>13.392261</v>
      </c>
      <c r="H42" s="25">
        <v>0</v>
      </c>
      <c r="I42" s="25">
        <v>0</v>
      </c>
      <c r="J42" s="25">
        <v>0</v>
      </c>
    </row>
    <row r="43" spans="1:17" x14ac:dyDescent="0.25">
      <c r="A43" s="25" t="s">
        <v>87</v>
      </c>
      <c r="B43" s="25" t="s">
        <v>85</v>
      </c>
      <c r="C43" s="25">
        <v>6.7760474000000004</v>
      </c>
      <c r="D43" s="25">
        <v>0</v>
      </c>
      <c r="E43" s="25">
        <v>0.12193998</v>
      </c>
      <c r="F43" s="25">
        <v>5.7166683999999997</v>
      </c>
      <c r="G43" s="25">
        <v>0.93743907999999998</v>
      </c>
      <c r="H43" s="25">
        <v>0</v>
      </c>
      <c r="I43" s="25">
        <v>0</v>
      </c>
      <c r="J43" s="25">
        <v>0</v>
      </c>
    </row>
    <row r="44" spans="1:17" x14ac:dyDescent="0.25">
      <c r="A44" s="25" t="s">
        <v>90</v>
      </c>
      <c r="B44" s="25" t="s">
        <v>86</v>
      </c>
      <c r="C44" s="25">
        <v>20.610372000000002</v>
      </c>
      <c r="D44" s="25">
        <v>0</v>
      </c>
      <c r="E44" s="25">
        <v>0.12193998</v>
      </c>
      <c r="F44" s="25">
        <v>5.7166683999999997</v>
      </c>
      <c r="G44" s="25">
        <v>14.771763</v>
      </c>
      <c r="H44" s="25">
        <v>0</v>
      </c>
      <c r="I44" s="25">
        <v>0</v>
      </c>
      <c r="J44" s="25">
        <v>0</v>
      </c>
    </row>
    <row r="45" spans="1:17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</row>
    <row r="46" spans="1:17" x14ac:dyDescent="0.25">
      <c r="A46" s="35" t="s">
        <v>78</v>
      </c>
      <c r="B46" s="36"/>
      <c r="C46" s="36"/>
      <c r="D46" s="36"/>
      <c r="E46" s="36"/>
      <c r="F46" s="36"/>
      <c r="G46" s="36"/>
      <c r="H46" s="36"/>
      <c r="I46" s="36"/>
      <c r="J46" s="37"/>
    </row>
    <row r="47" spans="1:17" x14ac:dyDescent="0.25">
      <c r="A47" s="25" t="s">
        <v>75</v>
      </c>
      <c r="B47" s="25" t="s">
        <v>76</v>
      </c>
      <c r="C47" s="25" t="s">
        <v>77</v>
      </c>
      <c r="D47" s="25" t="s">
        <v>12</v>
      </c>
      <c r="E47" s="25" t="s">
        <v>8</v>
      </c>
      <c r="F47" s="25" t="s">
        <v>10</v>
      </c>
      <c r="G47" s="25" t="s">
        <v>11</v>
      </c>
      <c r="H47" s="25" t="s">
        <v>92</v>
      </c>
      <c r="I47" s="25" t="s">
        <v>93</v>
      </c>
      <c r="J47" s="27" t="s">
        <v>91</v>
      </c>
    </row>
    <row r="48" spans="1:17" x14ac:dyDescent="0.25">
      <c r="A48" s="25" t="s">
        <v>51</v>
      </c>
      <c r="B48" s="25" t="s">
        <v>52</v>
      </c>
      <c r="C48" s="25">
        <v>1.1256093E-5</v>
      </c>
      <c r="D48" s="25">
        <v>1.1256093E-5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</row>
    <row r="49" spans="1:10" x14ac:dyDescent="0.25">
      <c r="A49" s="25" t="s">
        <v>88</v>
      </c>
      <c r="B49" s="25" t="s">
        <v>83</v>
      </c>
      <c r="C49" s="25">
        <v>1.6651357E-5</v>
      </c>
      <c r="D49" s="25">
        <v>0</v>
      </c>
      <c r="E49" s="25">
        <v>-1.6818154999999999E-8</v>
      </c>
      <c r="F49" s="25">
        <v>1.5344774000000001E-5</v>
      </c>
      <c r="G49" s="25">
        <v>1.3234013999999999E-6</v>
      </c>
      <c r="H49" s="25">
        <v>0</v>
      </c>
      <c r="I49" s="25">
        <v>0</v>
      </c>
      <c r="J49" s="25">
        <v>0</v>
      </c>
    </row>
    <row r="50" spans="1:10" x14ac:dyDescent="0.25">
      <c r="A50" s="25" t="s">
        <v>89</v>
      </c>
      <c r="B50" s="25" t="s">
        <v>84</v>
      </c>
      <c r="C50" s="25">
        <v>5.3925536000000002E-5</v>
      </c>
      <c r="D50" s="25">
        <v>0</v>
      </c>
      <c r="E50" s="25">
        <v>-1.6818154999999999E-8</v>
      </c>
      <c r="F50" s="25">
        <v>1.5344774000000001E-5</v>
      </c>
      <c r="G50" s="25">
        <v>3.8597580000000003E-5</v>
      </c>
      <c r="H50" s="25">
        <v>0</v>
      </c>
      <c r="I50" s="25">
        <v>0</v>
      </c>
      <c r="J50" s="25">
        <v>0</v>
      </c>
    </row>
    <row r="51" spans="1:10" x14ac:dyDescent="0.25">
      <c r="A51" s="25" t="s">
        <v>87</v>
      </c>
      <c r="B51" s="25" t="s">
        <v>85</v>
      </c>
      <c r="C51" s="25">
        <v>1.6880042999999999E-5</v>
      </c>
      <c r="D51" s="25">
        <v>0</v>
      </c>
      <c r="E51" s="25">
        <v>2.1186744000000001E-7</v>
      </c>
      <c r="F51" s="25">
        <v>1.5344774000000001E-5</v>
      </c>
      <c r="G51" s="25">
        <v>1.3234013999999999E-6</v>
      </c>
      <c r="H51" s="25">
        <v>0</v>
      </c>
      <c r="I51" s="25">
        <v>0</v>
      </c>
      <c r="J51" s="25">
        <v>0</v>
      </c>
    </row>
    <row r="52" spans="1:10" x14ac:dyDescent="0.25">
      <c r="A52" s="25" t="s">
        <v>90</v>
      </c>
      <c r="B52" s="25" t="s">
        <v>86</v>
      </c>
      <c r="C52" s="25">
        <v>5.4683537E-5</v>
      </c>
      <c r="D52" s="25">
        <v>0</v>
      </c>
      <c r="E52" s="25">
        <v>2.1186744000000001E-7</v>
      </c>
      <c r="F52" s="25">
        <v>1.5344774000000001E-5</v>
      </c>
      <c r="G52" s="25">
        <v>3.9126896000000002E-5</v>
      </c>
      <c r="H52" s="25">
        <v>0</v>
      </c>
      <c r="I52" s="25">
        <v>0</v>
      </c>
      <c r="J52" s="25">
        <v>0</v>
      </c>
    </row>
    <row r="53" spans="1:10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</row>
    <row r="54" spans="1:10" x14ac:dyDescent="0.25">
      <c r="A54" s="35" t="s">
        <v>79</v>
      </c>
      <c r="B54" s="36"/>
      <c r="C54" s="36"/>
      <c r="D54" s="36"/>
      <c r="E54" s="36"/>
      <c r="F54" s="36"/>
      <c r="G54" s="36"/>
      <c r="H54" s="36"/>
      <c r="I54" s="36"/>
      <c r="J54" s="37"/>
    </row>
    <row r="55" spans="1:10" x14ac:dyDescent="0.25">
      <c r="A55" s="25" t="s">
        <v>75</v>
      </c>
      <c r="B55" s="25" t="s">
        <v>76</v>
      </c>
      <c r="C55" s="25" t="s">
        <v>77</v>
      </c>
      <c r="D55" s="25" t="s">
        <v>12</v>
      </c>
      <c r="E55" s="25" t="s">
        <v>8</v>
      </c>
      <c r="F55" s="25" t="s">
        <v>10</v>
      </c>
      <c r="G55" s="25" t="s">
        <v>11</v>
      </c>
      <c r="H55" s="25" t="s">
        <v>92</v>
      </c>
      <c r="I55" s="25" t="s">
        <v>93</v>
      </c>
      <c r="J55" s="27" t="s">
        <v>91</v>
      </c>
    </row>
    <row r="56" spans="1:10" x14ac:dyDescent="0.25">
      <c r="A56" s="25" t="s">
        <v>51</v>
      </c>
      <c r="B56" s="25" t="s">
        <v>52</v>
      </c>
      <c r="C56" s="25">
        <v>2.2664456E-8</v>
      </c>
      <c r="D56" s="25">
        <v>2.2664456E-8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</row>
    <row r="57" spans="1:10" x14ac:dyDescent="0.25">
      <c r="A57" s="25" t="s">
        <v>88</v>
      </c>
      <c r="B57" s="25" t="s">
        <v>83</v>
      </c>
      <c r="C57" s="25">
        <v>2.7472806000000002E-8</v>
      </c>
      <c r="D57" s="25">
        <v>0</v>
      </c>
      <c r="E57" s="25">
        <v>-9.0638248000000001E-10</v>
      </c>
      <c r="F57" s="25">
        <v>2.5013627999999999E-8</v>
      </c>
      <c r="G57" s="25">
        <v>3.3655614000000001E-9</v>
      </c>
      <c r="H57" s="25">
        <v>0</v>
      </c>
      <c r="I57" s="25">
        <v>0</v>
      </c>
      <c r="J57" s="25">
        <v>0</v>
      </c>
    </row>
    <row r="58" spans="1:10" x14ac:dyDescent="0.25">
      <c r="A58" s="25" t="s">
        <v>89</v>
      </c>
      <c r="B58" s="25" t="s">
        <v>84</v>
      </c>
      <c r="C58" s="25">
        <v>8.5350517000000003E-8</v>
      </c>
      <c r="D58" s="25">
        <v>0</v>
      </c>
      <c r="E58" s="25">
        <v>-9.0638248000000001E-10</v>
      </c>
      <c r="F58" s="25">
        <v>2.5013627999999999E-8</v>
      </c>
      <c r="G58" s="25">
        <v>6.1243271999999995E-8</v>
      </c>
      <c r="H58" s="25">
        <v>0</v>
      </c>
      <c r="I58" s="25">
        <v>0</v>
      </c>
      <c r="J58" s="25">
        <v>0</v>
      </c>
    </row>
    <row r="59" spans="1:10" x14ac:dyDescent="0.25">
      <c r="A59" s="25" t="s">
        <v>87</v>
      </c>
      <c r="B59" s="25" t="s">
        <v>85</v>
      </c>
      <c r="C59" s="25">
        <v>2.8894795999999999E-8</v>
      </c>
      <c r="D59" s="25">
        <v>0</v>
      </c>
      <c r="E59" s="25">
        <v>5.1560712000000003E-10</v>
      </c>
      <c r="F59" s="25">
        <v>2.5013627999999999E-8</v>
      </c>
      <c r="G59" s="25">
        <v>3.3655614000000001E-9</v>
      </c>
      <c r="H59" s="25">
        <v>0</v>
      </c>
      <c r="I59" s="25">
        <v>0</v>
      </c>
      <c r="J59" s="25">
        <v>0</v>
      </c>
    </row>
    <row r="60" spans="1:10" x14ac:dyDescent="0.25">
      <c r="A60" s="25" t="s">
        <v>90</v>
      </c>
      <c r="B60" s="25" t="s">
        <v>86</v>
      </c>
      <c r="C60" s="25">
        <v>9.0063844999999999E-8</v>
      </c>
      <c r="D60" s="25">
        <v>0</v>
      </c>
      <c r="E60" s="25">
        <v>5.1560712000000003E-10</v>
      </c>
      <c r="F60" s="25">
        <v>2.5013627999999999E-8</v>
      </c>
      <c r="G60" s="25">
        <v>6.4534610000000003E-8</v>
      </c>
      <c r="H60" s="25">
        <v>0</v>
      </c>
      <c r="I60" s="25">
        <v>0</v>
      </c>
      <c r="J60" s="25">
        <v>0</v>
      </c>
    </row>
    <row r="61" spans="1:10" x14ac:dyDescent="0.25">
      <c r="A61" s="27"/>
      <c r="B61" s="27"/>
      <c r="C61" s="28"/>
      <c r="D61" s="27"/>
      <c r="E61" s="28"/>
      <c r="F61" s="28"/>
      <c r="G61" s="28"/>
      <c r="H61" s="27"/>
      <c r="I61" s="27"/>
      <c r="J61" s="27"/>
    </row>
    <row r="62" spans="1:10" x14ac:dyDescent="0.25">
      <c r="A62" s="35" t="s">
        <v>80</v>
      </c>
      <c r="B62" s="36"/>
      <c r="C62" s="36"/>
      <c r="D62" s="36"/>
      <c r="E62" s="36"/>
      <c r="F62" s="36"/>
      <c r="G62" s="36"/>
      <c r="H62" s="36"/>
      <c r="I62" s="36"/>
      <c r="J62" s="37"/>
    </row>
    <row r="63" spans="1:10" x14ac:dyDescent="0.25">
      <c r="A63" s="25" t="s">
        <v>75</v>
      </c>
      <c r="B63" s="25" t="s">
        <v>76</v>
      </c>
      <c r="C63" s="25" t="s">
        <v>77</v>
      </c>
      <c r="D63" s="25" t="s">
        <v>12</v>
      </c>
      <c r="E63" s="25" t="s">
        <v>8</v>
      </c>
      <c r="F63" s="25" t="s">
        <v>10</v>
      </c>
      <c r="G63" s="25" t="s">
        <v>11</v>
      </c>
      <c r="H63" s="25" t="s">
        <v>92</v>
      </c>
      <c r="I63" s="25" t="s">
        <v>93</v>
      </c>
      <c r="J63" s="27" t="s">
        <v>91</v>
      </c>
    </row>
    <row r="64" spans="1:10" x14ac:dyDescent="0.25">
      <c r="A64" s="25" t="s">
        <v>51</v>
      </c>
      <c r="B64" s="25" t="s">
        <v>52</v>
      </c>
      <c r="C64" s="25">
        <v>0.68911549000000005</v>
      </c>
      <c r="D64" s="25">
        <v>0.68911549000000005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</row>
    <row r="65" spans="1:10" x14ac:dyDescent="0.25">
      <c r="A65" s="25" t="s">
        <v>88</v>
      </c>
      <c r="B65" s="25" t="s">
        <v>83</v>
      </c>
      <c r="C65" s="25">
        <v>0.68044740000000004</v>
      </c>
      <c r="D65" s="25">
        <v>0</v>
      </c>
      <c r="E65" s="25">
        <v>5.3916266999999997E-2</v>
      </c>
      <c r="F65" s="25">
        <v>0.25646341</v>
      </c>
      <c r="G65" s="25">
        <v>0.37006771999999999</v>
      </c>
      <c r="H65" s="25">
        <v>0</v>
      </c>
      <c r="I65" s="25">
        <v>0</v>
      </c>
      <c r="J65" s="25">
        <v>0</v>
      </c>
    </row>
    <row r="66" spans="1:10" x14ac:dyDescent="0.25">
      <c r="A66" s="25" t="s">
        <v>89</v>
      </c>
      <c r="B66" s="25" t="s">
        <v>84</v>
      </c>
      <c r="C66" s="25">
        <v>1.0730987000000001</v>
      </c>
      <c r="D66" s="25">
        <v>0</v>
      </c>
      <c r="E66" s="25">
        <v>5.3916266999999997E-2</v>
      </c>
      <c r="F66" s="25">
        <v>0.25646341</v>
      </c>
      <c r="G66" s="25">
        <v>0.76271902999999996</v>
      </c>
      <c r="H66" s="25">
        <v>0</v>
      </c>
      <c r="I66" s="25">
        <v>0</v>
      </c>
      <c r="J66" s="25">
        <v>0</v>
      </c>
    </row>
    <row r="67" spans="1:10" x14ac:dyDescent="0.25">
      <c r="A67" s="25" t="s">
        <v>87</v>
      </c>
      <c r="B67" s="25" t="s">
        <v>85</v>
      </c>
      <c r="C67" s="25">
        <v>0.66399138000000002</v>
      </c>
      <c r="D67" s="25">
        <v>0</v>
      </c>
      <c r="E67" s="25">
        <v>3.7460246000000003E-2</v>
      </c>
      <c r="F67" s="25">
        <v>0.25646341</v>
      </c>
      <c r="G67" s="25">
        <v>0.37006771999999999</v>
      </c>
      <c r="H67" s="25">
        <v>0</v>
      </c>
      <c r="I67" s="25">
        <v>0</v>
      </c>
      <c r="J67" s="25">
        <v>0</v>
      </c>
    </row>
    <row r="68" spans="1:10" x14ac:dyDescent="0.25">
      <c r="A68" s="25" t="s">
        <v>90</v>
      </c>
      <c r="B68" s="25" t="s">
        <v>86</v>
      </c>
      <c r="C68" s="25">
        <v>1.0185535999999999</v>
      </c>
      <c r="D68" s="25">
        <v>0</v>
      </c>
      <c r="E68" s="25">
        <v>3.7460246000000003E-2</v>
      </c>
      <c r="F68" s="25">
        <v>0.25646341</v>
      </c>
      <c r="G68" s="25">
        <v>0.72462990999999999</v>
      </c>
      <c r="H68" s="25">
        <v>0</v>
      </c>
      <c r="I68" s="25">
        <v>0</v>
      </c>
      <c r="J68" s="25">
        <v>0</v>
      </c>
    </row>
    <row r="69" spans="1:10" x14ac:dyDescent="0.25">
      <c r="C69" s="26"/>
      <c r="E69" s="26"/>
      <c r="F69" s="26"/>
      <c r="G69" s="26"/>
    </row>
    <row r="70" spans="1:10" x14ac:dyDescent="0.25">
      <c r="C70" s="26"/>
      <c r="E70" s="26"/>
      <c r="F70" s="26"/>
      <c r="G70" s="26"/>
    </row>
    <row r="84" spans="3:7" x14ac:dyDescent="0.25">
      <c r="C84" s="26"/>
      <c r="E84" s="26"/>
      <c r="F84" s="26"/>
      <c r="G84" s="26"/>
    </row>
    <row r="85" spans="3:7" x14ac:dyDescent="0.25">
      <c r="C85" s="26"/>
      <c r="E85" s="26"/>
      <c r="F85" s="26"/>
      <c r="G85" s="26"/>
    </row>
    <row r="90" spans="3:7" x14ac:dyDescent="0.25">
      <c r="E90" s="26"/>
      <c r="G90" s="26"/>
    </row>
    <row r="91" spans="3:7" x14ac:dyDescent="0.25">
      <c r="E91" s="26"/>
      <c r="G91" s="26"/>
    </row>
    <row r="97" spans="5:7" x14ac:dyDescent="0.25">
      <c r="G97" s="26"/>
    </row>
    <row r="98" spans="5:7" x14ac:dyDescent="0.25">
      <c r="E98" s="26"/>
      <c r="G98" s="26"/>
    </row>
  </sheetData>
  <mergeCells count="10">
    <mergeCell ref="A3:J3"/>
    <mergeCell ref="A2:J2"/>
    <mergeCell ref="A11:J11"/>
    <mergeCell ref="A19:J19"/>
    <mergeCell ref="A27:J27"/>
    <mergeCell ref="A37:J37"/>
    <mergeCell ref="A38:J38"/>
    <mergeCell ref="A46:J46"/>
    <mergeCell ref="A54:J54"/>
    <mergeCell ref="A62:J6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5636-71C5-4F22-B88C-B76C0CBF213D}">
  <dimension ref="A1:D18"/>
  <sheetViews>
    <sheetView workbookViewId="0">
      <selection activeCell="O13" sqref="O13"/>
    </sheetView>
  </sheetViews>
  <sheetFormatPr defaultColWidth="10.140625" defaultRowHeight="15.75" x14ac:dyDescent="0.25"/>
  <cols>
    <col min="1" max="1" width="25.7109375" style="9" customWidth="1"/>
    <col min="2" max="2" width="10.140625" style="9"/>
    <col min="3" max="3" width="18.85546875" style="9" bestFit="1" customWidth="1"/>
    <col min="4" max="4" width="22" style="9" bestFit="1" customWidth="1"/>
    <col min="5" max="16384" width="10.140625" style="9"/>
  </cols>
  <sheetData>
    <row r="1" spans="1:4" x14ac:dyDescent="0.25">
      <c r="A1" s="9" t="s">
        <v>62</v>
      </c>
    </row>
    <row r="3" spans="1:4" x14ac:dyDescent="0.25">
      <c r="B3" s="16" t="s">
        <v>63</v>
      </c>
      <c r="C3" s="16" t="s">
        <v>64</v>
      </c>
      <c r="D3" s="16" t="s">
        <v>65</v>
      </c>
    </row>
    <row r="4" spans="1:4" x14ac:dyDescent="0.25">
      <c r="A4" s="10" t="s">
        <v>66</v>
      </c>
      <c r="B4" s="17">
        <v>80.3</v>
      </c>
      <c r="C4" s="12">
        <f>Data!E4</f>
        <v>0.96853899409096311</v>
      </c>
      <c r="D4" s="17">
        <f>B4*C4</f>
        <v>77.773681225504333</v>
      </c>
    </row>
    <row r="5" spans="1:4" x14ac:dyDescent="0.25">
      <c r="A5" s="10" t="s">
        <v>67</v>
      </c>
      <c r="B5" s="10">
        <f>(94+232)/2</f>
        <v>163</v>
      </c>
      <c r="C5" s="12">
        <f>C4</f>
        <v>0.96853899409096311</v>
      </c>
      <c r="D5" s="17">
        <f>B5*C5</f>
        <v>157.87185603682698</v>
      </c>
    </row>
    <row r="6" spans="1:4" x14ac:dyDescent="0.25">
      <c r="A6" s="10" t="s">
        <v>68</v>
      </c>
      <c r="B6" s="10">
        <v>3286.4</v>
      </c>
      <c r="C6" s="12">
        <f>Data!E5</f>
        <v>0.1224431398779771</v>
      </c>
      <c r="D6" s="17">
        <f t="shared" ref="D6:D9" si="0">B6*C6</f>
        <v>402.39713489498394</v>
      </c>
    </row>
    <row r="7" spans="1:4" x14ac:dyDescent="0.25">
      <c r="A7" s="10" t="s">
        <v>69</v>
      </c>
      <c r="B7" s="10">
        <v>1293</v>
      </c>
      <c r="C7" s="12">
        <f>Data!E6</f>
        <v>0.61909496771791417</v>
      </c>
      <c r="D7" s="17">
        <f t="shared" si="0"/>
        <v>800.48979325926302</v>
      </c>
    </row>
    <row r="8" spans="1:4" x14ac:dyDescent="0.25">
      <c r="A8" s="11" t="s">
        <v>70</v>
      </c>
      <c r="B8" s="11">
        <v>2300</v>
      </c>
      <c r="C8" s="18">
        <f>C7</f>
        <v>0.61909496771791417</v>
      </c>
      <c r="D8" s="19">
        <f t="shared" si="0"/>
        <v>1423.9184257512027</v>
      </c>
    </row>
    <row r="9" spans="1:4" x14ac:dyDescent="0.25">
      <c r="A9" s="11" t="s">
        <v>71</v>
      </c>
      <c r="B9" s="11">
        <v>2600</v>
      </c>
      <c r="C9" s="18">
        <f>C7</f>
        <v>0.61909496771791417</v>
      </c>
      <c r="D9" s="19">
        <f t="shared" si="0"/>
        <v>1609.6469160665768</v>
      </c>
    </row>
    <row r="10" spans="1:4" x14ac:dyDescent="0.25">
      <c r="A10" s="11" t="s">
        <v>95</v>
      </c>
      <c r="B10" s="11">
        <v>0</v>
      </c>
      <c r="C10" s="18">
        <v>0</v>
      </c>
      <c r="D10" s="19">
        <f t="shared" ref="D10:D11" si="1">B10*C10</f>
        <v>0</v>
      </c>
    </row>
    <row r="11" spans="1:4" x14ac:dyDescent="0.25">
      <c r="A11" s="11" t="s">
        <v>93</v>
      </c>
      <c r="B11" s="11">
        <v>0</v>
      </c>
      <c r="C11" s="18">
        <v>0</v>
      </c>
      <c r="D11" s="19">
        <f t="shared" si="1"/>
        <v>0</v>
      </c>
    </row>
    <row r="12" spans="1:4" x14ac:dyDescent="0.25">
      <c r="C12" s="14"/>
      <c r="D12" s="20"/>
    </row>
    <row r="14" spans="1:4" x14ac:dyDescent="0.25">
      <c r="A14" s="11" t="s">
        <v>72</v>
      </c>
      <c r="B14" s="11">
        <v>1690</v>
      </c>
      <c r="C14" s="11" t="s">
        <v>73</v>
      </c>
      <c r="D14"/>
    </row>
    <row r="15" spans="1:4" x14ac:dyDescent="0.25">
      <c r="A15" s="11" t="s">
        <v>55</v>
      </c>
      <c r="B15" s="19">
        <f>D4+D6+D7+D10+D11</f>
        <v>1280.6606093797513</v>
      </c>
      <c r="C15" s="11" t="s">
        <v>73</v>
      </c>
      <c r="D15" s="21">
        <f>($B$14-B15)/$B$14</f>
        <v>0.24221265717174476</v>
      </c>
    </row>
    <row r="16" spans="1:4" x14ac:dyDescent="0.25">
      <c r="A16" s="11" t="s">
        <v>56</v>
      </c>
      <c r="B16" s="19">
        <f>D4+D6+D8+D10+D11</f>
        <v>1904.089241871691</v>
      </c>
      <c r="C16" s="11" t="s">
        <v>73</v>
      </c>
      <c r="D16" s="21">
        <f>($B$14-B16)/$B$14</f>
        <v>-0.12668002477614851</v>
      </c>
    </row>
    <row r="17" spans="1:4" x14ac:dyDescent="0.25">
      <c r="A17" s="11" t="s">
        <v>53</v>
      </c>
      <c r="B17" s="19">
        <f>D5+D6+D7+D10+D11</f>
        <v>1360.758784191074</v>
      </c>
      <c r="C17" s="11" t="s">
        <v>73</v>
      </c>
      <c r="D17" s="21">
        <f>($B$14-B17)/$B$14</f>
        <v>0.19481728746090293</v>
      </c>
    </row>
    <row r="18" spans="1:4" x14ac:dyDescent="0.25">
      <c r="A18" s="11" t="s">
        <v>54</v>
      </c>
      <c r="B18" s="19">
        <f>D5+D6+D9+D10+D11</f>
        <v>2169.9159069983875</v>
      </c>
      <c r="C18" s="11" t="s">
        <v>73</v>
      </c>
      <c r="D18" s="21">
        <f>($B$14-B18)/$B$14</f>
        <v>-0.28397390946650147</v>
      </c>
    </row>
  </sheetData>
  <conditionalFormatting sqref="D15:D1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LCA results - cradle to gate</vt:lpstr>
      <vt:lpstr>LCA contri - cradle to gate</vt:lpstr>
      <vt:lpstr>Economic results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2022-06-07T15:58:59Z</dcterms:created>
  <dcterms:modified xsi:type="dcterms:W3CDTF">2022-07-01T07:52:06Z</dcterms:modified>
</cp:coreProperties>
</file>