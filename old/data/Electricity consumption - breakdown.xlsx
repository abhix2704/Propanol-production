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Carbon dioxide to propanol\"/>
    </mc:Choice>
  </mc:AlternateContent>
  <xr:revisionPtr revIDLastSave="0" documentId="13_ncr:1_{B7499455-EB56-477F-8AE3-749FA0389718}" xr6:coauthVersionLast="47" xr6:coauthVersionMax="47" xr10:uidLastSave="{00000000-0000-0000-0000-000000000000}"/>
  <bookViews>
    <workbookView xWindow="-120" yWindow="-120" windowWidth="29040" windowHeight="17640" activeTab="3" xr2:uid="{6CE09A86-D163-42C3-B74E-FB96F90FE622}"/>
  </bookViews>
  <sheets>
    <sheet name="DAC + wind" sheetId="3" r:id="rId1"/>
    <sheet name="DAC + wind + gE" sheetId="1" r:id="rId2"/>
    <sheet name="NG + wind" sheetId="4" r:id="rId3"/>
    <sheet name="NG + wind + g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" i="2" l="1"/>
  <c r="D8" i="4"/>
  <c r="D7" i="4"/>
  <c r="D5" i="4"/>
  <c r="D8" i="3"/>
  <c r="D7" i="3"/>
  <c r="D7" i="1"/>
  <c r="C6" i="2"/>
  <c r="D6" i="2" s="1"/>
  <c r="D5" i="2"/>
  <c r="C4" i="2"/>
  <c r="D4" i="2" s="1"/>
  <c r="D3" i="2"/>
  <c r="C6" i="4"/>
  <c r="D6" i="4" s="1"/>
  <c r="C4" i="4"/>
  <c r="D4" i="4" s="1"/>
  <c r="D3" i="4"/>
  <c r="C6" i="1"/>
  <c r="D6" i="1" s="1"/>
  <c r="D5" i="1"/>
  <c r="C4" i="1"/>
  <c r="D4" i="1" s="1"/>
  <c r="D3" i="1"/>
  <c r="D5" i="3"/>
  <c r="D3" i="3"/>
  <c r="C6" i="3"/>
  <c r="D6" i="3" s="1"/>
  <c r="C4" i="3"/>
  <c r="D4" i="3" s="1"/>
  <c r="B8" i="2"/>
  <c r="D8" i="2" s="1"/>
  <c r="B8" i="1"/>
  <c r="D8" i="1" s="1"/>
  <c r="D9" i="2" l="1"/>
  <c r="D9" i="4"/>
  <c r="D9" i="1"/>
  <c r="D9" i="3"/>
</calcChain>
</file>

<file path=xl/sharedStrings.xml><?xml version="1.0" encoding="utf-8"?>
<sst xmlns="http://schemas.openxmlformats.org/spreadsheetml/2006/main" count="44" uniqueCount="11">
  <si>
    <t>Carbon dioxide - propanol</t>
  </si>
  <si>
    <t>Carbon dioxide - ethylene</t>
  </si>
  <si>
    <t>Hydrogen  - propanol</t>
  </si>
  <si>
    <t>Hydrogen - ethylene</t>
  </si>
  <si>
    <t>Compressors - propanol</t>
  </si>
  <si>
    <t>Compressors - ethylene</t>
  </si>
  <si>
    <t>Total</t>
  </si>
  <si>
    <t>kWh/kg</t>
  </si>
  <si>
    <t>kg/kg propanol</t>
  </si>
  <si>
    <t>kWh/kg propanol</t>
  </si>
  <si>
    <t>kg ethylene/kg propanol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</si>
</sst>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296A-D61F-42CF-AAF5-7F8C2F1E1EBD}">
  <dimension ref="A2:G9"/>
  <sheetViews>
    <sheetView workbookViewId="0">
      <selection activeCell="C7" sqref="C7:C8"/>
    </sheetView>
  </sheetViews>
  <sheetFormatPr defaultRowHeight="15" x14ac:dyDescent="0.25"/>
  <cols>
    <col min="1" max="1" width="24.42578125" bestFit="1" customWidth="1"/>
    <col min="2" max="2" width="17.7109375" bestFit="1" customWidth="1"/>
    <col min="3" max="3" width="14.42578125" bestFit="1" customWidth="1"/>
    <col min="4" max="4" width="16.42578125" bestFit="1" customWidth="1"/>
    <col min="6" max="6" width="29.85546875" customWidth="1"/>
  </cols>
  <sheetData>
    <row r="2" spans="1:7" x14ac:dyDescent="0.25">
      <c r="A2" s="1"/>
      <c r="B2" s="3" t="s">
        <v>7</v>
      </c>
      <c r="C2" s="3" t="s">
        <v>8</v>
      </c>
      <c r="D2" s="3" t="s">
        <v>9</v>
      </c>
      <c r="F2" s="2" t="s">
        <v>10</v>
      </c>
      <c r="G2" s="3">
        <v>0.54149999999999998</v>
      </c>
    </row>
    <row r="3" spans="1:7" x14ac:dyDescent="0.25">
      <c r="A3" s="3" t="s">
        <v>0</v>
      </c>
      <c r="B3" s="4">
        <v>0.28199999999999997</v>
      </c>
      <c r="C3" s="3">
        <v>0.84719999999999995</v>
      </c>
      <c r="D3" s="4">
        <f>B3*C3</f>
        <v>0.23891039999999997</v>
      </c>
    </row>
    <row r="4" spans="1:7" x14ac:dyDescent="0.25">
      <c r="A4" s="3" t="s">
        <v>1</v>
      </c>
      <c r="B4" s="4">
        <v>0</v>
      </c>
      <c r="C4" s="4">
        <f>3.62*G2</f>
        <v>1.9602299999999999</v>
      </c>
      <c r="D4" s="4">
        <f t="shared" ref="D4:D8" si="0">B4*C4</f>
        <v>0</v>
      </c>
    </row>
    <row r="5" spans="1:7" x14ac:dyDescent="0.25">
      <c r="A5" s="3" t="s">
        <v>2</v>
      </c>
      <c r="B5" s="4">
        <v>63.372</v>
      </c>
      <c r="C5" s="3">
        <v>0.1071</v>
      </c>
      <c r="D5" s="4">
        <f t="shared" si="0"/>
        <v>6.7871411999999998</v>
      </c>
    </row>
    <row r="6" spans="1:7" x14ac:dyDescent="0.25">
      <c r="A6" s="3" t="s">
        <v>3</v>
      </c>
      <c r="B6" s="4">
        <v>0</v>
      </c>
      <c r="C6" s="4">
        <f>0.474*G2</f>
        <v>0.25667099999999998</v>
      </c>
      <c r="D6" s="4">
        <f t="shared" si="0"/>
        <v>0</v>
      </c>
    </row>
    <row r="7" spans="1:7" x14ac:dyDescent="0.25">
      <c r="A7" s="3" t="s">
        <v>4</v>
      </c>
      <c r="B7" s="4">
        <v>0.117997058</v>
      </c>
      <c r="C7" s="4">
        <v>1</v>
      </c>
      <c r="D7" s="4">
        <f t="shared" si="0"/>
        <v>0.117997058</v>
      </c>
    </row>
    <row r="8" spans="1:7" x14ac:dyDescent="0.25">
      <c r="A8" s="3" t="s">
        <v>5</v>
      </c>
      <c r="B8" s="4">
        <v>0</v>
      </c>
      <c r="C8" s="4">
        <v>0.54149999999999998</v>
      </c>
      <c r="D8" s="4">
        <f t="shared" si="0"/>
        <v>0</v>
      </c>
    </row>
    <row r="9" spans="1:7" x14ac:dyDescent="0.25">
      <c r="A9" s="6" t="s">
        <v>6</v>
      </c>
      <c r="B9" s="7"/>
      <c r="C9" s="8"/>
      <c r="D9" s="5">
        <f>SUM(D3:D8)</f>
        <v>7.144048658</v>
      </c>
    </row>
  </sheetData>
  <mergeCells count="1">
    <mergeCell ref="A9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82D05-19C9-4EB6-8EBA-3611E39A2059}">
  <dimension ref="A2:G9"/>
  <sheetViews>
    <sheetView workbookViewId="0">
      <selection activeCell="C7" sqref="C7:C8"/>
    </sheetView>
  </sheetViews>
  <sheetFormatPr defaultRowHeight="15" x14ac:dyDescent="0.25"/>
  <cols>
    <col min="1" max="1" width="24.42578125" bestFit="1" customWidth="1"/>
    <col min="2" max="2" width="17.7109375" bestFit="1" customWidth="1"/>
    <col min="3" max="3" width="14.42578125" bestFit="1" customWidth="1"/>
    <col min="4" max="4" width="16.42578125" bestFit="1" customWidth="1"/>
    <col min="6" max="6" width="23.140625" bestFit="1" customWidth="1"/>
  </cols>
  <sheetData>
    <row r="2" spans="1:7" x14ac:dyDescent="0.25">
      <c r="A2" s="1"/>
      <c r="B2" s="3" t="s">
        <v>7</v>
      </c>
      <c r="C2" s="3" t="s">
        <v>8</v>
      </c>
      <c r="D2" s="3" t="s">
        <v>9</v>
      </c>
      <c r="F2" s="2" t="s">
        <v>10</v>
      </c>
      <c r="G2" s="3">
        <v>0.54149999999999998</v>
      </c>
    </row>
    <row r="3" spans="1:7" x14ac:dyDescent="0.25">
      <c r="A3" s="3" t="s">
        <v>0</v>
      </c>
      <c r="B3" s="4">
        <v>0.28199999999999997</v>
      </c>
      <c r="C3" s="3">
        <v>0.84719999999999995</v>
      </c>
      <c r="D3" s="4">
        <f>B3*C3</f>
        <v>0.23891039999999997</v>
      </c>
    </row>
    <row r="4" spans="1:7" x14ac:dyDescent="0.25">
      <c r="A4" s="3" t="s">
        <v>1</v>
      </c>
      <c r="B4" s="4">
        <v>0.28199999999999997</v>
      </c>
      <c r="C4" s="4">
        <f>3.62*G2</f>
        <v>1.9602299999999999</v>
      </c>
      <c r="D4" s="4">
        <f t="shared" ref="D4:D8" si="0">B4*C4</f>
        <v>0.55278485999999993</v>
      </c>
    </row>
    <row r="5" spans="1:7" x14ac:dyDescent="0.25">
      <c r="A5" s="3" t="s">
        <v>2</v>
      </c>
      <c r="B5" s="4">
        <v>63.372</v>
      </c>
      <c r="C5" s="3">
        <v>0.1071</v>
      </c>
      <c r="D5" s="4">
        <f t="shared" si="0"/>
        <v>6.7871411999999998</v>
      </c>
    </row>
    <row r="6" spans="1:7" x14ac:dyDescent="0.25">
      <c r="A6" s="3" t="s">
        <v>3</v>
      </c>
      <c r="B6" s="4">
        <v>63.372</v>
      </c>
      <c r="C6" s="4">
        <f>0.474*G2</f>
        <v>0.25667099999999998</v>
      </c>
      <c r="D6" s="4">
        <f t="shared" si="0"/>
        <v>16.265754611999999</v>
      </c>
    </row>
    <row r="7" spans="1:7" x14ac:dyDescent="0.25">
      <c r="A7" s="3" t="s">
        <v>4</v>
      </c>
      <c r="B7" s="4">
        <v>0.117997058</v>
      </c>
      <c r="C7" s="4">
        <v>1</v>
      </c>
      <c r="D7" s="4">
        <f t="shared" si="0"/>
        <v>0.117997058</v>
      </c>
    </row>
    <row r="8" spans="1:7" x14ac:dyDescent="0.25">
      <c r="A8" s="3" t="s">
        <v>5</v>
      </c>
      <c r="B8" s="4">
        <f>4.79*10^3/3600</f>
        <v>1.3305555555555555</v>
      </c>
      <c r="C8" s="4">
        <v>0.54149999999999998</v>
      </c>
      <c r="D8" s="4">
        <f t="shared" si="0"/>
        <v>0.72049583333333322</v>
      </c>
    </row>
    <row r="9" spans="1:7" x14ac:dyDescent="0.25">
      <c r="A9" s="9" t="s">
        <v>6</v>
      </c>
      <c r="B9" s="9"/>
      <c r="C9" s="9"/>
      <c r="D9" s="5">
        <f>SUM(D3:D8)</f>
        <v>24.683083963333335</v>
      </c>
    </row>
  </sheetData>
  <mergeCells count="1">
    <mergeCell ref="A9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37CBC-354E-4882-A2C7-27FC4E8704C9}">
  <dimension ref="A2:G9"/>
  <sheetViews>
    <sheetView workbookViewId="0">
      <selection activeCell="D4" sqref="D4:D8"/>
    </sheetView>
  </sheetViews>
  <sheetFormatPr defaultRowHeight="15" x14ac:dyDescent="0.25"/>
  <cols>
    <col min="1" max="1" width="24.42578125" bestFit="1" customWidth="1"/>
    <col min="2" max="2" width="17.7109375" bestFit="1" customWidth="1"/>
    <col min="3" max="3" width="14.42578125" bestFit="1" customWidth="1"/>
    <col min="4" max="4" width="16.42578125" bestFit="1" customWidth="1"/>
    <col min="6" max="6" width="23.140625" bestFit="1" customWidth="1"/>
  </cols>
  <sheetData>
    <row r="2" spans="1:7" x14ac:dyDescent="0.25">
      <c r="A2" s="1"/>
      <c r="B2" s="3" t="s">
        <v>7</v>
      </c>
      <c r="C2" s="3" t="s">
        <v>8</v>
      </c>
      <c r="D2" s="3" t="s">
        <v>9</v>
      </c>
      <c r="F2" s="2" t="s">
        <v>10</v>
      </c>
      <c r="G2" s="3">
        <v>0.54149999999999998</v>
      </c>
    </row>
    <row r="3" spans="1:7" x14ac:dyDescent="0.25">
      <c r="A3" s="3" t="s">
        <v>0</v>
      </c>
      <c r="B3" s="4">
        <v>0</v>
      </c>
      <c r="C3" s="3">
        <v>0.84719999999999995</v>
      </c>
      <c r="D3" s="4">
        <f>B3*C3</f>
        <v>0</v>
      </c>
    </row>
    <row r="4" spans="1:7" x14ac:dyDescent="0.25">
      <c r="A4" s="3" t="s">
        <v>1</v>
      </c>
      <c r="B4" s="4">
        <v>0</v>
      </c>
      <c r="C4" s="4">
        <f>3.62*G2</f>
        <v>1.9602299999999999</v>
      </c>
      <c r="D4" s="4">
        <f t="shared" ref="D4:D8" si="0">B4*C4</f>
        <v>0</v>
      </c>
    </row>
    <row r="5" spans="1:7" x14ac:dyDescent="0.25">
      <c r="A5" s="3" t="s">
        <v>2</v>
      </c>
      <c r="B5" s="4">
        <v>63.372</v>
      </c>
      <c r="C5" s="3">
        <v>0.1071</v>
      </c>
      <c r="D5" s="4">
        <f t="shared" si="0"/>
        <v>6.7871411999999998</v>
      </c>
    </row>
    <row r="6" spans="1:7" x14ac:dyDescent="0.25">
      <c r="A6" s="3" t="s">
        <v>3</v>
      </c>
      <c r="B6" s="4">
        <v>0</v>
      </c>
      <c r="C6" s="4">
        <f>0.474*G2</f>
        <v>0.25667099999999998</v>
      </c>
      <c r="D6" s="4">
        <f t="shared" si="0"/>
        <v>0</v>
      </c>
    </row>
    <row r="7" spans="1:7" x14ac:dyDescent="0.25">
      <c r="A7" s="3" t="s">
        <v>4</v>
      </c>
      <c r="B7" s="4">
        <v>0.117997058</v>
      </c>
      <c r="C7" s="4">
        <v>1</v>
      </c>
      <c r="D7" s="4">
        <f t="shared" si="0"/>
        <v>0.117997058</v>
      </c>
    </row>
    <row r="8" spans="1:7" x14ac:dyDescent="0.25">
      <c r="A8" s="3" t="s">
        <v>5</v>
      </c>
      <c r="B8" s="4">
        <v>0</v>
      </c>
      <c r="C8" s="4">
        <v>0.54149999999999998</v>
      </c>
      <c r="D8" s="4">
        <f t="shared" si="0"/>
        <v>0</v>
      </c>
    </row>
    <row r="9" spans="1:7" x14ac:dyDescent="0.25">
      <c r="A9" s="9" t="s">
        <v>6</v>
      </c>
      <c r="B9" s="9"/>
      <c r="C9" s="9"/>
      <c r="D9" s="5">
        <f>SUM(D3:D8)</f>
        <v>6.905138258</v>
      </c>
    </row>
  </sheetData>
  <mergeCells count="1">
    <mergeCell ref="A9:C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3F3A-D541-4DFE-9DE4-53025B4012EC}">
  <dimension ref="A2:G9"/>
  <sheetViews>
    <sheetView tabSelected="1" workbookViewId="0">
      <selection activeCell="D7" sqref="D7"/>
    </sheetView>
  </sheetViews>
  <sheetFormatPr defaultRowHeight="15" x14ac:dyDescent="0.25"/>
  <cols>
    <col min="1" max="1" width="24.42578125" bestFit="1" customWidth="1"/>
    <col min="2" max="2" width="17.7109375" bestFit="1" customWidth="1"/>
    <col min="3" max="3" width="14.42578125" bestFit="1" customWidth="1"/>
    <col min="4" max="4" width="16.42578125" bestFit="1" customWidth="1"/>
    <col min="6" max="6" width="23.140625" bestFit="1" customWidth="1"/>
  </cols>
  <sheetData>
    <row r="2" spans="1:7" x14ac:dyDescent="0.25">
      <c r="A2" s="1"/>
      <c r="B2" s="3" t="s">
        <v>7</v>
      </c>
      <c r="C2" s="3" t="s">
        <v>8</v>
      </c>
      <c r="D2" s="3" t="s">
        <v>9</v>
      </c>
      <c r="F2" s="2" t="s">
        <v>10</v>
      </c>
      <c r="G2" s="3">
        <v>0.54149999999999998</v>
      </c>
    </row>
    <row r="3" spans="1:7" x14ac:dyDescent="0.25">
      <c r="A3" s="3" t="s">
        <v>0</v>
      </c>
      <c r="B3" s="4">
        <v>0</v>
      </c>
      <c r="C3" s="3">
        <v>0.84719999999999995</v>
      </c>
      <c r="D3" s="4">
        <f>B3*C3</f>
        <v>0</v>
      </c>
    </row>
    <row r="4" spans="1:7" x14ac:dyDescent="0.25">
      <c r="A4" s="3" t="s">
        <v>1</v>
      </c>
      <c r="B4" s="4">
        <v>0</v>
      </c>
      <c r="C4" s="4">
        <f>3.62*G2</f>
        <v>1.9602299999999999</v>
      </c>
      <c r="D4" s="4">
        <f t="shared" ref="D4:D8" si="0">B4*C4</f>
        <v>0</v>
      </c>
    </row>
    <row r="5" spans="1:7" x14ac:dyDescent="0.25">
      <c r="A5" s="3" t="s">
        <v>2</v>
      </c>
      <c r="B5" s="4">
        <v>63.372</v>
      </c>
      <c r="C5" s="3">
        <v>0.1071</v>
      </c>
      <c r="D5" s="4">
        <f t="shared" si="0"/>
        <v>6.7871411999999998</v>
      </c>
    </row>
    <row r="6" spans="1:7" x14ac:dyDescent="0.25">
      <c r="A6" s="3" t="s">
        <v>3</v>
      </c>
      <c r="B6" s="4">
        <v>63.372</v>
      </c>
      <c r="C6" s="4">
        <f>0.474*G2</f>
        <v>0.25667099999999998</v>
      </c>
      <c r="D6" s="4">
        <f t="shared" si="0"/>
        <v>16.265754611999999</v>
      </c>
    </row>
    <row r="7" spans="1:7" x14ac:dyDescent="0.25">
      <c r="A7" s="3" t="s">
        <v>4</v>
      </c>
      <c r="B7" s="4">
        <v>0.117997058</v>
      </c>
      <c r="C7" s="4">
        <v>1</v>
      </c>
      <c r="D7" s="4">
        <f t="shared" si="0"/>
        <v>0.117997058</v>
      </c>
    </row>
    <row r="8" spans="1:7" x14ac:dyDescent="0.25">
      <c r="A8" s="3" t="s">
        <v>5</v>
      </c>
      <c r="B8" s="4">
        <f>4.79*10^3/3600</f>
        <v>1.3305555555555555</v>
      </c>
      <c r="C8" s="4">
        <v>0.54149999999999998</v>
      </c>
      <c r="D8" s="4">
        <f t="shared" si="0"/>
        <v>0.72049583333333322</v>
      </c>
    </row>
    <row r="9" spans="1:7" x14ac:dyDescent="0.25">
      <c r="A9" s="9" t="s">
        <v>6</v>
      </c>
      <c r="B9" s="9"/>
      <c r="C9" s="9"/>
      <c r="D9" s="5">
        <f>SUM(D3:D8)</f>
        <v>23.891388703333334</v>
      </c>
    </row>
  </sheetData>
  <mergeCells count="1"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DAC + wind</vt:lpstr>
      <vt:lpstr>DAC + wind + gE</vt:lpstr>
      <vt:lpstr>NG + wind</vt:lpstr>
      <vt:lpstr>NG + wind + gE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2022-06-19T23:24:49Z</dcterms:created>
  <dcterms:modified xsi:type="dcterms:W3CDTF">2022-06-23T09:56:57Z</dcterms:modified>
</cp:coreProperties>
</file>