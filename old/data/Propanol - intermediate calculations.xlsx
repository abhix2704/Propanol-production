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abera\Desktop\Carbon dioxide to propanol\"/>
    </mc:Choice>
  </mc:AlternateContent>
  <xr:revisionPtr revIDLastSave="0" documentId="13_ncr:1_{3992BAAC-026C-4F17-8B0D-D68E34A10575}" xr6:coauthVersionLast="47" xr6:coauthVersionMax="47" xr10:uidLastSave="{00000000-0000-0000-0000-000000000000}"/>
  <bookViews>
    <workbookView xWindow="28680" yWindow="-255" windowWidth="29040" windowHeight="17640" activeTab="3" xr2:uid="{B7FDF69A-43DC-42E7-81DC-3333F5FBE155}"/>
  </bookViews>
  <sheets>
    <sheet name="Aspen data" sheetId="2" r:id="rId1"/>
    <sheet name="LCA results - cradle to gate" sheetId="3" r:id="rId2"/>
    <sheet name="LCA contri - cradle to gate" sheetId="5" r:id="rId3"/>
    <sheet name="Economic results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D11" i="4" l="1"/>
  <c r="D10" i="4"/>
  <c r="B5" i="4"/>
  <c r="G6" i="2"/>
  <c r="G4" i="2"/>
  <c r="D7" i="2" l="1"/>
  <c r="E7" i="2" s="1"/>
  <c r="D6" i="2"/>
  <c r="C5" i="2"/>
  <c r="D4" i="2"/>
  <c r="D5" i="2" l="1"/>
  <c r="E5" i="2" s="1"/>
  <c r="C6" i="4" s="1"/>
  <c r="G5" i="2"/>
  <c r="E6" i="2"/>
  <c r="C7" i="4" s="1"/>
  <c r="E4" i="2"/>
  <c r="C4" i="4" s="1"/>
  <c r="C9" i="4" l="1"/>
  <c r="D9" i="4" s="1"/>
  <c r="C8" i="4"/>
  <c r="D8" i="4" s="1"/>
  <c r="D4" i="4"/>
  <c r="C5" i="4"/>
  <c r="D5" i="4" s="1"/>
  <c r="D7" i="4" l="1"/>
  <c r="D6" i="4"/>
  <c r="B17" i="4" l="1"/>
  <c r="D17" i="4" s="1"/>
  <c r="B18" i="4"/>
  <c r="D18" i="4" s="1"/>
  <c r="B15" i="4"/>
  <c r="D15" i="4" s="1"/>
  <c r="B16" i="4"/>
  <c r="D16" i="4" s="1"/>
</calcChain>
</file>

<file path=xl/sharedStrings.xml><?xml version="1.0" encoding="utf-8"?>
<sst xmlns="http://schemas.openxmlformats.org/spreadsheetml/2006/main" count="255" uniqueCount="89">
  <si>
    <t>M. Wt.</t>
  </si>
  <si>
    <t>kmol/hr</t>
  </si>
  <si>
    <t>kg/hr</t>
  </si>
  <si>
    <t>kg/kg of propanol</t>
  </si>
  <si>
    <t>Type</t>
  </si>
  <si>
    <t>Carbon dioxide</t>
  </si>
  <si>
    <t>Feed</t>
  </si>
  <si>
    <t>Ethylene</t>
  </si>
  <si>
    <t>Propanol</t>
  </si>
  <si>
    <t>Output</t>
  </si>
  <si>
    <t>Propanol (99.7 %wt)</t>
  </si>
  <si>
    <t xml:space="preserve">Hydrogen </t>
  </si>
  <si>
    <t>Molar ratio</t>
  </si>
  <si>
    <t>Stoichiometric ratio</t>
  </si>
  <si>
    <t>Global warming</t>
  </si>
  <si>
    <t>Stratospheric ozone depletion</t>
  </si>
  <si>
    <t>Ionizing radiation</t>
  </si>
  <si>
    <t>Ozone formation, Human health</t>
  </si>
  <si>
    <t>Fine particulate matter formation</t>
  </si>
  <si>
    <t>Ozone formation, Terrestrial ecosystems</t>
  </si>
  <si>
    <t>Terrestrial acidification</t>
  </si>
  <si>
    <t>Freshwater eutrophication</t>
  </si>
  <si>
    <t>Marine eutrophication</t>
  </si>
  <si>
    <t>Terrestrial ecotoxicity</t>
  </si>
  <si>
    <t>Freshwater ecotoxicity</t>
  </si>
  <si>
    <t>Marine ecotoxicity</t>
  </si>
  <si>
    <t>Human carcinogenic toxicity</t>
  </si>
  <si>
    <t>Human non-carcinogenic toxicity</t>
  </si>
  <si>
    <t>Land use</t>
  </si>
  <si>
    <t>Mineral resource scarcity</t>
  </si>
  <si>
    <t>Fossil resource scarcity</t>
  </si>
  <si>
    <t>Water consumption</t>
  </si>
  <si>
    <t>Process</t>
  </si>
  <si>
    <t>kg CO2 eq</t>
  </si>
  <si>
    <t>kg CFC11 eq</t>
  </si>
  <si>
    <t>kBq Co-60 eq</t>
  </si>
  <si>
    <t>kg NOx eq</t>
  </si>
  <si>
    <t>kg PM2.5 eq</t>
  </si>
  <si>
    <t>kg SO2 eq</t>
  </si>
  <si>
    <t>kg P eq</t>
  </si>
  <si>
    <t>kg N eq</t>
  </si>
  <si>
    <t>kg 1,4-DCB</t>
  </si>
  <si>
    <t>m2a crop eq</t>
  </si>
  <si>
    <t>kg Cu eq</t>
  </si>
  <si>
    <t>kg oil eq</t>
  </si>
  <si>
    <t>m3</t>
  </si>
  <si>
    <t>1-propanol {GLO}| market for | Cut-off, S</t>
  </si>
  <si>
    <t>BAU</t>
  </si>
  <si>
    <t>DAC + wind</t>
  </si>
  <si>
    <t>NG + wind</t>
  </si>
  <si>
    <t>Price [$/t]</t>
  </si>
  <si>
    <t>Input [t/t propanol]</t>
  </si>
  <si>
    <t>Amount [$/t propanol]</t>
  </si>
  <si>
    <t>Carbon dioxide from NG</t>
  </si>
  <si>
    <t>Carbon dioxide from DAC</t>
  </si>
  <si>
    <t>Hydrogen from wind</t>
  </si>
  <si>
    <t>Ethylene BAU</t>
  </si>
  <si>
    <t>Market price</t>
  </si>
  <si>
    <t>$/t propanol</t>
  </si>
  <si>
    <t>Cost of production assuming reaction efficiencies with recycle and only raw material costs</t>
  </si>
  <si>
    <t>Propanol; carbon dioxide from DAC; hydrogen from wind-powered water electrolysis; BAU ethylene; intermediate conversions; Abhi</t>
  </si>
  <si>
    <t>Propanol; carbon dioxide from DAC; hydrogen from wind-powered water electrolysis; ethylene from gMeOH; intermediate conversions; Abhi</t>
  </si>
  <si>
    <t>Propanol; carbon dioxide from NG power-plant; hydrogen from wind-powered water electrolysis; BAU ethylene; intermediate conversions; Abhi</t>
  </si>
  <si>
    <t>Propanol; carbon dioxide from NG power-plant; hydrogen from wind-powered water electrolysis; ethylene from gMeOH; intermediate conversions; Abhi</t>
  </si>
  <si>
    <t>DAC + wind + gE</t>
  </si>
  <si>
    <t>NG + wind + gE</t>
  </si>
  <si>
    <t>Ethylene - gMeOH - NG</t>
  </si>
  <si>
    <t>Ethylene - gMeOH - DAC</t>
  </si>
  <si>
    <t>Global warming in kg CO2 eq</t>
  </si>
  <si>
    <t xml:space="preserve">Case </t>
  </si>
  <si>
    <t>Label</t>
  </si>
  <si>
    <t>Total</t>
  </si>
  <si>
    <t>Hydrogen</t>
  </si>
  <si>
    <t>Human health in DALY</t>
  </si>
  <si>
    <t>Ecosystems in species.yr</t>
  </si>
  <si>
    <t>Resources in USD2013</t>
  </si>
  <si>
    <t>Wind scenario</t>
  </si>
  <si>
    <t>DAC + grid</t>
  </si>
  <si>
    <t>DAC + grid + gE</t>
  </si>
  <si>
    <t>NG + grid</t>
  </si>
  <si>
    <t>NG + grid + gE</t>
  </si>
  <si>
    <t>Propanol; carbon dioxide from DAC; hydrogen from grid-powered water electrolysis; BAU ethylene; intermediate conversions; Abhi</t>
  </si>
  <si>
    <t>Propanol; carbon dioxide from DAC; hydrogen from grid-powered water electrolysis; ethylene from gMeOH; intermediate conversions; Abhi</t>
  </si>
  <si>
    <t>Propanol; carbon dioxide from NG power-plant; hydrogen from grid-powered water electrolysis; BAU ethylene; intermediate conversions; Abhi</t>
  </si>
  <si>
    <t>Propanol; carbon dioxide from NG power-plant; hydrogen from grid-powered water electrolysis; ethylene from gMeOH; intermediate conversions; Abhi</t>
  </si>
  <si>
    <t>Emissions</t>
  </si>
  <si>
    <t>Grid scenario</t>
  </si>
  <si>
    <t>Electricity</t>
  </si>
  <si>
    <t>Cooling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</si>
</sst>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4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0" fontId="1" fillId="0" borderId="0"/>
    <xf numFmtId="0" fontId="2" fillId="0" borderId="0"/>
  </cellStyleXfs>
  <cellXfs count="39">
    <xf numFmtId="0" fontId="0" fillId="0" borderId="0" xfId="0"/>
    <xf numFmtId="0" fontId="1" fillId="0" borderId="0" xfId="1"/>
    <xf numFmtId="0" fontId="1" fillId="0" borderId="0" xfId="1" applyAlignment="1">
      <alignment horizontal="center"/>
    </xf>
    <xf numFmtId="0" fontId="1" fillId="0" borderId="1" xfId="1" applyBorder="1" applyAlignment="1">
      <alignment horizontal="center"/>
    </xf>
    <xf numFmtId="2" fontId="1" fillId="0" borderId="1" xfId="1" applyNumberFormat="1" applyBorder="1" applyAlignment="1">
      <alignment horizontal="center"/>
    </xf>
    <xf numFmtId="164" fontId="1" fillId="0" borderId="1" xfId="1" applyNumberFormat="1" applyBorder="1" applyAlignment="1">
      <alignment horizontal="center"/>
    </xf>
    <xf numFmtId="0" fontId="1" fillId="2" borderId="1" xfId="1" applyFill="1" applyBorder="1" applyAlignment="1">
      <alignment horizontal="center"/>
    </xf>
    <xf numFmtId="0" fontId="1" fillId="3" borderId="1" xfId="1" applyFill="1" applyBorder="1" applyAlignment="1">
      <alignment horizontal="center"/>
    </xf>
    <xf numFmtId="11" fontId="1" fillId="0" borderId="1" xfId="1" applyNumberFormat="1" applyBorder="1" applyAlignment="1">
      <alignment horizontal="center"/>
    </xf>
    <xf numFmtId="11" fontId="1" fillId="0" borderId="0" xfId="1" applyNumberFormat="1"/>
    <xf numFmtId="0" fontId="1" fillId="0" borderId="2" xfId="1" applyBorder="1" applyAlignment="1">
      <alignment horizontal="center"/>
    </xf>
    <xf numFmtId="11" fontId="1" fillId="0" borderId="2" xfId="1" applyNumberFormat="1" applyBorder="1" applyAlignment="1">
      <alignment horizontal="center"/>
    </xf>
    <xf numFmtId="0" fontId="1" fillId="0" borderId="0" xfId="2"/>
    <xf numFmtId="0" fontId="1" fillId="0" borderId="3" xfId="2" applyBorder="1"/>
    <xf numFmtId="0" fontId="1" fillId="0" borderId="1" xfId="2" applyBorder="1" applyAlignment="1">
      <alignment horizontal="center"/>
    </xf>
    <xf numFmtId="164" fontId="1" fillId="0" borderId="1" xfId="2" applyNumberFormat="1" applyBorder="1" applyAlignment="1">
      <alignment horizontal="center"/>
    </xf>
    <xf numFmtId="2" fontId="1" fillId="0" borderId="1" xfId="2" applyNumberFormat="1" applyBorder="1" applyAlignment="1">
      <alignment horizontal="center"/>
    </xf>
    <xf numFmtId="0" fontId="1" fillId="0" borderId="0" xfId="2" applyAlignment="1">
      <alignment horizontal="center"/>
    </xf>
    <xf numFmtId="2" fontId="1" fillId="0" borderId="0" xfId="2" applyNumberFormat="1" applyAlignment="1">
      <alignment horizontal="center"/>
    </xf>
    <xf numFmtId="10" fontId="1" fillId="0" borderId="1" xfId="2" applyNumberFormat="1" applyBorder="1" applyAlignment="1">
      <alignment horizontal="center"/>
    </xf>
    <xf numFmtId="0" fontId="0" fillId="0" borderId="1" xfId="0" applyBorder="1" applyAlignment="1">
      <alignment horizontal="center"/>
    </xf>
    <xf numFmtId="164" fontId="0" fillId="0" borderId="1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0" fontId="2" fillId="0" borderId="0" xfId="3"/>
    <xf numFmtId="0" fontId="2" fillId="0" borderId="1" xfId="3" applyBorder="1" applyAlignment="1">
      <alignment horizontal="center"/>
    </xf>
    <xf numFmtId="0" fontId="2" fillId="0" borderId="0" xfId="3" applyAlignment="1">
      <alignment horizontal="center"/>
    </xf>
    <xf numFmtId="11" fontId="2" fillId="0" borderId="0" xfId="3" applyNumberFormat="1"/>
    <xf numFmtId="0" fontId="2" fillId="0" borderId="1" xfId="3" applyBorder="1"/>
    <xf numFmtId="11" fontId="2" fillId="0" borderId="1" xfId="3" applyNumberFormat="1" applyBorder="1" applyAlignment="1">
      <alignment horizontal="center"/>
    </xf>
    <xf numFmtId="11" fontId="2" fillId="0" borderId="1" xfId="3" applyNumberFormat="1" applyBorder="1"/>
    <xf numFmtId="0" fontId="3" fillId="2" borderId="4" xfId="3" applyFont="1" applyFill="1" applyBorder="1" applyAlignment="1">
      <alignment horizontal="center"/>
    </xf>
    <xf numFmtId="0" fontId="3" fillId="2" borderId="5" xfId="3" applyFont="1" applyFill="1" applyBorder="1" applyAlignment="1">
      <alignment horizontal="center"/>
    </xf>
    <xf numFmtId="0" fontId="3" fillId="2" borderId="2" xfId="3" applyFont="1" applyFill="1" applyBorder="1" applyAlignment="1">
      <alignment horizontal="center"/>
    </xf>
    <xf numFmtId="0" fontId="3" fillId="0" borderId="4" xfId="3" applyFont="1" applyBorder="1" applyAlignment="1">
      <alignment horizontal="center"/>
    </xf>
    <xf numFmtId="0" fontId="3" fillId="0" borderId="5" xfId="3" applyFont="1" applyBorder="1" applyAlignment="1">
      <alignment horizontal="center"/>
    </xf>
    <xf numFmtId="0" fontId="3" fillId="0" borderId="2" xfId="3" applyFont="1" applyBorder="1" applyAlignment="1">
      <alignment horizontal="center"/>
    </xf>
    <xf numFmtId="0" fontId="3" fillId="4" borderId="4" xfId="3" applyFont="1" applyFill="1" applyBorder="1" applyAlignment="1">
      <alignment horizontal="center"/>
    </xf>
    <xf numFmtId="0" fontId="3" fillId="4" borderId="5" xfId="3" applyFont="1" applyFill="1" applyBorder="1" applyAlignment="1">
      <alignment horizontal="center"/>
    </xf>
    <xf numFmtId="0" fontId="3" fillId="4" borderId="2" xfId="3" applyFont="1" applyFill="1" applyBorder="1" applyAlignment="1">
      <alignment horizontal="center"/>
    </xf>
  </cellXfs>
  <cellStyles count="4">
    <cellStyle name="Normal" xfId="0" builtinId="0"/>
    <cellStyle name="Normal 2" xfId="1" xr:uid="{8D242DD0-9DAD-421A-B384-24AC94A89060}"/>
    <cellStyle name="Normal 2 2" xfId="2" xr:uid="{838493C9-B64C-49DF-BC2E-267E80BC04E5}"/>
    <cellStyle name="Normal 3" xfId="3" xr:uid="{7E0DAE60-7968-4610-8F0D-EDB1650AF713}"/>
  </cellStyles>
  <dxfs count="2">
    <dxf>
      <fill>
        <patternFill>
          <bgColor rgb="FFFF0000"/>
        </patternFill>
      </fill>
    </dxf>
    <dxf>
      <fill>
        <patternFill>
          <bgColor rgb="FF92D05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CH" sz="1400" b="0" i="0" u="none" strike="noStrike" baseline="0">
                <a:effectLst/>
              </a:rPr>
              <a:t>Global warming [kg CO2 eq]</a:t>
            </a:r>
            <a:r>
              <a:rPr lang="de-CH" sz="1400" b="0" i="0" u="none" strike="noStrike" baseline="0"/>
              <a:t> </a:t>
            </a:r>
            <a:endParaRPr lang="de-CH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'LCA results - cradle to gate'!$B$3:$B$7</c:f>
              <c:strCache>
                <c:ptCount val="5"/>
                <c:pt idx="0">
                  <c:v>BAU</c:v>
                </c:pt>
                <c:pt idx="1">
                  <c:v>DAC + wind</c:v>
                </c:pt>
                <c:pt idx="2">
                  <c:v>DAC + wind + gE</c:v>
                </c:pt>
                <c:pt idx="3">
                  <c:v>NG + wind</c:v>
                </c:pt>
                <c:pt idx="4">
                  <c:v>NG + wind + gE</c:v>
                </c:pt>
              </c:strCache>
            </c:strRef>
          </c:cat>
          <c:val>
            <c:numRef>
              <c:f>'LCA results - cradle to gate'!$C$3:$C$7</c:f>
              <c:numCache>
                <c:formatCode>0.0000</c:formatCode>
                <c:ptCount val="5"/>
                <c:pt idx="0">
                  <c:v>4.6039285999999997</c:v>
                </c:pt>
                <c:pt idx="1">
                  <c:v>0.33731124000000001</c:v>
                </c:pt>
                <c:pt idx="2">
                  <c:v>-1.4321147000000001</c:v>
                </c:pt>
                <c:pt idx="3">
                  <c:v>1.0309997</c:v>
                </c:pt>
                <c:pt idx="4">
                  <c:v>0.86700571000000004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FB5-4688-B2B8-B26EC2D19F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876547696"/>
        <c:axId val="876545616"/>
      </c:barChart>
      <c:catAx>
        <c:axId val="87654769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6545616"/>
        <c:crosses val="autoZero"/>
        <c:auto val="1"/>
        <c:lblAlgn val="ctr"/>
        <c:lblOffset val="100"/>
        <c:noMultiLvlLbl val="0"/>
      </c:catAx>
      <c:valAx>
        <c:axId val="8765456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65476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CH" sz="1400" b="0" i="0" u="none" strike="noStrike" baseline="0">
                <a:effectLst/>
              </a:rPr>
              <a:t>Stratospheric ozone depletion</a:t>
            </a:r>
            <a:r>
              <a:rPr lang="de-CH" sz="1400" b="0" i="0" u="none" strike="noStrike" baseline="0"/>
              <a:t> [kg CFC11 eq]</a:t>
            </a:r>
            <a:endParaRPr lang="de-CH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'LCA results - cradle to gate'!$B$3:$B$7</c:f>
              <c:strCache>
                <c:ptCount val="5"/>
                <c:pt idx="0">
                  <c:v>BAU</c:v>
                </c:pt>
                <c:pt idx="1">
                  <c:v>DAC + wind</c:v>
                </c:pt>
                <c:pt idx="2">
                  <c:v>DAC + wind + gE</c:v>
                </c:pt>
                <c:pt idx="3">
                  <c:v>NG + wind</c:v>
                </c:pt>
                <c:pt idx="4">
                  <c:v>NG + wind + gE</c:v>
                </c:pt>
              </c:strCache>
            </c:strRef>
          </c:cat>
          <c:val>
            <c:numRef>
              <c:f>'LCA results - cradle to gate'!$D$3:$D$7</c:f>
              <c:numCache>
                <c:formatCode>0.00E+00</c:formatCode>
                <c:ptCount val="5"/>
                <c:pt idx="0">
                  <c:v>1.4640390000000001E-6</c:v>
                </c:pt>
                <c:pt idx="1">
                  <c:v>8.4114250000000002E-8</c:v>
                </c:pt>
                <c:pt idx="2">
                  <c:v>2.8388440999999998E-7</c:v>
                </c:pt>
                <c:pt idx="3">
                  <c:v>8.8931256999999997E-8</c:v>
                </c:pt>
                <c:pt idx="4">
                  <c:v>2.9984962000000003E-7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DE4-47EB-9C5A-C632A43BEB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876547696"/>
        <c:axId val="876545616"/>
      </c:barChart>
      <c:catAx>
        <c:axId val="87654769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6545616"/>
        <c:crosses val="autoZero"/>
        <c:auto val="1"/>
        <c:lblAlgn val="ctr"/>
        <c:lblOffset val="100"/>
        <c:noMultiLvlLbl val="0"/>
      </c:catAx>
      <c:valAx>
        <c:axId val="8765456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65476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CH" sz="1400" b="0" i="0" u="none" strike="noStrike" baseline="0">
                <a:effectLst/>
              </a:rPr>
              <a:t>Ionizing radiation [kBq Co-60 eq]</a:t>
            </a:r>
            <a:endParaRPr lang="de-CH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'LCA results - cradle to gate'!$B$3:$B$7</c:f>
              <c:strCache>
                <c:ptCount val="5"/>
                <c:pt idx="0">
                  <c:v>BAU</c:v>
                </c:pt>
                <c:pt idx="1">
                  <c:v>DAC + wind</c:v>
                </c:pt>
                <c:pt idx="2">
                  <c:v>DAC + wind + gE</c:v>
                </c:pt>
                <c:pt idx="3">
                  <c:v>NG + wind</c:v>
                </c:pt>
                <c:pt idx="4">
                  <c:v>NG + wind + gE</c:v>
                </c:pt>
              </c:strCache>
            </c:strRef>
          </c:cat>
          <c:val>
            <c:numRef>
              <c:f>'LCA results - cradle to gate'!$E$3:$E$7</c:f>
              <c:numCache>
                <c:formatCode>0.0000</c:formatCode>
                <c:ptCount val="5"/>
                <c:pt idx="0">
                  <c:v>0.25496323999999998</c:v>
                </c:pt>
                <c:pt idx="1">
                  <c:v>5.9917857000000001E-3</c:v>
                </c:pt>
                <c:pt idx="2">
                  <c:v>2.2072483E-2</c:v>
                </c:pt>
                <c:pt idx="3">
                  <c:v>6.6329394999999998E-3</c:v>
                </c:pt>
                <c:pt idx="4">
                  <c:v>2.4197485000000001E-2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3EC-4B05-A77D-E293439291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876547696"/>
        <c:axId val="876545616"/>
      </c:barChart>
      <c:catAx>
        <c:axId val="87654769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6545616"/>
        <c:crosses val="autoZero"/>
        <c:auto val="1"/>
        <c:lblAlgn val="ctr"/>
        <c:lblOffset val="100"/>
        <c:noMultiLvlLbl val="0"/>
      </c:catAx>
      <c:valAx>
        <c:axId val="8765456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65476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CH" sz="1400" b="0" i="0" u="none" strike="noStrike" baseline="0">
                <a:effectLst/>
              </a:rPr>
              <a:t>Ozone formation, Human health [kg NOx eq]</a:t>
            </a:r>
            <a:endParaRPr lang="de-CH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'LCA results - cradle to gate'!$B$3:$B$7</c:f>
              <c:strCache>
                <c:ptCount val="5"/>
                <c:pt idx="0">
                  <c:v>BAU</c:v>
                </c:pt>
                <c:pt idx="1">
                  <c:v>DAC + wind</c:v>
                </c:pt>
                <c:pt idx="2">
                  <c:v>DAC + wind + gE</c:v>
                </c:pt>
                <c:pt idx="3">
                  <c:v>NG + wind</c:v>
                </c:pt>
                <c:pt idx="4">
                  <c:v>NG + wind + gE</c:v>
                </c:pt>
              </c:strCache>
            </c:strRef>
          </c:cat>
          <c:val>
            <c:numRef>
              <c:f>'LCA results - cradle to gate'!$F$3:$F$7</c:f>
              <c:numCache>
                <c:formatCode>0.0000</c:formatCode>
                <c:ptCount val="5"/>
                <c:pt idx="0">
                  <c:v>1.6488507999999999E-2</c:v>
                </c:pt>
                <c:pt idx="1">
                  <c:v>1.8429125000000001E-3</c:v>
                </c:pt>
                <c:pt idx="2">
                  <c:v>2.2523854000000001E-3</c:v>
                </c:pt>
                <c:pt idx="3">
                  <c:v>2.2175743E-3</c:v>
                </c:pt>
                <c:pt idx="4">
                  <c:v>3.4941425000000002E-3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284-4548-9595-7177F0650B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876547696"/>
        <c:axId val="876545616"/>
      </c:barChart>
      <c:catAx>
        <c:axId val="87654769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6545616"/>
        <c:crosses val="autoZero"/>
        <c:auto val="1"/>
        <c:lblAlgn val="ctr"/>
        <c:lblOffset val="100"/>
        <c:noMultiLvlLbl val="0"/>
      </c:catAx>
      <c:valAx>
        <c:axId val="8765456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65476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CH" sz="1400" b="0" i="0" u="none" strike="noStrike" baseline="0">
                <a:effectLst/>
              </a:rPr>
              <a:t>Fine particulate matter formation</a:t>
            </a:r>
            <a:r>
              <a:rPr lang="de-CH" sz="1400" b="0" i="0" u="none" strike="noStrike" baseline="0"/>
              <a:t> [kg PM2.5 eq]</a:t>
            </a:r>
            <a:endParaRPr lang="de-CH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'LCA results - cradle to gate'!$B$3:$B$7</c:f>
              <c:strCache>
                <c:ptCount val="5"/>
                <c:pt idx="0">
                  <c:v>BAU</c:v>
                </c:pt>
                <c:pt idx="1">
                  <c:v>DAC + wind</c:v>
                </c:pt>
                <c:pt idx="2">
                  <c:v>DAC + wind + gE</c:v>
                </c:pt>
                <c:pt idx="3">
                  <c:v>NG + wind</c:v>
                </c:pt>
                <c:pt idx="4">
                  <c:v>NG + wind + gE</c:v>
                </c:pt>
              </c:strCache>
            </c:strRef>
          </c:cat>
          <c:val>
            <c:numRef>
              <c:f>'LCA results - cradle to gate'!$G$3:$G$7</c:f>
              <c:numCache>
                <c:formatCode>0.0000</c:formatCode>
                <c:ptCount val="5"/>
                <c:pt idx="0">
                  <c:v>8.4093069999999995E-3</c:v>
                </c:pt>
                <c:pt idx="1">
                  <c:v>8.9608714000000004E-4</c:v>
                </c:pt>
                <c:pt idx="2">
                  <c:v>1.2532384E-3</c:v>
                </c:pt>
                <c:pt idx="3">
                  <c:v>9.3702903999999998E-4</c:v>
                </c:pt>
                <c:pt idx="4">
                  <c:v>1.3889339000000001E-3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FB8-4A89-A53D-847019746E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876547696"/>
        <c:axId val="876545616"/>
      </c:barChart>
      <c:catAx>
        <c:axId val="87654769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6545616"/>
        <c:crosses val="autoZero"/>
        <c:auto val="1"/>
        <c:lblAlgn val="ctr"/>
        <c:lblOffset val="100"/>
        <c:noMultiLvlLbl val="0"/>
      </c:catAx>
      <c:valAx>
        <c:axId val="8765456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65476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CH" sz="1400" b="0" i="0" u="none" strike="noStrike" baseline="0">
                <a:effectLst/>
              </a:rPr>
              <a:t>Ozone formation, Terrestrial ecosystems</a:t>
            </a:r>
            <a:r>
              <a:rPr lang="de-CH" sz="1400" b="0" i="0" u="none" strike="noStrike" baseline="0"/>
              <a:t> [kg NOx eq]</a:t>
            </a:r>
            <a:endParaRPr lang="de-CH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'LCA results - cradle to gate'!$B$3:$B$7</c:f>
              <c:strCache>
                <c:ptCount val="5"/>
                <c:pt idx="0">
                  <c:v>BAU</c:v>
                </c:pt>
                <c:pt idx="1">
                  <c:v>DAC + wind</c:v>
                </c:pt>
                <c:pt idx="2">
                  <c:v>DAC + wind + gE</c:v>
                </c:pt>
                <c:pt idx="3">
                  <c:v>NG + wind</c:v>
                </c:pt>
                <c:pt idx="4">
                  <c:v>NG + wind + gE</c:v>
                </c:pt>
              </c:strCache>
            </c:strRef>
          </c:cat>
          <c:val>
            <c:numRef>
              <c:f>'LCA results - cradle to gate'!$H$3:$H$7</c:f>
              <c:numCache>
                <c:formatCode>0.0000</c:formatCode>
                <c:ptCount val="5"/>
                <c:pt idx="0">
                  <c:v>2.0628871E-2</c:v>
                </c:pt>
                <c:pt idx="1">
                  <c:v>1.9977011000000002E-3</c:v>
                </c:pt>
                <c:pt idx="2">
                  <c:v>2.7319421999999999E-3</c:v>
                </c:pt>
                <c:pt idx="3">
                  <c:v>2.3693112999999999E-3</c:v>
                </c:pt>
                <c:pt idx="4">
                  <c:v>3.9635853999999996E-3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149-4ADD-8EEC-166737121D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876547696"/>
        <c:axId val="876545616"/>
      </c:barChart>
      <c:catAx>
        <c:axId val="87654769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6545616"/>
        <c:crosses val="autoZero"/>
        <c:auto val="1"/>
        <c:lblAlgn val="ctr"/>
        <c:lblOffset val="100"/>
        <c:noMultiLvlLbl val="0"/>
      </c:catAx>
      <c:valAx>
        <c:axId val="8765456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65476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CH" sz="1400" b="0" i="0" u="none" strike="noStrike" baseline="0">
                <a:effectLst/>
              </a:rPr>
              <a:t>Terrestrial acidification</a:t>
            </a:r>
            <a:r>
              <a:rPr lang="de-CH" sz="1400" b="0" i="0" u="none" strike="noStrike" baseline="0"/>
              <a:t> [kg SO2 eq]</a:t>
            </a:r>
            <a:endParaRPr lang="de-CH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'LCA results - cradle to gate'!$B$3:$B$7</c:f>
              <c:strCache>
                <c:ptCount val="5"/>
                <c:pt idx="0">
                  <c:v>BAU</c:v>
                </c:pt>
                <c:pt idx="1">
                  <c:v>DAC + wind</c:v>
                </c:pt>
                <c:pt idx="2">
                  <c:v>DAC + wind + gE</c:v>
                </c:pt>
                <c:pt idx="3">
                  <c:v>NG + wind</c:v>
                </c:pt>
                <c:pt idx="4">
                  <c:v>NG + wind + gE</c:v>
                </c:pt>
              </c:strCache>
            </c:strRef>
          </c:cat>
          <c:val>
            <c:numRef>
              <c:f>'LCA results - cradle to gate'!$I$3:$I$7</c:f>
              <c:numCache>
                <c:formatCode>0.0000</c:formatCode>
                <c:ptCount val="5"/>
                <c:pt idx="0">
                  <c:v>1.8631587000000002E-2</c:v>
                </c:pt>
                <c:pt idx="1">
                  <c:v>2.3249347000000001E-3</c:v>
                </c:pt>
                <c:pt idx="2">
                  <c:v>2.3472096E-3</c:v>
                </c:pt>
                <c:pt idx="3">
                  <c:v>2.4626180999999998E-3</c:v>
                </c:pt>
                <c:pt idx="4">
                  <c:v>2.8035393E-3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367-47EA-ACD8-C8C761A4B5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876547696"/>
        <c:axId val="876545616"/>
      </c:barChart>
      <c:catAx>
        <c:axId val="87654769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6545616"/>
        <c:crosses val="autoZero"/>
        <c:auto val="1"/>
        <c:lblAlgn val="ctr"/>
        <c:lblOffset val="100"/>
        <c:noMultiLvlLbl val="0"/>
      </c:catAx>
      <c:valAx>
        <c:axId val="8765456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65476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CH" sz="1400" b="0" i="0" u="none" strike="noStrike" baseline="0">
                <a:effectLst/>
              </a:rPr>
              <a:t>Freshwater eutrophication</a:t>
            </a:r>
            <a:r>
              <a:rPr lang="de-CH" sz="1400" b="0" i="0" u="none" strike="noStrike" baseline="0"/>
              <a:t> [kg P eq]</a:t>
            </a:r>
            <a:endParaRPr lang="de-CH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'LCA results - cradle to gate'!$B$3:$B$7</c:f>
              <c:strCache>
                <c:ptCount val="5"/>
                <c:pt idx="0">
                  <c:v>BAU</c:v>
                </c:pt>
                <c:pt idx="1">
                  <c:v>DAC + wind</c:v>
                </c:pt>
                <c:pt idx="2">
                  <c:v>DAC + wind + gE</c:v>
                </c:pt>
                <c:pt idx="3">
                  <c:v>NG + wind</c:v>
                </c:pt>
                <c:pt idx="4">
                  <c:v>NG + wind + gE</c:v>
                </c:pt>
              </c:strCache>
            </c:strRef>
          </c:cat>
          <c:val>
            <c:numRef>
              <c:f>'LCA results - cradle to gate'!$J$3:$J$7</c:f>
              <c:numCache>
                <c:formatCode>0.00E+00</c:formatCode>
                <c:ptCount val="5"/>
                <c:pt idx="0">
                  <c:v>1.6225464E-3</c:v>
                </c:pt>
                <c:pt idx="1">
                  <c:v>9.8756889999999996E-5</c:v>
                </c:pt>
                <c:pt idx="2">
                  <c:v>3.3304903000000002E-4</c:v>
                </c:pt>
                <c:pt idx="3">
                  <c:v>9.7142685E-5</c:v>
                </c:pt>
                <c:pt idx="4">
                  <c:v>3.2769899999999998E-4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A75-4524-B32F-170097C249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876547696"/>
        <c:axId val="876545616"/>
      </c:barChart>
      <c:catAx>
        <c:axId val="87654769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6545616"/>
        <c:crosses val="autoZero"/>
        <c:auto val="1"/>
        <c:lblAlgn val="ctr"/>
        <c:lblOffset val="100"/>
        <c:noMultiLvlLbl val="0"/>
      </c:catAx>
      <c:valAx>
        <c:axId val="8765456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65476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CH" sz="1400" b="0" i="0" u="none" strike="noStrike" baseline="0">
                <a:effectLst/>
              </a:rPr>
              <a:t>Marine eutrophication</a:t>
            </a:r>
            <a:r>
              <a:rPr lang="de-CH" sz="1400" b="0" i="0" u="none" strike="noStrike" baseline="0"/>
              <a:t> [kg N eq]</a:t>
            </a:r>
            <a:endParaRPr lang="de-CH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'LCA results - cradle to gate'!$B$3:$B$7</c:f>
              <c:strCache>
                <c:ptCount val="5"/>
                <c:pt idx="0">
                  <c:v>BAU</c:v>
                </c:pt>
                <c:pt idx="1">
                  <c:v>DAC + wind</c:v>
                </c:pt>
                <c:pt idx="2">
                  <c:v>DAC + wind + gE</c:v>
                </c:pt>
                <c:pt idx="3">
                  <c:v>NG + wind</c:v>
                </c:pt>
                <c:pt idx="4">
                  <c:v>NG + wind + gE</c:v>
                </c:pt>
              </c:strCache>
            </c:strRef>
          </c:cat>
          <c:val>
            <c:numRef>
              <c:f>'LCA results - cradle to gate'!$K$3:$K$7</c:f>
              <c:numCache>
                <c:formatCode>0.00E+00</c:formatCode>
                <c:ptCount val="5"/>
                <c:pt idx="0">
                  <c:v>1.0706915E-4</c:v>
                </c:pt>
                <c:pt idx="1">
                  <c:v>1.2281683999999999E-5</c:v>
                </c:pt>
                <c:pt idx="2">
                  <c:v>3.9892575999999999E-5</c:v>
                </c:pt>
                <c:pt idx="3">
                  <c:v>1.5538870999999999E-5</c:v>
                </c:pt>
                <c:pt idx="4">
                  <c:v>5.0688006999999999E-5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D1D-475A-8D6C-86C59CA5B4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876547696"/>
        <c:axId val="876545616"/>
      </c:barChart>
      <c:catAx>
        <c:axId val="87654769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6545616"/>
        <c:crosses val="autoZero"/>
        <c:auto val="1"/>
        <c:lblAlgn val="ctr"/>
        <c:lblOffset val="100"/>
        <c:noMultiLvlLbl val="0"/>
      </c:catAx>
      <c:valAx>
        <c:axId val="8765456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65476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CH" sz="1400" b="0" i="0" u="none" strike="noStrike" baseline="0">
                <a:effectLst/>
              </a:rPr>
              <a:t>Terrestrial ecotoxicity</a:t>
            </a:r>
            <a:r>
              <a:rPr lang="de-CH" sz="1400" b="0" i="0" u="none" strike="noStrike" baseline="0"/>
              <a:t> [kg 1,4-DCB]</a:t>
            </a:r>
            <a:endParaRPr lang="de-CH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'LCA results - cradle to gate'!$B$3:$B$7</c:f>
              <c:strCache>
                <c:ptCount val="5"/>
                <c:pt idx="0">
                  <c:v>BAU</c:v>
                </c:pt>
                <c:pt idx="1">
                  <c:v>DAC + wind</c:v>
                </c:pt>
                <c:pt idx="2">
                  <c:v>DAC + wind + gE</c:v>
                </c:pt>
                <c:pt idx="3">
                  <c:v>NG + wind</c:v>
                </c:pt>
                <c:pt idx="4">
                  <c:v>NG + wind + gE</c:v>
                </c:pt>
              </c:strCache>
            </c:strRef>
          </c:cat>
          <c:val>
            <c:numRef>
              <c:f>'LCA results - cradle to gate'!$L$3:$L$7</c:f>
              <c:numCache>
                <c:formatCode>0.0000</c:formatCode>
                <c:ptCount val="5"/>
                <c:pt idx="0">
                  <c:v>8.8305188999999995</c:v>
                </c:pt>
                <c:pt idx="1">
                  <c:v>1.8421111999999999</c:v>
                </c:pt>
                <c:pt idx="2">
                  <c:v>6.4030062000000001</c:v>
                </c:pt>
                <c:pt idx="3">
                  <c:v>1.8716306</c:v>
                </c:pt>
                <c:pt idx="4">
                  <c:v>6.5008433999999999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3F8-424E-A1BF-B97D44148C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876547696"/>
        <c:axId val="876545616"/>
      </c:barChart>
      <c:catAx>
        <c:axId val="87654769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6545616"/>
        <c:crosses val="autoZero"/>
        <c:auto val="1"/>
        <c:lblAlgn val="ctr"/>
        <c:lblOffset val="100"/>
        <c:noMultiLvlLbl val="0"/>
      </c:catAx>
      <c:valAx>
        <c:axId val="8765456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65476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CH" sz="1400" b="0" i="0" u="none" strike="noStrike" baseline="0">
                <a:effectLst/>
              </a:rPr>
              <a:t>Freshwater ecotoxicity</a:t>
            </a:r>
            <a:r>
              <a:rPr lang="de-CH" sz="1400" b="0" i="0" u="none" strike="noStrike" baseline="0"/>
              <a:t> [kg 1,4-DCB]</a:t>
            </a:r>
            <a:endParaRPr lang="de-CH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'LCA results - cradle to gate'!$B$3:$B$7</c:f>
              <c:strCache>
                <c:ptCount val="5"/>
                <c:pt idx="0">
                  <c:v>BAU</c:v>
                </c:pt>
                <c:pt idx="1">
                  <c:v>DAC + wind</c:v>
                </c:pt>
                <c:pt idx="2">
                  <c:v>DAC + wind + gE</c:v>
                </c:pt>
                <c:pt idx="3">
                  <c:v>NG + wind</c:v>
                </c:pt>
                <c:pt idx="4">
                  <c:v>NG + wind + gE</c:v>
                </c:pt>
              </c:strCache>
            </c:strRef>
          </c:cat>
          <c:val>
            <c:numRef>
              <c:f>'LCA results - cradle to gate'!$M$3:$M$7</c:f>
              <c:numCache>
                <c:formatCode>0.0000</c:formatCode>
                <c:ptCount val="5"/>
                <c:pt idx="0">
                  <c:v>0.10247449</c:v>
                </c:pt>
                <c:pt idx="1">
                  <c:v>5.4909883999999999E-2</c:v>
                </c:pt>
                <c:pt idx="2">
                  <c:v>0.18910445000000001</c:v>
                </c:pt>
                <c:pt idx="3">
                  <c:v>5.2860939000000003E-2</c:v>
                </c:pt>
                <c:pt idx="4">
                  <c:v>0.18231354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4DE-4CF4-88BE-291AF05721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876547696"/>
        <c:axId val="876545616"/>
      </c:barChart>
      <c:catAx>
        <c:axId val="87654769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6545616"/>
        <c:crosses val="autoZero"/>
        <c:auto val="1"/>
        <c:lblAlgn val="ctr"/>
        <c:lblOffset val="100"/>
        <c:noMultiLvlLbl val="0"/>
      </c:catAx>
      <c:valAx>
        <c:axId val="8765456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65476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CH" sz="1400" b="0" i="0" u="none" strike="noStrike" baseline="0">
                <a:effectLst/>
              </a:rPr>
              <a:t>Marine ecotoxicity</a:t>
            </a:r>
            <a:r>
              <a:rPr lang="de-CH" sz="1400" b="0" i="0" u="none" strike="noStrike" baseline="0"/>
              <a:t> [kg 1,4-DCB]</a:t>
            </a:r>
            <a:endParaRPr lang="de-CH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'LCA results - cradle to gate'!$B$3:$B$7</c:f>
              <c:strCache>
                <c:ptCount val="5"/>
                <c:pt idx="0">
                  <c:v>BAU</c:v>
                </c:pt>
                <c:pt idx="1">
                  <c:v>DAC + wind</c:v>
                </c:pt>
                <c:pt idx="2">
                  <c:v>DAC + wind + gE</c:v>
                </c:pt>
                <c:pt idx="3">
                  <c:v>NG + wind</c:v>
                </c:pt>
                <c:pt idx="4">
                  <c:v>NG + wind + gE</c:v>
                </c:pt>
              </c:strCache>
            </c:strRef>
          </c:cat>
          <c:val>
            <c:numRef>
              <c:f>'LCA results - cradle to gate'!$N$3:$N$7</c:f>
              <c:numCache>
                <c:formatCode>0.0000</c:formatCode>
                <c:ptCount val="5"/>
                <c:pt idx="0">
                  <c:v>0.14484010999999999</c:v>
                </c:pt>
                <c:pt idx="1">
                  <c:v>6.8946813999999995E-2</c:v>
                </c:pt>
                <c:pt idx="2">
                  <c:v>0.23679264</c:v>
                </c:pt>
                <c:pt idx="3">
                  <c:v>6.6316941000000004E-2</c:v>
                </c:pt>
                <c:pt idx="4">
                  <c:v>0.22807633999999999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8CF-47A8-915B-EBBD118573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876547696"/>
        <c:axId val="876545616"/>
      </c:barChart>
      <c:catAx>
        <c:axId val="87654769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6545616"/>
        <c:crosses val="autoZero"/>
        <c:auto val="1"/>
        <c:lblAlgn val="ctr"/>
        <c:lblOffset val="100"/>
        <c:noMultiLvlLbl val="0"/>
      </c:catAx>
      <c:valAx>
        <c:axId val="8765456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65476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CH" sz="1400" b="0" i="0" u="none" strike="noStrike" baseline="0">
                <a:effectLst/>
              </a:rPr>
              <a:t>Human carcinogenic toxicity</a:t>
            </a:r>
            <a:r>
              <a:rPr lang="de-CH" sz="1400" b="0" i="0" u="none" strike="noStrike" baseline="0"/>
              <a:t> [kg 1,4-DCB]</a:t>
            </a:r>
            <a:endParaRPr lang="de-CH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'LCA results - cradle to gate'!$B$3:$B$7</c:f>
              <c:strCache>
                <c:ptCount val="5"/>
                <c:pt idx="0">
                  <c:v>BAU</c:v>
                </c:pt>
                <c:pt idx="1">
                  <c:v>DAC + wind</c:v>
                </c:pt>
                <c:pt idx="2">
                  <c:v>DAC + wind + gE</c:v>
                </c:pt>
                <c:pt idx="3">
                  <c:v>NG + wind</c:v>
                </c:pt>
                <c:pt idx="4">
                  <c:v>NG + wind + gE</c:v>
                </c:pt>
              </c:strCache>
            </c:strRef>
          </c:cat>
          <c:val>
            <c:numRef>
              <c:f>'LCA results - cradle to gate'!$O$3:$O$7</c:f>
              <c:numCache>
                <c:formatCode>0.0000</c:formatCode>
                <c:ptCount val="5"/>
                <c:pt idx="0">
                  <c:v>0.14768858000000001</c:v>
                </c:pt>
                <c:pt idx="1">
                  <c:v>5.592167E-2</c:v>
                </c:pt>
                <c:pt idx="2">
                  <c:v>0.16664143000000001</c:v>
                </c:pt>
                <c:pt idx="3">
                  <c:v>5.4249881E-2</c:v>
                </c:pt>
                <c:pt idx="4">
                  <c:v>0.16110055000000001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4A8-4FAF-8AC4-ED75AC23EB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876547696"/>
        <c:axId val="876545616"/>
      </c:barChart>
      <c:catAx>
        <c:axId val="87654769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6545616"/>
        <c:crosses val="autoZero"/>
        <c:auto val="1"/>
        <c:lblAlgn val="ctr"/>
        <c:lblOffset val="100"/>
        <c:noMultiLvlLbl val="0"/>
      </c:catAx>
      <c:valAx>
        <c:axId val="8765456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65476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CH" sz="1400" b="0" i="0" u="none" strike="noStrike" baseline="0">
                <a:effectLst/>
              </a:rPr>
              <a:t>Human non-carcinogenic toxicity</a:t>
            </a:r>
            <a:r>
              <a:rPr lang="de-CH" sz="1400" b="0" i="0" u="none" strike="noStrike" baseline="0"/>
              <a:t> [kg 1,4-DCB]</a:t>
            </a:r>
            <a:endParaRPr lang="de-CH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'LCA results - cradle to gate'!$B$3:$B$7</c:f>
              <c:strCache>
                <c:ptCount val="5"/>
                <c:pt idx="0">
                  <c:v>BAU</c:v>
                </c:pt>
                <c:pt idx="1">
                  <c:v>DAC + wind</c:v>
                </c:pt>
                <c:pt idx="2">
                  <c:v>DAC + wind + gE</c:v>
                </c:pt>
                <c:pt idx="3">
                  <c:v>NG + wind</c:v>
                </c:pt>
                <c:pt idx="4">
                  <c:v>NG + wind + gE</c:v>
                </c:pt>
              </c:strCache>
            </c:strRef>
          </c:cat>
          <c:val>
            <c:numRef>
              <c:f>'LCA results - cradle to gate'!$P$3:$P$7</c:f>
              <c:numCache>
                <c:formatCode>0.0000</c:formatCode>
                <c:ptCount val="5"/>
                <c:pt idx="0">
                  <c:v>4.5199340000000001</c:v>
                </c:pt>
                <c:pt idx="1">
                  <c:v>0.59231257999999998</c:v>
                </c:pt>
                <c:pt idx="2">
                  <c:v>1.9788497</c:v>
                </c:pt>
                <c:pt idx="3">
                  <c:v>0.56085543000000004</c:v>
                </c:pt>
                <c:pt idx="4">
                  <c:v>1.87459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EA0-4B60-B56D-2BF5131C30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876547696"/>
        <c:axId val="876545616"/>
      </c:barChart>
      <c:catAx>
        <c:axId val="87654769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6545616"/>
        <c:crosses val="autoZero"/>
        <c:auto val="1"/>
        <c:lblAlgn val="ctr"/>
        <c:lblOffset val="100"/>
        <c:noMultiLvlLbl val="0"/>
      </c:catAx>
      <c:valAx>
        <c:axId val="8765456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65476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CH" sz="1400" b="0" i="0" u="none" strike="noStrike" baseline="0">
                <a:effectLst/>
              </a:rPr>
              <a:t>Land use</a:t>
            </a:r>
            <a:r>
              <a:rPr lang="de-CH" sz="1400" b="0" i="0" u="none" strike="noStrike" baseline="0"/>
              <a:t> [m2a crop eq]</a:t>
            </a:r>
            <a:endParaRPr lang="de-CH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'LCA results - cradle to gate'!$B$3:$B$7</c:f>
              <c:strCache>
                <c:ptCount val="5"/>
                <c:pt idx="0">
                  <c:v>BAU</c:v>
                </c:pt>
                <c:pt idx="1">
                  <c:v>DAC + wind</c:v>
                </c:pt>
                <c:pt idx="2">
                  <c:v>DAC + wind + gE</c:v>
                </c:pt>
                <c:pt idx="3">
                  <c:v>NG + wind</c:v>
                </c:pt>
                <c:pt idx="4">
                  <c:v>NG + wind + gE</c:v>
                </c:pt>
              </c:strCache>
            </c:strRef>
          </c:cat>
          <c:val>
            <c:numRef>
              <c:f>'LCA results - cradle to gate'!$Q$3:$Q$7</c:f>
              <c:numCache>
                <c:formatCode>0.0000</c:formatCode>
                <c:ptCount val="5"/>
                <c:pt idx="0">
                  <c:v>0.10146991</c:v>
                </c:pt>
                <c:pt idx="1">
                  <c:v>1.0616163E-2</c:v>
                </c:pt>
                <c:pt idx="2">
                  <c:v>3.7079674E-2</c:v>
                </c:pt>
                <c:pt idx="3">
                  <c:v>1.0085152999999999E-2</c:v>
                </c:pt>
                <c:pt idx="4">
                  <c:v>3.5319725000000003E-2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781-41E1-BDA9-EB48BA3175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876547696"/>
        <c:axId val="876545616"/>
      </c:barChart>
      <c:catAx>
        <c:axId val="87654769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6545616"/>
        <c:crosses val="autoZero"/>
        <c:auto val="1"/>
        <c:lblAlgn val="ctr"/>
        <c:lblOffset val="100"/>
        <c:noMultiLvlLbl val="0"/>
      </c:catAx>
      <c:valAx>
        <c:axId val="8765456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65476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CH" sz="1400" b="0" i="0" u="none" strike="noStrike" baseline="0">
                <a:effectLst/>
              </a:rPr>
              <a:t>Mineral resource scarcity</a:t>
            </a:r>
            <a:r>
              <a:rPr lang="de-CH" sz="1400" b="0" i="0" u="none" strike="noStrike" baseline="0"/>
              <a:t> [kg Cu eq]</a:t>
            </a:r>
            <a:endParaRPr lang="de-CH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'LCA results - cradle to gate'!$B$3:$B$7</c:f>
              <c:strCache>
                <c:ptCount val="5"/>
                <c:pt idx="0">
                  <c:v>BAU</c:v>
                </c:pt>
                <c:pt idx="1">
                  <c:v>DAC + wind</c:v>
                </c:pt>
                <c:pt idx="2">
                  <c:v>DAC + wind + gE</c:v>
                </c:pt>
                <c:pt idx="3">
                  <c:v>NG + wind</c:v>
                </c:pt>
                <c:pt idx="4">
                  <c:v>NG + wind + gE</c:v>
                </c:pt>
              </c:strCache>
            </c:strRef>
          </c:cat>
          <c:val>
            <c:numRef>
              <c:f>'LCA results - cradle to gate'!$R$3:$R$7</c:f>
              <c:numCache>
                <c:formatCode>0.0000</c:formatCode>
                <c:ptCount val="5"/>
                <c:pt idx="0">
                  <c:v>7.6205869000000002E-3</c:v>
                </c:pt>
                <c:pt idx="1">
                  <c:v>4.7534022000000004E-3</c:v>
                </c:pt>
                <c:pt idx="2">
                  <c:v>1.6631822000000001E-2</c:v>
                </c:pt>
                <c:pt idx="3">
                  <c:v>4.5609570999999996E-3</c:v>
                </c:pt>
                <c:pt idx="4">
                  <c:v>1.5993993000000001E-2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4D6-44AC-8DB1-2FC0205ABE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876547696"/>
        <c:axId val="876545616"/>
      </c:barChart>
      <c:catAx>
        <c:axId val="87654769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6545616"/>
        <c:crosses val="autoZero"/>
        <c:auto val="1"/>
        <c:lblAlgn val="ctr"/>
        <c:lblOffset val="100"/>
        <c:noMultiLvlLbl val="0"/>
      </c:catAx>
      <c:valAx>
        <c:axId val="8765456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65476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CH" sz="1400" b="0" i="0" u="none" strike="noStrike" baseline="0">
                <a:effectLst/>
              </a:rPr>
              <a:t>Fossil resource scarcity</a:t>
            </a:r>
            <a:r>
              <a:rPr lang="de-CH" sz="1400" b="0" i="0" u="none" strike="noStrike" baseline="0"/>
              <a:t> [kg oil eq]</a:t>
            </a:r>
            <a:endParaRPr lang="de-CH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'LCA results - cradle to gate'!$B$3:$B$7</c:f>
              <c:strCache>
                <c:ptCount val="5"/>
                <c:pt idx="0">
                  <c:v>BAU</c:v>
                </c:pt>
                <c:pt idx="1">
                  <c:v>DAC + wind</c:v>
                </c:pt>
                <c:pt idx="2">
                  <c:v>DAC + wind + gE</c:v>
                </c:pt>
                <c:pt idx="3">
                  <c:v>NG + wind</c:v>
                </c:pt>
                <c:pt idx="4">
                  <c:v>NG + wind + gE</c:v>
                </c:pt>
              </c:strCache>
            </c:strRef>
          </c:cat>
          <c:val>
            <c:numRef>
              <c:f>'LCA results - cradle to gate'!$S$3:$S$7</c:f>
              <c:numCache>
                <c:formatCode>0.0000</c:formatCode>
                <c:ptCount val="5"/>
                <c:pt idx="0">
                  <c:v>2.0455138000000002</c:v>
                </c:pt>
                <c:pt idx="1">
                  <c:v>0.91106228</c:v>
                </c:pt>
                <c:pt idx="2">
                  <c:v>0.45624836000000002</c:v>
                </c:pt>
                <c:pt idx="3">
                  <c:v>0.89251322</c:v>
                </c:pt>
                <c:pt idx="4">
                  <c:v>0.39477042000000001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000-4084-A897-3F02791954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876547696"/>
        <c:axId val="876545616"/>
      </c:barChart>
      <c:catAx>
        <c:axId val="87654769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6545616"/>
        <c:crosses val="autoZero"/>
        <c:auto val="1"/>
        <c:lblAlgn val="ctr"/>
        <c:lblOffset val="100"/>
        <c:noMultiLvlLbl val="0"/>
      </c:catAx>
      <c:valAx>
        <c:axId val="8765456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65476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CH" sz="1400" b="0" i="0" u="none" strike="noStrike" baseline="0">
                <a:effectLst/>
              </a:rPr>
              <a:t>Water consumption</a:t>
            </a:r>
            <a:r>
              <a:rPr lang="de-CH" sz="1400" b="0" i="0" u="none" strike="noStrike" baseline="0"/>
              <a:t> [m3]</a:t>
            </a:r>
            <a:endParaRPr lang="de-CH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'LCA results - cradle to gate'!$B$3:$B$7</c:f>
              <c:strCache>
                <c:ptCount val="5"/>
                <c:pt idx="0">
                  <c:v>BAU</c:v>
                </c:pt>
                <c:pt idx="1">
                  <c:v>DAC + wind</c:v>
                </c:pt>
                <c:pt idx="2">
                  <c:v>DAC + wind + gE</c:v>
                </c:pt>
                <c:pt idx="3">
                  <c:v>NG + wind</c:v>
                </c:pt>
                <c:pt idx="4">
                  <c:v>NG + wind + gE</c:v>
                </c:pt>
              </c:strCache>
            </c:strRef>
          </c:cat>
          <c:val>
            <c:numRef>
              <c:f>'LCA results - cradle to gate'!$T$3:$T$7</c:f>
              <c:numCache>
                <c:formatCode>0.0000</c:formatCode>
                <c:ptCount val="5"/>
                <c:pt idx="0">
                  <c:v>8.0522865999999998E-2</c:v>
                </c:pt>
                <c:pt idx="1">
                  <c:v>1.0961132E-2</c:v>
                </c:pt>
                <c:pt idx="2">
                  <c:v>1.6051599E-2</c:v>
                </c:pt>
                <c:pt idx="3">
                  <c:v>9.3520605999999999E-3</c:v>
                </c:pt>
                <c:pt idx="4">
                  <c:v>1.0718587E-2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E04-4A24-A2B6-FAF2771A1E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876547696"/>
        <c:axId val="876545616"/>
      </c:barChart>
      <c:catAx>
        <c:axId val="87654769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6545616"/>
        <c:crosses val="autoZero"/>
        <c:auto val="1"/>
        <c:lblAlgn val="ctr"/>
        <c:lblOffset val="100"/>
        <c:noMultiLvlLbl val="0"/>
      </c:catAx>
      <c:valAx>
        <c:axId val="8765456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65476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13" Type="http://schemas.openxmlformats.org/officeDocument/2006/relationships/chart" Target="../charts/chart13.xml"/><Relationship Id="rId18" Type="http://schemas.openxmlformats.org/officeDocument/2006/relationships/chart" Target="../charts/chart1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12" Type="http://schemas.openxmlformats.org/officeDocument/2006/relationships/chart" Target="../charts/chart12.xml"/><Relationship Id="rId17" Type="http://schemas.openxmlformats.org/officeDocument/2006/relationships/chart" Target="../charts/chart17.xml"/><Relationship Id="rId2" Type="http://schemas.openxmlformats.org/officeDocument/2006/relationships/chart" Target="../charts/chart2.xml"/><Relationship Id="rId16" Type="http://schemas.openxmlformats.org/officeDocument/2006/relationships/chart" Target="../charts/chart16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5" Type="http://schemas.openxmlformats.org/officeDocument/2006/relationships/chart" Target="../charts/chart5.xml"/><Relationship Id="rId15" Type="http://schemas.openxmlformats.org/officeDocument/2006/relationships/chart" Target="../charts/chart1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Relationship Id="rId14" Type="http://schemas.openxmlformats.org/officeDocument/2006/relationships/chart" Target="../charts/chart1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138112</xdr:colOff>
      <xdr:row>8</xdr:row>
      <xdr:rowOff>171449</xdr:rowOff>
    </xdr:from>
    <xdr:to>
      <xdr:col>0</xdr:col>
      <xdr:colOff>4705350</xdr:colOff>
      <xdr:row>22</xdr:row>
      <xdr:rowOff>123824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86B63E8-0E6B-4C7F-AF06-CE4B4520222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4762500</xdr:colOff>
      <xdr:row>8</xdr:row>
      <xdr:rowOff>180975</xdr:rowOff>
    </xdr:from>
    <xdr:to>
      <xdr:col>1</xdr:col>
      <xdr:colOff>1247775</xdr:colOff>
      <xdr:row>22</xdr:row>
      <xdr:rowOff>123825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D1221BC-E918-4AC9-86D5-171CFEF16EF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133350</xdr:colOff>
      <xdr:row>23</xdr:row>
      <xdr:rowOff>9525</xdr:rowOff>
    </xdr:from>
    <xdr:to>
      <xdr:col>0</xdr:col>
      <xdr:colOff>4705350</xdr:colOff>
      <xdr:row>36</xdr:row>
      <xdr:rowOff>152400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5F2537F0-DF88-4748-A2D0-E7CF68CA313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4905375</xdr:colOff>
      <xdr:row>23</xdr:row>
      <xdr:rowOff>9525</xdr:rowOff>
    </xdr:from>
    <xdr:to>
      <xdr:col>1</xdr:col>
      <xdr:colOff>742950</xdr:colOff>
      <xdr:row>36</xdr:row>
      <xdr:rowOff>152400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8F44E2EC-82E3-45BB-B77D-413EE2ECDD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104775</xdr:colOff>
      <xdr:row>36</xdr:row>
      <xdr:rowOff>190500</xdr:rowOff>
    </xdr:from>
    <xdr:to>
      <xdr:col>0</xdr:col>
      <xdr:colOff>4676775</xdr:colOff>
      <xdr:row>50</xdr:row>
      <xdr:rowOff>133350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D750023E-0AE1-473C-9882-A1DF7BED861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4914900</xdr:colOff>
      <xdr:row>37</xdr:row>
      <xdr:rowOff>0</xdr:rowOff>
    </xdr:from>
    <xdr:to>
      <xdr:col>1</xdr:col>
      <xdr:colOff>752475</xdr:colOff>
      <xdr:row>50</xdr:row>
      <xdr:rowOff>142875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A4EAD395-9B47-44C7-8EE4-2CF40F0D0BA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104775</xdr:colOff>
      <xdr:row>50</xdr:row>
      <xdr:rowOff>180975</xdr:rowOff>
    </xdr:from>
    <xdr:to>
      <xdr:col>0</xdr:col>
      <xdr:colOff>4676775</xdr:colOff>
      <xdr:row>64</xdr:row>
      <xdr:rowOff>123825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1FA4EFE9-5DF7-41B3-B9D0-22E12155BFD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0</xdr:col>
      <xdr:colOff>4924424</xdr:colOff>
      <xdr:row>50</xdr:row>
      <xdr:rowOff>180975</xdr:rowOff>
    </xdr:from>
    <xdr:to>
      <xdr:col>2</xdr:col>
      <xdr:colOff>333374</xdr:colOff>
      <xdr:row>64</xdr:row>
      <xdr:rowOff>123825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71824700-DE83-4604-B08E-DF16B3FE508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0</xdr:col>
      <xdr:colOff>95250</xdr:colOff>
      <xdr:row>65</xdr:row>
      <xdr:rowOff>9525</xdr:rowOff>
    </xdr:from>
    <xdr:to>
      <xdr:col>0</xdr:col>
      <xdr:colOff>4667250</xdr:colOff>
      <xdr:row>78</xdr:row>
      <xdr:rowOff>152400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BFADC2AF-4147-4B04-A63C-D8E434CDF0B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0</xdr:col>
      <xdr:colOff>4905375</xdr:colOff>
      <xdr:row>65</xdr:row>
      <xdr:rowOff>9525</xdr:rowOff>
    </xdr:from>
    <xdr:to>
      <xdr:col>1</xdr:col>
      <xdr:colOff>742950</xdr:colOff>
      <xdr:row>78</xdr:row>
      <xdr:rowOff>152400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3887868D-DE6D-41B1-8D0B-2ED013BF746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0</xdr:col>
      <xdr:colOff>114300</xdr:colOff>
      <xdr:row>79</xdr:row>
      <xdr:rowOff>19050</xdr:rowOff>
    </xdr:from>
    <xdr:to>
      <xdr:col>0</xdr:col>
      <xdr:colOff>4686300</xdr:colOff>
      <xdr:row>92</xdr:row>
      <xdr:rowOff>161925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8695A1ED-7D0F-4A01-B922-578E336D745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0</xdr:col>
      <xdr:colOff>4905375</xdr:colOff>
      <xdr:row>79</xdr:row>
      <xdr:rowOff>28575</xdr:rowOff>
    </xdr:from>
    <xdr:to>
      <xdr:col>1</xdr:col>
      <xdr:colOff>742950</xdr:colOff>
      <xdr:row>92</xdr:row>
      <xdr:rowOff>171450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3DB9E3DA-38D7-4526-B491-B31EC2AE5E3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0</xdr:col>
      <xdr:colOff>95250</xdr:colOff>
      <xdr:row>93</xdr:row>
      <xdr:rowOff>28575</xdr:rowOff>
    </xdr:from>
    <xdr:to>
      <xdr:col>0</xdr:col>
      <xdr:colOff>4667250</xdr:colOff>
      <xdr:row>106</xdr:row>
      <xdr:rowOff>171450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6E0B6392-9166-4F29-B6B7-861086AAEC0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0</xdr:col>
      <xdr:colOff>4905375</xdr:colOff>
      <xdr:row>93</xdr:row>
      <xdr:rowOff>38100</xdr:rowOff>
    </xdr:from>
    <xdr:to>
      <xdr:col>1</xdr:col>
      <xdr:colOff>742950</xdr:colOff>
      <xdr:row>106</xdr:row>
      <xdr:rowOff>180975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E7F2FA04-7BA4-411A-9C98-190BEC68C98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0</xdr:col>
      <xdr:colOff>104775</xdr:colOff>
      <xdr:row>107</xdr:row>
      <xdr:rowOff>38100</xdr:rowOff>
    </xdr:from>
    <xdr:to>
      <xdr:col>0</xdr:col>
      <xdr:colOff>4676775</xdr:colOff>
      <xdr:row>120</xdr:row>
      <xdr:rowOff>180975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09DF52B2-0456-4A12-AB8F-8D9CD44F86D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0</xdr:col>
      <xdr:colOff>4905375</xdr:colOff>
      <xdr:row>107</xdr:row>
      <xdr:rowOff>19050</xdr:rowOff>
    </xdr:from>
    <xdr:to>
      <xdr:col>1</xdr:col>
      <xdr:colOff>742950</xdr:colOff>
      <xdr:row>120</xdr:row>
      <xdr:rowOff>161925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F72BA7DD-CD65-4C3E-9C50-D45E23C9A2C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0</xdr:col>
      <xdr:colOff>104775</xdr:colOff>
      <xdr:row>121</xdr:row>
      <xdr:rowOff>38100</xdr:rowOff>
    </xdr:from>
    <xdr:to>
      <xdr:col>0</xdr:col>
      <xdr:colOff>4676775</xdr:colOff>
      <xdr:row>134</xdr:row>
      <xdr:rowOff>180975</xdr:rowOff>
    </xdr:to>
    <xdr:graphicFrame macro="">
      <xdr:nvGraphicFramePr>
        <xdr:cNvPr id="18" name="Chart 17">
          <a:extLst>
            <a:ext uri="{FF2B5EF4-FFF2-40B4-BE49-F238E27FC236}">
              <a16:creationId xmlns:a16="http://schemas.microsoft.com/office/drawing/2014/main" id="{F3537DFA-8287-4AAC-BF02-ED349E32A91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0</xdr:col>
      <xdr:colOff>4914900</xdr:colOff>
      <xdr:row>121</xdr:row>
      <xdr:rowOff>28575</xdr:rowOff>
    </xdr:from>
    <xdr:to>
      <xdr:col>1</xdr:col>
      <xdr:colOff>752475</xdr:colOff>
      <xdr:row>134</xdr:row>
      <xdr:rowOff>171450</xdr:rowOff>
    </xdr:to>
    <xdr:graphicFrame macro="">
      <xdr:nvGraphicFramePr>
        <xdr:cNvPr id="19" name="Chart 18">
          <a:extLst>
            <a:ext uri="{FF2B5EF4-FFF2-40B4-BE49-F238E27FC236}">
              <a16:creationId xmlns:a16="http://schemas.microsoft.com/office/drawing/2014/main" id="{8F42C8AD-63E6-4413-B6D3-47E2B2B081A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15DEF0-B51C-4AA1-84EE-6E4550C5466A}">
  <dimension ref="A1:H7"/>
  <sheetViews>
    <sheetView zoomScale="110" zoomScaleNormal="110" workbookViewId="0">
      <selection activeCell="F16" sqref="F16"/>
    </sheetView>
  </sheetViews>
  <sheetFormatPr defaultColWidth="12.5703125" defaultRowHeight="15.75" x14ac:dyDescent="0.25"/>
  <cols>
    <col min="1" max="1" width="21" style="1" bestFit="1" customWidth="1"/>
    <col min="2" max="2" width="7.85546875" style="1" bestFit="1" customWidth="1"/>
    <col min="3" max="3" width="8.85546875" style="1" bestFit="1" customWidth="1"/>
    <col min="4" max="4" width="11.140625" style="1" bestFit="1" customWidth="1"/>
    <col min="5" max="5" width="17.85546875" style="1" bestFit="1" customWidth="1"/>
    <col min="6" max="6" width="12.5703125" style="1"/>
    <col min="7" max="7" width="12" style="1" bestFit="1" customWidth="1"/>
    <col min="8" max="8" width="20.28515625" style="1" bestFit="1" customWidth="1"/>
    <col min="9" max="16384" width="12.5703125" style="1"/>
  </cols>
  <sheetData>
    <row r="1" spans="1:8" x14ac:dyDescent="0.25">
      <c r="A1" s="1" t="s">
        <v>10</v>
      </c>
    </row>
    <row r="3" spans="1:8" x14ac:dyDescent="0.25">
      <c r="A3" s="2"/>
      <c r="B3" s="3" t="s">
        <v>0</v>
      </c>
      <c r="C3" s="3" t="s">
        <v>1</v>
      </c>
      <c r="D3" s="3" t="s">
        <v>2</v>
      </c>
      <c r="E3" s="3" t="s">
        <v>3</v>
      </c>
      <c r="F3" s="3" t="s">
        <v>4</v>
      </c>
      <c r="G3" s="3" t="s">
        <v>12</v>
      </c>
      <c r="H3" s="3" t="s">
        <v>13</v>
      </c>
    </row>
    <row r="4" spans="1:8" x14ac:dyDescent="0.25">
      <c r="A4" s="3" t="s">
        <v>5</v>
      </c>
      <c r="B4" s="3">
        <v>44</v>
      </c>
      <c r="C4" s="4">
        <v>2000</v>
      </c>
      <c r="D4" s="4">
        <f>B4*C4</f>
        <v>88000</v>
      </c>
      <c r="E4" s="5">
        <f>D4/$D$7</f>
        <v>0.8471728158416697</v>
      </c>
      <c r="F4" s="6" t="s">
        <v>6</v>
      </c>
      <c r="G4" s="5">
        <f>C4/$C$7</f>
        <v>1.1552356579659131</v>
      </c>
      <c r="H4" s="5">
        <v>1</v>
      </c>
    </row>
    <row r="5" spans="1:8" x14ac:dyDescent="0.25">
      <c r="A5" s="3" t="s">
        <v>11</v>
      </c>
      <c r="B5" s="3">
        <v>2</v>
      </c>
      <c r="C5" s="4">
        <f>1810.15+1923.61+1731</f>
        <v>5464.76</v>
      </c>
      <c r="D5" s="4">
        <f>B5*C5</f>
        <v>10929.52</v>
      </c>
      <c r="E5" s="5">
        <f>D5/$D$7</f>
        <v>0.10521809357043006</v>
      </c>
      <c r="F5" s="6" t="s">
        <v>6</v>
      </c>
      <c r="G5" s="5">
        <f>C5/$C$7</f>
        <v>3.1565428071129018</v>
      </c>
      <c r="H5" s="5">
        <v>3</v>
      </c>
    </row>
    <row r="6" spans="1:8" x14ac:dyDescent="0.25">
      <c r="A6" s="3" t="s">
        <v>7</v>
      </c>
      <c r="B6" s="3">
        <v>28</v>
      </c>
      <c r="C6" s="4">
        <v>2008.93</v>
      </c>
      <c r="D6" s="4">
        <f>B6*C6</f>
        <v>56250.04</v>
      </c>
      <c r="E6" s="5">
        <f>D6/$D$7</f>
        <v>0.54151709975007445</v>
      </c>
      <c r="F6" s="6" t="s">
        <v>6</v>
      </c>
      <c r="G6" s="5">
        <f>C6/$C$7</f>
        <v>1.1603937851787309</v>
      </c>
      <c r="H6" s="5">
        <v>1</v>
      </c>
    </row>
    <row r="7" spans="1:8" x14ac:dyDescent="0.25">
      <c r="A7" s="3" t="s">
        <v>8</v>
      </c>
      <c r="B7" s="3">
        <v>60</v>
      </c>
      <c r="C7" s="4">
        <v>1731.2484999999999</v>
      </c>
      <c r="D7" s="4">
        <f t="shared" ref="D7" si="0">B7*C7</f>
        <v>103874.90999999999</v>
      </c>
      <c r="E7" s="5">
        <f>D7/$D$7</f>
        <v>1</v>
      </c>
      <c r="F7" s="7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655D43-AD15-4E48-A22B-ED2F3FA8C74A}">
  <dimension ref="A1:T52"/>
  <sheetViews>
    <sheetView zoomScaleNormal="100" workbookViewId="0">
      <pane xSplit="3" topLeftCell="D1" activePane="topRight" state="frozen"/>
      <selection pane="topRight" activeCell="D17" sqref="D17"/>
    </sheetView>
  </sheetViews>
  <sheetFormatPr defaultColWidth="10.140625" defaultRowHeight="15.75" x14ac:dyDescent="0.25"/>
  <cols>
    <col min="1" max="1" width="145.28515625" style="1" bestFit="1" customWidth="1"/>
    <col min="2" max="2" width="20.5703125" style="1" bestFit="1" customWidth="1"/>
    <col min="3" max="3" width="15.5703125" style="1" bestFit="1" customWidth="1"/>
    <col min="4" max="4" width="29" style="1" bestFit="1" customWidth="1"/>
    <col min="5" max="5" width="17.140625" style="1" bestFit="1" customWidth="1"/>
    <col min="6" max="6" width="31" style="1" bestFit="1" customWidth="1"/>
    <col min="7" max="7" width="32.140625" style="1" bestFit="1" customWidth="1"/>
    <col min="8" max="8" width="39.42578125" style="1" bestFit="1" customWidth="1"/>
    <col min="9" max="9" width="22.85546875" style="1" bestFit="1" customWidth="1"/>
    <col min="10" max="10" width="25.7109375" style="1" bestFit="1" customWidth="1"/>
    <col min="11" max="11" width="21.85546875" style="1" bestFit="1" customWidth="1"/>
    <col min="12" max="12" width="21.28515625" style="1" bestFit="1" customWidth="1"/>
    <col min="13" max="13" width="22.140625" style="1" bestFit="1" customWidth="1"/>
    <col min="14" max="14" width="18.42578125" style="1" bestFit="1" customWidth="1"/>
    <col min="15" max="15" width="27.5703125" style="1" bestFit="1" customWidth="1"/>
    <col min="16" max="16" width="32" style="1" bestFit="1" customWidth="1"/>
    <col min="17" max="17" width="12.42578125" style="1" bestFit="1" customWidth="1"/>
    <col min="18" max="18" width="24.7109375" style="1" bestFit="1" customWidth="1"/>
    <col min="19" max="19" width="22.85546875" style="1" bestFit="1" customWidth="1"/>
    <col min="20" max="20" width="19.28515625" style="1" bestFit="1" customWidth="1"/>
    <col min="21" max="16384" width="10.140625" style="1"/>
  </cols>
  <sheetData>
    <row r="1" spans="1:20" x14ac:dyDescent="0.25">
      <c r="C1" s="3" t="s">
        <v>14</v>
      </c>
      <c r="D1" s="3" t="s">
        <v>15</v>
      </c>
      <c r="E1" s="3" t="s">
        <v>16</v>
      </c>
      <c r="F1" s="3" t="s">
        <v>17</v>
      </c>
      <c r="G1" s="3" t="s">
        <v>18</v>
      </c>
      <c r="H1" s="3" t="s">
        <v>19</v>
      </c>
      <c r="I1" s="3" t="s">
        <v>20</v>
      </c>
      <c r="J1" s="3" t="s">
        <v>21</v>
      </c>
      <c r="K1" s="3" t="s">
        <v>22</v>
      </c>
      <c r="L1" s="3" t="s">
        <v>23</v>
      </c>
      <c r="M1" s="3" t="s">
        <v>24</v>
      </c>
      <c r="N1" s="3" t="s">
        <v>25</v>
      </c>
      <c r="O1" s="3" t="s">
        <v>26</v>
      </c>
      <c r="P1" s="3" t="s">
        <v>27</v>
      </c>
      <c r="Q1" s="3" t="s">
        <v>28</v>
      </c>
      <c r="R1" s="3" t="s">
        <v>29</v>
      </c>
      <c r="S1" s="3" t="s">
        <v>30</v>
      </c>
      <c r="T1" s="3" t="s">
        <v>31</v>
      </c>
    </row>
    <row r="2" spans="1:20" x14ac:dyDescent="0.25">
      <c r="A2" s="3" t="s">
        <v>32</v>
      </c>
      <c r="B2" s="3"/>
      <c r="C2" s="3" t="s">
        <v>33</v>
      </c>
      <c r="D2" s="3" t="s">
        <v>34</v>
      </c>
      <c r="E2" s="3" t="s">
        <v>35</v>
      </c>
      <c r="F2" s="3" t="s">
        <v>36</v>
      </c>
      <c r="G2" s="3" t="s">
        <v>37</v>
      </c>
      <c r="H2" s="3" t="s">
        <v>36</v>
      </c>
      <c r="I2" s="3" t="s">
        <v>38</v>
      </c>
      <c r="J2" s="3" t="s">
        <v>39</v>
      </c>
      <c r="K2" s="3" t="s">
        <v>40</v>
      </c>
      <c r="L2" s="3" t="s">
        <v>41</v>
      </c>
      <c r="M2" s="3" t="s">
        <v>41</v>
      </c>
      <c r="N2" s="3" t="s">
        <v>41</v>
      </c>
      <c r="O2" s="3" t="s">
        <v>41</v>
      </c>
      <c r="P2" s="3" t="s">
        <v>41</v>
      </c>
      <c r="Q2" s="3" t="s">
        <v>42</v>
      </c>
      <c r="R2" s="3" t="s">
        <v>43</v>
      </c>
      <c r="S2" s="3" t="s">
        <v>44</v>
      </c>
      <c r="T2" s="3" t="s">
        <v>45</v>
      </c>
    </row>
    <row r="3" spans="1:20" x14ac:dyDescent="0.25">
      <c r="A3" s="3" t="s">
        <v>46</v>
      </c>
      <c r="B3" s="20" t="s">
        <v>47</v>
      </c>
      <c r="C3" s="5">
        <v>4.6039285999999997</v>
      </c>
      <c r="D3" s="8">
        <v>1.4640390000000001E-6</v>
      </c>
      <c r="E3" s="5">
        <v>0.25496323999999998</v>
      </c>
      <c r="F3" s="5">
        <v>1.6488507999999999E-2</v>
      </c>
      <c r="G3" s="5">
        <v>8.4093069999999995E-3</v>
      </c>
      <c r="H3" s="5">
        <v>2.0628871E-2</v>
      </c>
      <c r="I3" s="5">
        <v>1.8631587000000002E-2</v>
      </c>
      <c r="J3" s="8">
        <v>1.6225464E-3</v>
      </c>
      <c r="K3" s="8">
        <v>1.0706915E-4</v>
      </c>
      <c r="L3" s="5">
        <v>8.8305188999999995</v>
      </c>
      <c r="M3" s="5">
        <v>0.10247449</v>
      </c>
      <c r="N3" s="5">
        <v>0.14484010999999999</v>
      </c>
      <c r="O3" s="5">
        <v>0.14768858000000001</v>
      </c>
      <c r="P3" s="5">
        <v>4.5199340000000001</v>
      </c>
      <c r="Q3" s="5">
        <v>0.10146991</v>
      </c>
      <c r="R3" s="5">
        <v>7.6205869000000002E-3</v>
      </c>
      <c r="S3" s="5">
        <v>2.0455138000000002</v>
      </c>
      <c r="T3" s="5">
        <v>8.0522865999999998E-2</v>
      </c>
    </row>
    <row r="4" spans="1:20" x14ac:dyDescent="0.25">
      <c r="A4" s="10" t="s">
        <v>60</v>
      </c>
      <c r="B4" s="20" t="s">
        <v>48</v>
      </c>
      <c r="C4" s="5">
        <v>0.33731124000000001</v>
      </c>
      <c r="D4" s="8">
        <v>8.4114250000000002E-8</v>
      </c>
      <c r="E4" s="5">
        <v>5.9917857000000001E-3</v>
      </c>
      <c r="F4" s="5">
        <v>1.8429125000000001E-3</v>
      </c>
      <c r="G4" s="5">
        <v>8.9608714000000004E-4</v>
      </c>
      <c r="H4" s="5">
        <v>1.9977011000000002E-3</v>
      </c>
      <c r="I4" s="5">
        <v>2.3249347000000001E-3</v>
      </c>
      <c r="J4" s="8">
        <v>9.8756889999999996E-5</v>
      </c>
      <c r="K4" s="8">
        <v>1.2281683999999999E-5</v>
      </c>
      <c r="L4" s="5">
        <v>1.8421111999999999</v>
      </c>
      <c r="M4" s="5">
        <v>5.4909883999999999E-2</v>
      </c>
      <c r="N4" s="5">
        <v>6.8946813999999995E-2</v>
      </c>
      <c r="O4" s="5">
        <v>5.592167E-2</v>
      </c>
      <c r="P4" s="5">
        <v>0.59231257999999998</v>
      </c>
      <c r="Q4" s="5">
        <v>1.0616163E-2</v>
      </c>
      <c r="R4" s="5">
        <v>4.7534022000000004E-3</v>
      </c>
      <c r="S4" s="5">
        <v>0.91106228</v>
      </c>
      <c r="T4" s="5">
        <v>1.0961132E-2</v>
      </c>
    </row>
    <row r="5" spans="1:20" x14ac:dyDescent="0.25">
      <c r="A5" s="10" t="s">
        <v>61</v>
      </c>
      <c r="B5" s="20" t="s">
        <v>64</v>
      </c>
      <c r="C5" s="5">
        <v>-1.4321147000000001</v>
      </c>
      <c r="D5" s="8">
        <v>2.8388440999999998E-7</v>
      </c>
      <c r="E5" s="5">
        <v>2.2072483E-2</v>
      </c>
      <c r="F5" s="5">
        <v>2.2523854000000001E-3</v>
      </c>
      <c r="G5" s="5">
        <v>1.2532384E-3</v>
      </c>
      <c r="H5" s="5">
        <v>2.7319421999999999E-3</v>
      </c>
      <c r="I5" s="5">
        <v>2.3472096E-3</v>
      </c>
      <c r="J5" s="8">
        <v>3.3304903000000002E-4</v>
      </c>
      <c r="K5" s="8">
        <v>3.9892575999999999E-5</v>
      </c>
      <c r="L5" s="5">
        <v>6.4030062000000001</v>
      </c>
      <c r="M5" s="5">
        <v>0.18910445000000001</v>
      </c>
      <c r="N5" s="5">
        <v>0.23679264</v>
      </c>
      <c r="O5" s="5">
        <v>0.16664143000000001</v>
      </c>
      <c r="P5" s="5">
        <v>1.9788497</v>
      </c>
      <c r="Q5" s="5">
        <v>3.7079674E-2</v>
      </c>
      <c r="R5" s="5">
        <v>1.6631822000000001E-2</v>
      </c>
      <c r="S5" s="5">
        <v>0.45624836000000002</v>
      </c>
      <c r="T5" s="5">
        <v>1.6051599E-2</v>
      </c>
    </row>
    <row r="6" spans="1:20" x14ac:dyDescent="0.25">
      <c r="A6" s="10" t="s">
        <v>62</v>
      </c>
      <c r="B6" s="20" t="s">
        <v>49</v>
      </c>
      <c r="C6" s="5">
        <v>1.0309997</v>
      </c>
      <c r="D6" s="8">
        <v>8.8931256999999997E-8</v>
      </c>
      <c r="E6" s="5">
        <v>6.6329394999999998E-3</v>
      </c>
      <c r="F6" s="5">
        <v>2.2175743E-3</v>
      </c>
      <c r="G6" s="5">
        <v>9.3702903999999998E-4</v>
      </c>
      <c r="H6" s="5">
        <v>2.3693112999999999E-3</v>
      </c>
      <c r="I6" s="5">
        <v>2.4626180999999998E-3</v>
      </c>
      <c r="J6" s="8">
        <v>9.7142685E-5</v>
      </c>
      <c r="K6" s="8">
        <v>1.5538870999999999E-5</v>
      </c>
      <c r="L6" s="5">
        <v>1.8716306</v>
      </c>
      <c r="M6" s="5">
        <v>5.2860939000000003E-2</v>
      </c>
      <c r="N6" s="5">
        <v>6.6316941000000004E-2</v>
      </c>
      <c r="O6" s="5">
        <v>5.4249881E-2</v>
      </c>
      <c r="P6" s="5">
        <v>0.56085543000000004</v>
      </c>
      <c r="Q6" s="5">
        <v>1.0085152999999999E-2</v>
      </c>
      <c r="R6" s="5">
        <v>4.5609570999999996E-3</v>
      </c>
      <c r="S6" s="5">
        <v>0.89251322</v>
      </c>
      <c r="T6" s="5">
        <v>9.3520605999999999E-3</v>
      </c>
    </row>
    <row r="7" spans="1:20" x14ac:dyDescent="0.25">
      <c r="A7" s="11" t="s">
        <v>63</v>
      </c>
      <c r="B7" s="20" t="s">
        <v>65</v>
      </c>
      <c r="C7" s="5">
        <v>0.86700571000000004</v>
      </c>
      <c r="D7" s="8">
        <v>2.9984962000000003E-7</v>
      </c>
      <c r="E7" s="5">
        <v>2.4197485000000001E-2</v>
      </c>
      <c r="F7" s="5">
        <v>3.4941425000000002E-3</v>
      </c>
      <c r="G7" s="5">
        <v>1.3889339000000001E-3</v>
      </c>
      <c r="H7" s="5">
        <v>3.9635853999999996E-3</v>
      </c>
      <c r="I7" s="5">
        <v>2.8035393E-3</v>
      </c>
      <c r="J7" s="8">
        <v>3.2769899999999998E-4</v>
      </c>
      <c r="K7" s="8">
        <v>5.0688006999999999E-5</v>
      </c>
      <c r="L7" s="5">
        <v>6.5008433999999999</v>
      </c>
      <c r="M7" s="5">
        <v>0.18231354</v>
      </c>
      <c r="N7" s="5">
        <v>0.22807633999999999</v>
      </c>
      <c r="O7" s="5">
        <v>0.16110055000000001</v>
      </c>
      <c r="P7" s="5">
        <v>1.87459</v>
      </c>
      <c r="Q7" s="5">
        <v>3.5319725000000003E-2</v>
      </c>
      <c r="R7" s="5">
        <v>1.5993993000000001E-2</v>
      </c>
      <c r="S7" s="5">
        <v>0.39477042000000001</v>
      </c>
      <c r="T7" s="5">
        <v>1.0718587E-2</v>
      </c>
    </row>
    <row r="8" spans="1:20" x14ac:dyDescent="0.25">
      <c r="C8" s="2"/>
      <c r="E8" s="2"/>
      <c r="F8" s="2"/>
    </row>
    <row r="9" spans="1:20" x14ac:dyDescent="0.25">
      <c r="C9" s="2"/>
    </row>
    <row r="10" spans="1:20" x14ac:dyDescent="0.25">
      <c r="C10" s="2"/>
    </row>
    <row r="11" spans="1:20" x14ac:dyDescent="0.25">
      <c r="C11" s="2"/>
    </row>
    <row r="12" spans="1:20" x14ac:dyDescent="0.25">
      <c r="C12" s="2"/>
    </row>
    <row r="13" spans="1:20" x14ac:dyDescent="0.25">
      <c r="C13" s="2"/>
    </row>
    <row r="14" spans="1:20" x14ac:dyDescent="0.25">
      <c r="C14" s="2"/>
    </row>
    <row r="15" spans="1:20" x14ac:dyDescent="0.25">
      <c r="C15" s="2"/>
    </row>
    <row r="16" spans="1:20" x14ac:dyDescent="0.25">
      <c r="C16" s="2"/>
    </row>
    <row r="17" spans="3:11" x14ac:dyDescent="0.25">
      <c r="C17" s="2"/>
    </row>
    <row r="18" spans="3:11" x14ac:dyDescent="0.25">
      <c r="C18" s="2"/>
    </row>
    <row r="19" spans="3:11" x14ac:dyDescent="0.25">
      <c r="C19" s="2"/>
    </row>
    <row r="22" spans="3:11" x14ac:dyDescent="0.25">
      <c r="C22" s="9"/>
      <c r="D22" s="9"/>
    </row>
    <row r="25" spans="3:11" x14ac:dyDescent="0.25">
      <c r="J25" s="9"/>
      <c r="K25" s="9"/>
    </row>
    <row r="26" spans="3:11" x14ac:dyDescent="0.25">
      <c r="E26" s="9"/>
      <c r="F26" s="9"/>
      <c r="G26" s="9"/>
      <c r="H26" s="9"/>
      <c r="I26" s="9"/>
      <c r="J26" s="9"/>
      <c r="K26" s="9"/>
    </row>
    <row r="27" spans="3:11" x14ac:dyDescent="0.25">
      <c r="F27" s="9"/>
      <c r="G27" s="9"/>
      <c r="H27" s="9"/>
    </row>
    <row r="28" spans="3:11" x14ac:dyDescent="0.25">
      <c r="G28" s="9"/>
      <c r="H28" s="9"/>
    </row>
    <row r="29" spans="3:11" x14ac:dyDescent="0.25">
      <c r="F29" s="9"/>
      <c r="G29" s="9"/>
      <c r="H29" s="9"/>
    </row>
    <row r="30" spans="3:11" x14ac:dyDescent="0.25">
      <c r="G30" s="9"/>
      <c r="H30" s="9"/>
    </row>
    <row r="31" spans="3:11" x14ac:dyDescent="0.25">
      <c r="G31" s="9"/>
      <c r="H31" s="9"/>
    </row>
    <row r="32" spans="3:11" x14ac:dyDescent="0.25">
      <c r="E32" s="9"/>
      <c r="F32" s="9"/>
      <c r="G32" s="9"/>
      <c r="H32" s="9"/>
    </row>
    <row r="33" spans="5:13" x14ac:dyDescent="0.25">
      <c r="E33" s="9"/>
      <c r="F33" s="9"/>
      <c r="G33" s="9"/>
      <c r="H33" s="9"/>
      <c r="I33" s="9"/>
    </row>
    <row r="34" spans="5:13" x14ac:dyDescent="0.25">
      <c r="F34" s="9"/>
      <c r="G34" s="9"/>
      <c r="H34" s="9"/>
    </row>
    <row r="35" spans="5:13" x14ac:dyDescent="0.25">
      <c r="G35" s="9"/>
      <c r="H35" s="9"/>
      <c r="J35" s="9"/>
    </row>
    <row r="36" spans="5:13" x14ac:dyDescent="0.25">
      <c r="F36" s="9"/>
      <c r="G36" s="9"/>
      <c r="H36" s="9"/>
      <c r="I36" s="9"/>
      <c r="J36" s="9"/>
      <c r="K36" s="9"/>
      <c r="L36" s="9"/>
    </row>
    <row r="37" spans="5:13" x14ac:dyDescent="0.25">
      <c r="G37" s="9"/>
      <c r="H37" s="9"/>
      <c r="I37" s="9"/>
      <c r="J37" s="9"/>
    </row>
    <row r="38" spans="5:13" x14ac:dyDescent="0.25">
      <c r="G38" s="9"/>
      <c r="H38" s="9"/>
      <c r="J38" s="9"/>
    </row>
    <row r="39" spans="5:13" x14ac:dyDescent="0.25">
      <c r="F39" s="9"/>
      <c r="G39" s="9"/>
      <c r="H39" s="9"/>
      <c r="J39" s="9"/>
    </row>
    <row r="40" spans="5:13" x14ac:dyDescent="0.25">
      <c r="F40" s="9"/>
      <c r="G40" s="9"/>
      <c r="H40" s="9"/>
      <c r="I40" s="9"/>
      <c r="J40" s="9"/>
    </row>
    <row r="41" spans="5:13" x14ac:dyDescent="0.25">
      <c r="G41" s="9"/>
      <c r="H41" s="9"/>
      <c r="J41" s="9"/>
    </row>
    <row r="42" spans="5:13" x14ac:dyDescent="0.25">
      <c r="F42" s="9"/>
      <c r="G42" s="9"/>
      <c r="H42" s="9"/>
      <c r="I42" s="9"/>
      <c r="J42" s="9"/>
      <c r="L42" s="9"/>
    </row>
    <row r="43" spans="5:13" x14ac:dyDescent="0.25">
      <c r="F43" s="9"/>
      <c r="G43" s="9"/>
      <c r="H43" s="9"/>
      <c r="I43" s="9"/>
      <c r="J43" s="9"/>
      <c r="K43" s="9"/>
      <c r="L43" s="9"/>
    </row>
    <row r="44" spans="5:13" x14ac:dyDescent="0.25">
      <c r="J44" s="9"/>
    </row>
    <row r="45" spans="5:13" x14ac:dyDescent="0.25">
      <c r="J45" s="9"/>
    </row>
    <row r="46" spans="5:13" x14ac:dyDescent="0.25">
      <c r="K46" s="9"/>
    </row>
    <row r="47" spans="5:13" x14ac:dyDescent="0.25">
      <c r="L47" s="9"/>
    </row>
    <row r="48" spans="5:13" x14ac:dyDescent="0.25">
      <c r="M48" s="9"/>
    </row>
    <row r="49" spans="10:13" x14ac:dyDescent="0.25">
      <c r="L49" s="9"/>
      <c r="M49" s="9"/>
    </row>
    <row r="50" spans="10:13" x14ac:dyDescent="0.25">
      <c r="J50" s="9"/>
      <c r="L50" s="9"/>
      <c r="M50" s="9"/>
    </row>
    <row r="51" spans="10:13" x14ac:dyDescent="0.25">
      <c r="M51" s="9"/>
    </row>
    <row r="52" spans="10:13" x14ac:dyDescent="0.25">
      <c r="M52" s="9"/>
    </row>
  </sheetData>
  <conditionalFormatting sqref="C3">
    <cfRule type="colorScale" priority="6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3">
    <cfRule type="colorScale" priority="5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3">
    <cfRule type="colorScale" priority="5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3">
    <cfRule type="colorScale" priority="5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3">
    <cfRule type="colorScale" priority="5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3">
    <cfRule type="colorScale" priority="5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3">
    <cfRule type="colorScale" priority="5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3">
    <cfRule type="colorScale" priority="5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3">
    <cfRule type="colorScale" priority="5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3">
    <cfRule type="colorScale" priority="5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M3">
    <cfRule type="colorScale" priority="5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3">
    <cfRule type="colorScale" priority="4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O3">
    <cfRule type="colorScale" priority="4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P3">
    <cfRule type="colorScale" priority="4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3">
    <cfRule type="colorScale" priority="4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3">
    <cfRule type="colorScale" priority="4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S3">
    <cfRule type="colorScale" priority="4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T3">
    <cfRule type="colorScale" priority="4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3:C7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3:D7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4:E7">
    <cfRule type="colorScale" priority="6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3:E7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3:F7">
    <cfRule type="colorScale" priority="6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3:G7">
    <cfRule type="colorScale" priority="7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3:H7">
    <cfRule type="colorScale" priority="7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3:I7">
    <cfRule type="colorScale" priority="7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3:J7">
    <cfRule type="colorScale" priority="7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3:K7">
    <cfRule type="colorScale" priority="7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3:L7">
    <cfRule type="colorScale" priority="8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M3:M7">
    <cfRule type="colorScale" priority="8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3:N7">
    <cfRule type="colorScale" priority="8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O3:O7">
    <cfRule type="colorScale" priority="8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P3:P7">
    <cfRule type="colorScale" priority="8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3:Q7">
    <cfRule type="colorScale" priority="9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3:R7">
    <cfRule type="colorScale" priority="9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S3:S7">
    <cfRule type="colorScale" priority="9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T3:T7">
    <cfRule type="colorScale" priority="9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3:C7">
    <cfRule type="colorScale" priority="9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3:D7">
    <cfRule type="colorScale" priority="10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3:E7">
    <cfRule type="colorScale" priority="10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3:F7">
    <cfRule type="colorScale" priority="10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3:G7">
    <cfRule type="colorScale" priority="10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3:H7">
    <cfRule type="colorScale" priority="10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3:I7">
    <cfRule type="colorScale" priority="11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3:J7">
    <cfRule type="colorScale" priority="11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3:K7">
    <cfRule type="colorScale" priority="11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3:L7">
    <cfRule type="colorScale" priority="11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M3:M7">
    <cfRule type="colorScale" priority="11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3:N7">
    <cfRule type="colorScale" priority="12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O3:O7">
    <cfRule type="colorScale" priority="12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P3:P7">
    <cfRule type="colorScale" priority="12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3:Q7">
    <cfRule type="colorScale" priority="12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3:R7">
    <cfRule type="colorScale" priority="12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S3:S7">
    <cfRule type="colorScale" priority="13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T3:T7">
    <cfRule type="colorScale" priority="13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pageSetup paperSize="9" orientation="portrait" horizontalDpi="300" verticalDpi="30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AD1FF6-91C7-4BBB-BE01-0736B32B42F9}">
  <dimension ref="A2:R98"/>
  <sheetViews>
    <sheetView workbookViewId="0">
      <selection activeCell="O14" sqref="O14"/>
    </sheetView>
  </sheetViews>
  <sheetFormatPr defaultRowHeight="15" x14ac:dyDescent="0.25"/>
  <cols>
    <col min="1" max="1" width="139" style="23" bestFit="1" customWidth="1"/>
    <col min="2" max="2" width="15" style="23" bestFit="1" customWidth="1"/>
    <col min="3" max="4" width="12" style="23" bestFit="1" customWidth="1"/>
    <col min="5" max="5" width="14.5703125" style="23" bestFit="1" customWidth="1"/>
    <col min="6" max="6" width="12" style="23" bestFit="1" customWidth="1"/>
    <col min="7" max="7" width="12.7109375" style="23" bestFit="1" customWidth="1"/>
    <col min="8" max="16384" width="9.140625" style="23"/>
  </cols>
  <sheetData>
    <row r="2" spans="1:10" x14ac:dyDescent="0.25">
      <c r="A2" s="30" t="s">
        <v>76</v>
      </c>
      <c r="B2" s="31"/>
      <c r="C2" s="31"/>
      <c r="D2" s="31"/>
      <c r="E2" s="31"/>
      <c r="F2" s="31"/>
      <c r="G2" s="31"/>
      <c r="H2" s="31"/>
      <c r="I2" s="31"/>
      <c r="J2" s="32"/>
    </row>
    <row r="3" spans="1:10" x14ac:dyDescent="0.25">
      <c r="A3" s="33" t="s">
        <v>68</v>
      </c>
      <c r="B3" s="34"/>
      <c r="C3" s="34"/>
      <c r="D3" s="34"/>
      <c r="E3" s="34"/>
      <c r="F3" s="34"/>
      <c r="G3" s="34"/>
      <c r="H3" s="34"/>
      <c r="I3" s="34"/>
      <c r="J3" s="35"/>
    </row>
    <row r="4" spans="1:10" x14ac:dyDescent="0.25">
      <c r="A4" s="24" t="s">
        <v>69</v>
      </c>
      <c r="B4" s="24" t="s">
        <v>70</v>
      </c>
      <c r="C4" s="24" t="s">
        <v>71</v>
      </c>
      <c r="D4" s="24" t="s">
        <v>8</v>
      </c>
      <c r="E4" s="24" t="s">
        <v>5</v>
      </c>
      <c r="F4" s="24" t="s">
        <v>72</v>
      </c>
      <c r="G4" s="24" t="s">
        <v>7</v>
      </c>
      <c r="H4" s="24" t="s">
        <v>87</v>
      </c>
      <c r="I4" s="24" t="s">
        <v>88</v>
      </c>
      <c r="J4" s="27" t="s">
        <v>85</v>
      </c>
    </row>
    <row r="5" spans="1:10" x14ac:dyDescent="0.25">
      <c r="A5" s="24" t="s">
        <v>46</v>
      </c>
      <c r="B5" s="24" t="s">
        <v>47</v>
      </c>
      <c r="C5" s="24">
        <v>4.6039285999999997</v>
      </c>
      <c r="D5" s="24">
        <v>4.6039285999999997</v>
      </c>
      <c r="E5" s="24">
        <v>0</v>
      </c>
      <c r="F5" s="24">
        <v>0</v>
      </c>
      <c r="G5" s="24">
        <v>0</v>
      </c>
      <c r="H5" s="24">
        <v>0</v>
      </c>
      <c r="I5" s="24">
        <v>0</v>
      </c>
      <c r="J5" s="24">
        <v>0</v>
      </c>
    </row>
    <row r="6" spans="1:10" x14ac:dyDescent="0.25">
      <c r="A6" s="24" t="s">
        <v>60</v>
      </c>
      <c r="B6" s="24" t="s">
        <v>48</v>
      </c>
      <c r="C6" s="24">
        <v>0.33731124000000001</v>
      </c>
      <c r="D6" s="24">
        <v>0</v>
      </c>
      <c r="E6" s="24">
        <v>-0.58702085000000004</v>
      </c>
      <c r="F6" s="24">
        <v>0.10439466</v>
      </c>
      <c r="G6" s="24">
        <v>0.81993742000000003</v>
      </c>
      <c r="H6" s="24">
        <v>0</v>
      </c>
      <c r="I6" s="24">
        <v>0</v>
      </c>
      <c r="J6" s="24">
        <v>0</v>
      </c>
    </row>
    <row r="7" spans="1:10" x14ac:dyDescent="0.25">
      <c r="A7" s="24" t="s">
        <v>61</v>
      </c>
      <c r="B7" s="24" t="s">
        <v>64</v>
      </c>
      <c r="C7" s="24">
        <v>-0.91231061000000002</v>
      </c>
      <c r="D7" s="24">
        <v>0</v>
      </c>
      <c r="E7" s="24">
        <v>-0.58702085000000004</v>
      </c>
      <c r="F7" s="24">
        <v>0.10439466</v>
      </c>
      <c r="G7" s="24">
        <v>-0.42968442000000001</v>
      </c>
      <c r="H7" s="24">
        <v>0</v>
      </c>
      <c r="I7" s="24">
        <v>0</v>
      </c>
      <c r="J7" s="24">
        <v>0</v>
      </c>
    </row>
    <row r="8" spans="1:10" x14ac:dyDescent="0.25">
      <c r="A8" s="24" t="s">
        <v>62</v>
      </c>
      <c r="B8" s="24" t="s">
        <v>49</v>
      </c>
      <c r="C8" s="24">
        <v>1.0309997</v>
      </c>
      <c r="D8" s="24">
        <v>0</v>
      </c>
      <c r="E8" s="24">
        <v>0.10666758</v>
      </c>
      <c r="F8" s="24">
        <v>0.10439466</v>
      </c>
      <c r="G8" s="24">
        <v>0.81993742000000003</v>
      </c>
      <c r="H8" s="24">
        <v>0</v>
      </c>
      <c r="I8" s="24">
        <v>0</v>
      </c>
      <c r="J8" s="24">
        <v>0</v>
      </c>
    </row>
    <row r="9" spans="1:10" x14ac:dyDescent="0.25">
      <c r="A9" s="24" t="s">
        <v>63</v>
      </c>
      <c r="B9" s="24" t="s">
        <v>65</v>
      </c>
      <c r="C9" s="24">
        <v>1.3868098</v>
      </c>
      <c r="D9" s="24">
        <v>0</v>
      </c>
      <c r="E9" s="24">
        <v>0.10666758</v>
      </c>
      <c r="F9" s="24">
        <v>0.10439466</v>
      </c>
      <c r="G9" s="24">
        <v>1.1757474999999999</v>
      </c>
      <c r="H9" s="24">
        <v>0</v>
      </c>
      <c r="I9" s="24">
        <v>0</v>
      </c>
      <c r="J9" s="24">
        <v>0</v>
      </c>
    </row>
    <row r="10" spans="1:10" x14ac:dyDescent="0.25">
      <c r="A10" s="24"/>
      <c r="B10" s="24"/>
      <c r="C10" s="24"/>
      <c r="D10" s="24"/>
      <c r="E10" s="24"/>
      <c r="F10" s="24"/>
      <c r="G10" s="24"/>
      <c r="H10" s="27"/>
      <c r="I10" s="27"/>
      <c r="J10" s="27"/>
    </row>
    <row r="11" spans="1:10" x14ac:dyDescent="0.25">
      <c r="A11" s="33" t="s">
        <v>73</v>
      </c>
      <c r="B11" s="34"/>
      <c r="C11" s="34"/>
      <c r="D11" s="34"/>
      <c r="E11" s="34"/>
      <c r="F11" s="34"/>
      <c r="G11" s="34"/>
      <c r="H11" s="34"/>
      <c r="I11" s="34"/>
      <c r="J11" s="35"/>
    </row>
    <row r="12" spans="1:10" x14ac:dyDescent="0.25">
      <c r="A12" s="24" t="s">
        <v>69</v>
      </c>
      <c r="B12" s="24" t="s">
        <v>70</v>
      </c>
      <c r="C12" s="24" t="s">
        <v>71</v>
      </c>
      <c r="D12" s="24" t="s">
        <v>8</v>
      </c>
      <c r="E12" s="24" t="s">
        <v>5</v>
      </c>
      <c r="F12" s="24" t="s">
        <v>72</v>
      </c>
      <c r="G12" s="24" t="s">
        <v>7</v>
      </c>
      <c r="H12" s="24" t="s">
        <v>87</v>
      </c>
      <c r="I12" s="24" t="s">
        <v>88</v>
      </c>
      <c r="J12" s="27" t="s">
        <v>85</v>
      </c>
    </row>
    <row r="13" spans="1:10" x14ac:dyDescent="0.25">
      <c r="A13" s="24" t="s">
        <v>46</v>
      </c>
      <c r="B13" s="24" t="s">
        <v>47</v>
      </c>
      <c r="C13" s="24">
        <v>1.1256093E-5</v>
      </c>
      <c r="D13" s="24">
        <v>1.1256093E-5</v>
      </c>
      <c r="E13" s="24">
        <v>0</v>
      </c>
      <c r="F13" s="24">
        <v>0</v>
      </c>
      <c r="G13" s="24">
        <v>0</v>
      </c>
      <c r="H13" s="24">
        <v>0</v>
      </c>
      <c r="I13" s="24">
        <v>0</v>
      </c>
      <c r="J13" s="24">
        <v>0</v>
      </c>
    </row>
    <row r="14" spans="1:10" x14ac:dyDescent="0.25">
      <c r="A14" s="24" t="s">
        <v>60</v>
      </c>
      <c r="B14" s="24" t="s">
        <v>48</v>
      </c>
      <c r="C14" s="24">
        <v>1.2223452E-6</v>
      </c>
      <c r="D14" s="24">
        <v>0</v>
      </c>
      <c r="E14" s="24">
        <v>-4.6823404E-7</v>
      </c>
      <c r="F14" s="24">
        <v>5.3305721999999996E-7</v>
      </c>
      <c r="G14" s="24">
        <v>1.1575219999999999E-6</v>
      </c>
      <c r="H14" s="24">
        <v>0</v>
      </c>
      <c r="I14" s="24">
        <v>0</v>
      </c>
      <c r="J14" s="24">
        <v>0</v>
      </c>
    </row>
    <row r="15" spans="1:10" x14ac:dyDescent="0.25">
      <c r="A15" s="24" t="s">
        <v>61</v>
      </c>
      <c r="B15" s="24" t="s">
        <v>64</v>
      </c>
      <c r="C15" s="24">
        <v>1.8676290000000001E-6</v>
      </c>
      <c r="D15" s="24">
        <v>0</v>
      </c>
      <c r="E15" s="24">
        <v>-4.6823404E-7</v>
      </c>
      <c r="F15" s="24">
        <v>5.3305721999999996E-7</v>
      </c>
      <c r="G15" s="24">
        <v>1.8028058E-6</v>
      </c>
      <c r="H15" s="24">
        <v>0</v>
      </c>
      <c r="I15" s="24">
        <v>0</v>
      </c>
      <c r="J15" s="24">
        <v>0</v>
      </c>
    </row>
    <row r="16" spans="1:10" x14ac:dyDescent="0.25">
      <c r="A16" s="24" t="s">
        <v>62</v>
      </c>
      <c r="B16" s="24" t="s">
        <v>49</v>
      </c>
      <c r="C16" s="24">
        <v>1.8759113E-6</v>
      </c>
      <c r="D16" s="24">
        <v>0</v>
      </c>
      <c r="E16" s="24">
        <v>1.8533205999999999E-7</v>
      </c>
      <c r="F16" s="24">
        <v>5.3305721999999996E-7</v>
      </c>
      <c r="G16" s="24">
        <v>1.1575219999999999E-6</v>
      </c>
      <c r="H16" s="24">
        <v>0</v>
      </c>
      <c r="I16" s="24">
        <v>0</v>
      </c>
      <c r="J16" s="24">
        <v>0</v>
      </c>
    </row>
    <row r="17" spans="1:18" x14ac:dyDescent="0.25">
      <c r="A17" s="24" t="s">
        <v>63</v>
      </c>
      <c r="B17" s="24" t="s">
        <v>65</v>
      </c>
      <c r="C17" s="24">
        <v>4.0337702999999997E-6</v>
      </c>
      <c r="D17" s="24">
        <v>0</v>
      </c>
      <c r="E17" s="24">
        <v>1.8533205999999999E-7</v>
      </c>
      <c r="F17" s="24">
        <v>5.3305721999999996E-7</v>
      </c>
      <c r="G17" s="24">
        <v>3.3153810000000002E-6</v>
      </c>
      <c r="H17" s="24">
        <v>0</v>
      </c>
      <c r="I17" s="24">
        <v>0</v>
      </c>
      <c r="J17" s="24">
        <v>0</v>
      </c>
    </row>
    <row r="18" spans="1:18" x14ac:dyDescent="0.25">
      <c r="A18" s="24"/>
      <c r="B18" s="24"/>
      <c r="C18" s="24"/>
      <c r="D18" s="24"/>
      <c r="E18" s="24"/>
      <c r="F18" s="24"/>
      <c r="G18" s="24"/>
      <c r="H18" s="27"/>
      <c r="I18" s="27"/>
      <c r="J18" s="27"/>
    </row>
    <row r="19" spans="1:18" x14ac:dyDescent="0.25">
      <c r="A19" s="33" t="s">
        <v>74</v>
      </c>
      <c r="B19" s="34"/>
      <c r="C19" s="34"/>
      <c r="D19" s="34"/>
      <c r="E19" s="34"/>
      <c r="F19" s="34"/>
      <c r="G19" s="34"/>
      <c r="H19" s="34"/>
      <c r="I19" s="34"/>
      <c r="J19" s="35"/>
    </row>
    <row r="20" spans="1:18" x14ac:dyDescent="0.25">
      <c r="A20" s="24" t="s">
        <v>69</v>
      </c>
      <c r="B20" s="24" t="s">
        <v>70</v>
      </c>
      <c r="C20" s="24" t="s">
        <v>71</v>
      </c>
      <c r="D20" s="24" t="s">
        <v>8</v>
      </c>
      <c r="E20" s="24" t="s">
        <v>5</v>
      </c>
      <c r="F20" s="24" t="s">
        <v>72</v>
      </c>
      <c r="G20" s="24" t="s">
        <v>7</v>
      </c>
      <c r="H20" s="24" t="s">
        <v>87</v>
      </c>
      <c r="I20" s="24" t="s">
        <v>88</v>
      </c>
      <c r="J20" s="27" t="s">
        <v>85</v>
      </c>
      <c r="M20" s="26"/>
      <c r="N20" s="26"/>
      <c r="O20" s="26"/>
      <c r="P20" s="26"/>
      <c r="Q20" s="26"/>
      <c r="R20" s="26"/>
    </row>
    <row r="21" spans="1:18" x14ac:dyDescent="0.25">
      <c r="A21" s="24" t="s">
        <v>46</v>
      </c>
      <c r="B21" s="24" t="s">
        <v>47</v>
      </c>
      <c r="C21" s="24">
        <v>2.2664456E-8</v>
      </c>
      <c r="D21" s="24">
        <v>2.2664456E-8</v>
      </c>
      <c r="E21" s="24">
        <v>0</v>
      </c>
      <c r="F21" s="24">
        <v>0</v>
      </c>
      <c r="G21" s="24">
        <v>0</v>
      </c>
      <c r="H21" s="24">
        <v>0</v>
      </c>
      <c r="I21" s="24">
        <v>0</v>
      </c>
      <c r="J21" s="24">
        <v>0</v>
      </c>
      <c r="N21" s="26"/>
      <c r="P21" s="26"/>
      <c r="Q21" s="26"/>
      <c r="R21" s="26"/>
    </row>
    <row r="22" spans="1:18" x14ac:dyDescent="0.25">
      <c r="A22" s="24" t="s">
        <v>60</v>
      </c>
      <c r="B22" s="24" t="s">
        <v>48</v>
      </c>
      <c r="C22" s="24">
        <v>2.0686887999999998E-9</v>
      </c>
      <c r="D22" s="24">
        <v>0</v>
      </c>
      <c r="E22" s="24">
        <v>-1.5394803E-9</v>
      </c>
      <c r="F22" s="24">
        <v>6.6445801999999997E-10</v>
      </c>
      <c r="G22" s="24">
        <v>2.9437109999999999E-9</v>
      </c>
      <c r="H22" s="24">
        <v>0</v>
      </c>
      <c r="I22" s="24">
        <v>0</v>
      </c>
      <c r="J22" s="24">
        <v>0</v>
      </c>
      <c r="N22" s="26"/>
      <c r="P22" s="26"/>
      <c r="Q22" s="26"/>
      <c r="R22" s="26"/>
    </row>
    <row r="23" spans="1:18" x14ac:dyDescent="0.25">
      <c r="A23" s="24" t="s">
        <v>61</v>
      </c>
      <c r="B23" s="24" t="s">
        <v>64</v>
      </c>
      <c r="C23" s="24">
        <v>8.2411551E-11</v>
      </c>
      <c r="D23" s="24">
        <v>0</v>
      </c>
      <c r="E23" s="24">
        <v>-1.5394803E-9</v>
      </c>
      <c r="F23" s="24">
        <v>6.6445801999999997E-10</v>
      </c>
      <c r="G23" s="24">
        <v>9.5743379E-10</v>
      </c>
      <c r="H23" s="24">
        <v>0</v>
      </c>
      <c r="I23" s="24">
        <v>0</v>
      </c>
      <c r="J23" s="24">
        <v>0</v>
      </c>
      <c r="N23" s="26"/>
      <c r="O23" s="26"/>
      <c r="P23" s="26"/>
      <c r="Q23" s="26"/>
      <c r="R23" s="26"/>
    </row>
    <row r="24" spans="1:18" x14ac:dyDescent="0.25">
      <c r="A24" s="24" t="s">
        <v>62</v>
      </c>
      <c r="B24" s="24" t="s">
        <v>49</v>
      </c>
      <c r="C24" s="24">
        <v>4.0591987999999998E-9</v>
      </c>
      <c r="D24" s="24">
        <v>0</v>
      </c>
      <c r="E24" s="24">
        <v>4.5102978999999999E-10</v>
      </c>
      <c r="F24" s="24">
        <v>6.6445801999999997E-10</v>
      </c>
      <c r="G24" s="24">
        <v>2.9437109999999999E-9</v>
      </c>
      <c r="H24" s="24">
        <v>0</v>
      </c>
      <c r="I24" s="24">
        <v>0</v>
      </c>
      <c r="J24" s="24">
        <v>0</v>
      </c>
    </row>
    <row r="25" spans="1:18" x14ac:dyDescent="0.25">
      <c r="A25" s="24" t="s">
        <v>63</v>
      </c>
      <c r="B25" s="24" t="s">
        <v>65</v>
      </c>
      <c r="C25" s="24">
        <v>6.6796417E-9</v>
      </c>
      <c r="D25" s="24">
        <v>0</v>
      </c>
      <c r="E25" s="24">
        <v>4.5102978999999999E-10</v>
      </c>
      <c r="F25" s="24">
        <v>6.6445801999999997E-10</v>
      </c>
      <c r="G25" s="24">
        <v>5.5641538999999997E-9</v>
      </c>
      <c r="H25" s="24">
        <v>0</v>
      </c>
      <c r="I25" s="24">
        <v>0</v>
      </c>
      <c r="J25" s="24">
        <v>0</v>
      </c>
    </row>
    <row r="26" spans="1:18" x14ac:dyDescent="0.25">
      <c r="A26" s="24"/>
      <c r="B26" s="24"/>
      <c r="C26" s="28"/>
      <c r="D26" s="24"/>
      <c r="E26" s="28"/>
      <c r="F26" s="28"/>
      <c r="G26" s="28"/>
      <c r="H26" s="27"/>
      <c r="I26" s="27"/>
      <c r="J26" s="27"/>
      <c r="O26" s="26"/>
      <c r="P26" s="26"/>
    </row>
    <row r="27" spans="1:18" x14ac:dyDescent="0.25">
      <c r="A27" s="33" t="s">
        <v>75</v>
      </c>
      <c r="B27" s="34"/>
      <c r="C27" s="34"/>
      <c r="D27" s="34"/>
      <c r="E27" s="34"/>
      <c r="F27" s="34"/>
      <c r="G27" s="34"/>
      <c r="H27" s="34"/>
      <c r="I27" s="34"/>
      <c r="J27" s="35"/>
      <c r="M27" s="26"/>
      <c r="O27" s="26"/>
      <c r="P27" s="26"/>
      <c r="Q27" s="26"/>
    </row>
    <row r="28" spans="1:18" x14ac:dyDescent="0.25">
      <c r="A28" s="24" t="s">
        <v>69</v>
      </c>
      <c r="B28" s="24" t="s">
        <v>70</v>
      </c>
      <c r="C28" s="24" t="s">
        <v>71</v>
      </c>
      <c r="D28" s="24" t="s">
        <v>8</v>
      </c>
      <c r="E28" s="24" t="s">
        <v>5</v>
      </c>
      <c r="F28" s="24" t="s">
        <v>72</v>
      </c>
      <c r="G28" s="24" t="s">
        <v>7</v>
      </c>
      <c r="H28" s="24" t="s">
        <v>87</v>
      </c>
      <c r="I28" s="24" t="s">
        <v>88</v>
      </c>
      <c r="J28" s="27" t="s">
        <v>85</v>
      </c>
    </row>
    <row r="29" spans="1:18" x14ac:dyDescent="0.25">
      <c r="A29" s="24" t="s">
        <v>46</v>
      </c>
      <c r="B29" s="24" t="s">
        <v>47</v>
      </c>
      <c r="C29" s="24">
        <v>0.68911549000000005</v>
      </c>
      <c r="D29" s="24">
        <v>0.68911549000000005</v>
      </c>
      <c r="E29" s="24">
        <v>0</v>
      </c>
      <c r="F29" s="24">
        <v>0</v>
      </c>
      <c r="G29" s="24">
        <v>0</v>
      </c>
      <c r="H29" s="24">
        <v>0</v>
      </c>
      <c r="I29" s="24">
        <v>0</v>
      </c>
      <c r="J29" s="24">
        <v>0</v>
      </c>
    </row>
    <row r="30" spans="1:18" x14ac:dyDescent="0.25">
      <c r="A30" s="24" t="s">
        <v>60</v>
      </c>
      <c r="B30" s="24" t="s">
        <v>48</v>
      </c>
      <c r="C30" s="24">
        <v>0.37115893999999999</v>
      </c>
      <c r="D30" s="24">
        <v>0</v>
      </c>
      <c r="E30" s="24">
        <v>3.9548457000000002E-2</v>
      </c>
      <c r="F30" s="24">
        <v>7.9282515000000005E-3</v>
      </c>
      <c r="G30" s="24">
        <v>0.32368224000000001</v>
      </c>
      <c r="H30" s="24">
        <v>0</v>
      </c>
      <c r="I30" s="24">
        <v>0</v>
      </c>
      <c r="J30" s="24">
        <v>0</v>
      </c>
    </row>
    <row r="31" spans="1:18" x14ac:dyDescent="0.25">
      <c r="A31" s="24" t="s">
        <v>61</v>
      </c>
      <c r="B31" s="24" t="s">
        <v>64</v>
      </c>
      <c r="C31" s="24">
        <v>0.17800961000000001</v>
      </c>
      <c r="D31" s="24">
        <v>0</v>
      </c>
      <c r="E31" s="24">
        <v>3.9548457000000002E-2</v>
      </c>
      <c r="F31" s="24">
        <v>7.9282515000000005E-3</v>
      </c>
      <c r="G31" s="24">
        <v>0.13053291</v>
      </c>
      <c r="H31" s="24">
        <v>0</v>
      </c>
      <c r="I31" s="24">
        <v>0</v>
      </c>
      <c r="J31" s="24">
        <v>0</v>
      </c>
    </row>
    <row r="32" spans="1:18" x14ac:dyDescent="0.25">
      <c r="A32" s="24" t="s">
        <v>62</v>
      </c>
      <c r="B32" s="24" t="s">
        <v>49</v>
      </c>
      <c r="C32" s="24">
        <v>0.36437902</v>
      </c>
      <c r="D32" s="24">
        <v>0</v>
      </c>
      <c r="E32" s="24">
        <v>3.2768528999999998E-2</v>
      </c>
      <c r="F32" s="24">
        <v>7.9282515000000005E-3</v>
      </c>
      <c r="G32" s="24">
        <v>0.32368224000000001</v>
      </c>
      <c r="H32" s="24">
        <v>0</v>
      </c>
      <c r="I32" s="24">
        <v>0</v>
      </c>
      <c r="J32" s="24">
        <v>0</v>
      </c>
    </row>
    <row r="33" spans="1:15" x14ac:dyDescent="0.25">
      <c r="A33" s="24" t="s">
        <v>63</v>
      </c>
      <c r="B33" s="24" t="s">
        <v>65</v>
      </c>
      <c r="C33" s="24">
        <v>0.15553861999999999</v>
      </c>
      <c r="D33" s="24">
        <v>0</v>
      </c>
      <c r="E33" s="24">
        <v>3.2768528999999998E-2</v>
      </c>
      <c r="F33" s="24">
        <v>7.9282515000000005E-3</v>
      </c>
      <c r="G33" s="24">
        <v>0.11484184</v>
      </c>
      <c r="H33" s="24">
        <v>0</v>
      </c>
      <c r="I33" s="24">
        <v>0</v>
      </c>
      <c r="J33" s="24">
        <v>0</v>
      </c>
    </row>
    <row r="34" spans="1:15" x14ac:dyDescent="0.25">
      <c r="A34" s="25"/>
      <c r="B34" s="25"/>
      <c r="C34" s="25"/>
      <c r="D34" s="25"/>
      <c r="E34" s="25"/>
      <c r="F34" s="25"/>
      <c r="G34" s="25"/>
      <c r="O34" s="26"/>
    </row>
    <row r="35" spans="1:15" x14ac:dyDescent="0.25">
      <c r="D35" s="26"/>
      <c r="F35" s="26"/>
      <c r="G35" s="26"/>
    </row>
    <row r="36" spans="1:15" x14ac:dyDescent="0.25">
      <c r="D36" s="26"/>
      <c r="F36" s="26"/>
      <c r="G36" s="26"/>
    </row>
    <row r="37" spans="1:15" x14ac:dyDescent="0.25">
      <c r="A37" s="36" t="s">
        <v>86</v>
      </c>
      <c r="B37" s="37"/>
      <c r="C37" s="37"/>
      <c r="D37" s="37"/>
      <c r="E37" s="37"/>
      <c r="F37" s="37"/>
      <c r="G37" s="37"/>
      <c r="H37" s="37"/>
      <c r="I37" s="37"/>
      <c r="J37" s="38"/>
    </row>
    <row r="38" spans="1:15" x14ac:dyDescent="0.25">
      <c r="A38" s="33" t="s">
        <v>68</v>
      </c>
      <c r="B38" s="34"/>
      <c r="C38" s="34"/>
      <c r="D38" s="34"/>
      <c r="E38" s="34"/>
      <c r="F38" s="34"/>
      <c r="G38" s="34"/>
      <c r="H38" s="34"/>
      <c r="I38" s="34"/>
      <c r="J38" s="35"/>
    </row>
    <row r="39" spans="1:15" x14ac:dyDescent="0.25">
      <c r="A39" s="24" t="s">
        <v>69</v>
      </c>
      <c r="B39" s="24" t="s">
        <v>70</v>
      </c>
      <c r="C39" s="24" t="s">
        <v>71</v>
      </c>
      <c r="D39" s="24" t="s">
        <v>8</v>
      </c>
      <c r="E39" s="24" t="s">
        <v>5</v>
      </c>
      <c r="F39" s="24" t="s">
        <v>72</v>
      </c>
      <c r="G39" s="24" t="s">
        <v>7</v>
      </c>
      <c r="H39" s="24" t="s">
        <v>87</v>
      </c>
      <c r="I39" s="24" t="s">
        <v>88</v>
      </c>
      <c r="J39" s="27" t="s">
        <v>85</v>
      </c>
    </row>
    <row r="40" spans="1:15" x14ac:dyDescent="0.25">
      <c r="A40" s="24" t="s">
        <v>46</v>
      </c>
      <c r="B40" s="24" t="s">
        <v>47</v>
      </c>
      <c r="C40" s="24">
        <v>4.6039285999999997</v>
      </c>
      <c r="D40" s="24">
        <v>4.6039285999999997</v>
      </c>
      <c r="E40" s="24">
        <v>0</v>
      </c>
      <c r="F40" s="24">
        <v>0</v>
      </c>
      <c r="G40" s="24">
        <v>0</v>
      </c>
      <c r="H40" s="24">
        <v>0</v>
      </c>
      <c r="I40" s="24">
        <v>0</v>
      </c>
      <c r="J40" s="24">
        <v>0</v>
      </c>
    </row>
    <row r="41" spans="1:15" x14ac:dyDescent="0.25">
      <c r="A41" s="24" t="s">
        <v>81</v>
      </c>
      <c r="B41" s="24" t="s">
        <v>77</v>
      </c>
      <c r="C41" s="24">
        <v>5.3185967999999999</v>
      </c>
      <c r="D41" s="24">
        <v>0</v>
      </c>
      <c r="E41" s="24">
        <v>-0.41468633999999999</v>
      </c>
      <c r="F41" s="24">
        <v>4.9133456999999998</v>
      </c>
      <c r="G41" s="24">
        <v>0.81993742000000003</v>
      </c>
      <c r="H41" s="24">
        <v>0</v>
      </c>
      <c r="I41" s="24">
        <v>0</v>
      </c>
      <c r="J41" s="24">
        <v>0</v>
      </c>
    </row>
    <row r="42" spans="1:15" x14ac:dyDescent="0.25">
      <c r="A42" s="24" t="s">
        <v>82</v>
      </c>
      <c r="B42" s="24" t="s">
        <v>78</v>
      </c>
      <c r="C42" s="24">
        <v>16.212291</v>
      </c>
      <c r="D42" s="24">
        <v>0</v>
      </c>
      <c r="E42" s="24">
        <v>-0.41468633999999999</v>
      </c>
      <c r="F42" s="24">
        <v>4.9133456999999998</v>
      </c>
      <c r="G42" s="24">
        <v>11.713632</v>
      </c>
      <c r="H42" s="24">
        <v>0</v>
      </c>
      <c r="I42" s="24">
        <v>0</v>
      </c>
      <c r="J42" s="24">
        <v>0</v>
      </c>
    </row>
    <row r="43" spans="1:15" x14ac:dyDescent="0.25">
      <c r="A43" s="24" t="s">
        <v>83</v>
      </c>
      <c r="B43" s="24" t="s">
        <v>79</v>
      </c>
      <c r="C43" s="24">
        <v>5.8399507000000002</v>
      </c>
      <c r="D43" s="24">
        <v>0</v>
      </c>
      <c r="E43" s="24">
        <v>0.10666758</v>
      </c>
      <c r="F43" s="24">
        <v>4.9133456999999998</v>
      </c>
      <c r="G43" s="24">
        <v>0.81993742000000003</v>
      </c>
      <c r="H43" s="24">
        <v>0</v>
      </c>
      <c r="I43" s="24">
        <v>0</v>
      </c>
      <c r="J43" s="24">
        <v>0</v>
      </c>
    </row>
    <row r="44" spans="1:15" x14ac:dyDescent="0.25">
      <c r="A44" s="24" t="s">
        <v>84</v>
      </c>
      <c r="B44" s="24" t="s">
        <v>80</v>
      </c>
      <c r="C44" s="24">
        <v>17.940235999999999</v>
      </c>
      <c r="D44" s="24">
        <v>0</v>
      </c>
      <c r="E44" s="24">
        <v>0.10666758</v>
      </c>
      <c r="F44" s="24">
        <v>4.9133456999999998</v>
      </c>
      <c r="G44" s="24">
        <v>12.920223</v>
      </c>
      <c r="H44" s="24">
        <v>0</v>
      </c>
      <c r="I44" s="24">
        <v>0</v>
      </c>
      <c r="J44" s="24">
        <v>0</v>
      </c>
    </row>
    <row r="45" spans="1:15" x14ac:dyDescent="0.25">
      <c r="A45" s="27"/>
      <c r="B45" s="27"/>
      <c r="C45" s="27"/>
      <c r="D45" s="27"/>
      <c r="E45" s="27"/>
      <c r="F45" s="27"/>
      <c r="G45" s="27"/>
      <c r="H45" s="27"/>
      <c r="I45" s="27"/>
      <c r="J45" s="27"/>
    </row>
    <row r="46" spans="1:15" x14ac:dyDescent="0.25">
      <c r="A46" s="33" t="s">
        <v>73</v>
      </c>
      <c r="B46" s="34"/>
      <c r="C46" s="34"/>
      <c r="D46" s="34"/>
      <c r="E46" s="34"/>
      <c r="F46" s="34"/>
      <c r="G46" s="34"/>
      <c r="H46" s="34"/>
      <c r="I46" s="34"/>
      <c r="J46" s="35"/>
    </row>
    <row r="47" spans="1:15" x14ac:dyDescent="0.25">
      <c r="A47" s="24" t="s">
        <v>69</v>
      </c>
      <c r="B47" s="24" t="s">
        <v>70</v>
      </c>
      <c r="C47" s="24" t="s">
        <v>71</v>
      </c>
      <c r="D47" s="24" t="s">
        <v>8</v>
      </c>
      <c r="E47" s="24" t="s">
        <v>5</v>
      </c>
      <c r="F47" s="24" t="s">
        <v>72</v>
      </c>
      <c r="G47" s="24" t="s">
        <v>7</v>
      </c>
      <c r="H47" s="24" t="s">
        <v>87</v>
      </c>
      <c r="I47" s="24" t="s">
        <v>88</v>
      </c>
      <c r="J47" s="27" t="s">
        <v>85</v>
      </c>
    </row>
    <row r="48" spans="1:15" x14ac:dyDescent="0.25">
      <c r="A48" s="24" t="s">
        <v>46</v>
      </c>
      <c r="B48" s="24" t="s">
        <v>47</v>
      </c>
      <c r="C48" s="24">
        <v>1.1256093E-5</v>
      </c>
      <c r="D48" s="24">
        <v>1.1256093E-5</v>
      </c>
      <c r="E48" s="24">
        <v>0</v>
      </c>
      <c r="F48" s="24">
        <v>0</v>
      </c>
      <c r="G48" s="24">
        <v>0</v>
      </c>
      <c r="H48" s="24">
        <v>0</v>
      </c>
      <c r="I48" s="24">
        <v>0</v>
      </c>
      <c r="J48" s="24">
        <v>0</v>
      </c>
    </row>
    <row r="49" spans="1:10" x14ac:dyDescent="0.25">
      <c r="A49" s="24" t="s">
        <v>81</v>
      </c>
      <c r="B49" s="24" t="s">
        <v>77</v>
      </c>
      <c r="C49" s="24">
        <v>1.4331291999999999E-5</v>
      </c>
      <c r="D49" s="24">
        <v>0</v>
      </c>
      <c r="E49" s="24">
        <v>-1.4711761E-8</v>
      </c>
      <c r="F49" s="24">
        <v>1.3188482E-5</v>
      </c>
      <c r="G49" s="24">
        <v>1.1575219999999999E-6</v>
      </c>
      <c r="H49" s="24">
        <v>0</v>
      </c>
      <c r="I49" s="24">
        <v>0</v>
      </c>
      <c r="J49" s="24">
        <v>0</v>
      </c>
    </row>
    <row r="50" spans="1:10" x14ac:dyDescent="0.25">
      <c r="A50" s="24" t="s">
        <v>82</v>
      </c>
      <c r="B50" s="24" t="s">
        <v>78</v>
      </c>
      <c r="C50" s="24">
        <v>4.6933405000000001E-5</v>
      </c>
      <c r="D50" s="24">
        <v>0</v>
      </c>
      <c r="E50" s="24">
        <v>-1.4711761E-8</v>
      </c>
      <c r="F50" s="24">
        <v>1.3188482E-5</v>
      </c>
      <c r="G50" s="24">
        <v>3.3759634000000001E-5</v>
      </c>
      <c r="H50" s="24">
        <v>0</v>
      </c>
      <c r="I50" s="24">
        <v>0</v>
      </c>
      <c r="J50" s="24">
        <v>0</v>
      </c>
    </row>
    <row r="51" spans="1:10" x14ac:dyDescent="0.25">
      <c r="A51" s="24" t="s">
        <v>83</v>
      </c>
      <c r="B51" s="24" t="s">
        <v>79</v>
      </c>
      <c r="C51" s="24">
        <v>1.4531335999999999E-5</v>
      </c>
      <c r="D51" s="24">
        <v>0</v>
      </c>
      <c r="E51" s="24">
        <v>1.8533205999999999E-7</v>
      </c>
      <c r="F51" s="24">
        <v>1.3188482E-5</v>
      </c>
      <c r="G51" s="24">
        <v>1.1575219999999999E-6</v>
      </c>
      <c r="H51" s="24">
        <v>0</v>
      </c>
      <c r="I51" s="24">
        <v>0</v>
      </c>
      <c r="J51" s="24">
        <v>0</v>
      </c>
    </row>
    <row r="52" spans="1:10" x14ac:dyDescent="0.25">
      <c r="A52" s="24" t="s">
        <v>84</v>
      </c>
      <c r="B52" s="24" t="s">
        <v>80</v>
      </c>
      <c r="C52" s="24">
        <v>4.7596418E-5</v>
      </c>
      <c r="D52" s="24">
        <v>0</v>
      </c>
      <c r="E52" s="24">
        <v>1.8533205999999999E-7</v>
      </c>
      <c r="F52" s="24">
        <v>1.3188482E-5</v>
      </c>
      <c r="G52" s="24">
        <v>3.4222603999999998E-5</v>
      </c>
      <c r="H52" s="24">
        <v>0</v>
      </c>
      <c r="I52" s="24">
        <v>0</v>
      </c>
      <c r="J52" s="24">
        <v>0</v>
      </c>
    </row>
    <row r="53" spans="1:10" x14ac:dyDescent="0.25">
      <c r="A53" s="27"/>
      <c r="B53" s="27"/>
      <c r="C53" s="27"/>
      <c r="D53" s="27"/>
      <c r="E53" s="27"/>
      <c r="F53" s="27"/>
      <c r="G53" s="27"/>
      <c r="H53" s="27"/>
      <c r="I53" s="27"/>
      <c r="J53" s="27"/>
    </row>
    <row r="54" spans="1:10" x14ac:dyDescent="0.25">
      <c r="A54" s="33" t="s">
        <v>74</v>
      </c>
      <c r="B54" s="34"/>
      <c r="C54" s="34"/>
      <c r="D54" s="34"/>
      <c r="E54" s="34"/>
      <c r="F54" s="34"/>
      <c r="G54" s="34"/>
      <c r="H54" s="34"/>
      <c r="I54" s="34"/>
      <c r="J54" s="35"/>
    </row>
    <row r="55" spans="1:10" x14ac:dyDescent="0.25">
      <c r="A55" s="24" t="s">
        <v>69</v>
      </c>
      <c r="B55" s="24" t="s">
        <v>70</v>
      </c>
      <c r="C55" s="24" t="s">
        <v>71</v>
      </c>
      <c r="D55" s="24" t="s">
        <v>8</v>
      </c>
      <c r="E55" s="24" t="s">
        <v>5</v>
      </c>
      <c r="F55" s="24" t="s">
        <v>72</v>
      </c>
      <c r="G55" s="24" t="s">
        <v>7</v>
      </c>
      <c r="H55" s="24" t="s">
        <v>87</v>
      </c>
      <c r="I55" s="24" t="s">
        <v>88</v>
      </c>
      <c r="J55" s="27" t="s">
        <v>85</v>
      </c>
    </row>
    <row r="56" spans="1:10" x14ac:dyDescent="0.25">
      <c r="A56" s="24" t="s">
        <v>46</v>
      </c>
      <c r="B56" s="24" t="s">
        <v>47</v>
      </c>
      <c r="C56" s="24">
        <v>2.2664456E-8</v>
      </c>
      <c r="D56" s="24">
        <v>2.2664456E-8</v>
      </c>
      <c r="E56" s="24">
        <v>0</v>
      </c>
      <c r="F56" s="24">
        <v>0</v>
      </c>
      <c r="G56" s="24">
        <v>0</v>
      </c>
      <c r="H56" s="24">
        <v>0</v>
      </c>
      <c r="I56" s="24">
        <v>0</v>
      </c>
      <c r="J56" s="24">
        <v>0</v>
      </c>
    </row>
    <row r="57" spans="1:10" x14ac:dyDescent="0.25">
      <c r="A57" s="24" t="s">
        <v>81</v>
      </c>
      <c r="B57" s="24" t="s">
        <v>77</v>
      </c>
      <c r="C57" s="24">
        <v>2.3649488999999999E-8</v>
      </c>
      <c r="D57" s="24">
        <v>0</v>
      </c>
      <c r="E57" s="24">
        <v>-7.9286240999999997E-10</v>
      </c>
      <c r="F57" s="24">
        <v>2.1498641000000001E-8</v>
      </c>
      <c r="G57" s="24">
        <v>2.9437109999999999E-9</v>
      </c>
      <c r="H57" s="24">
        <v>0</v>
      </c>
      <c r="I57" s="24">
        <v>0</v>
      </c>
      <c r="J57" s="24">
        <v>0</v>
      </c>
    </row>
    <row r="58" spans="1:10" x14ac:dyDescent="0.25">
      <c r="A58" s="24" t="s">
        <v>82</v>
      </c>
      <c r="B58" s="24" t="s">
        <v>78</v>
      </c>
      <c r="C58" s="24">
        <v>7.4272620000000004E-8</v>
      </c>
      <c r="D58" s="24">
        <v>0</v>
      </c>
      <c r="E58" s="24">
        <v>-7.9286240999999997E-10</v>
      </c>
      <c r="F58" s="24">
        <v>2.1498641000000001E-8</v>
      </c>
      <c r="G58" s="24">
        <v>5.3566842000000002E-8</v>
      </c>
      <c r="H58" s="24">
        <v>0</v>
      </c>
      <c r="I58" s="24">
        <v>0</v>
      </c>
      <c r="J58" s="24">
        <v>0</v>
      </c>
    </row>
    <row r="59" spans="1:10" x14ac:dyDescent="0.25">
      <c r="A59" s="24" t="s">
        <v>83</v>
      </c>
      <c r="B59" s="24" t="s">
        <v>79</v>
      </c>
      <c r="C59" s="24">
        <v>2.4893381999999999E-8</v>
      </c>
      <c r="D59" s="24">
        <v>0</v>
      </c>
      <c r="E59" s="24">
        <v>4.5102978999999999E-10</v>
      </c>
      <c r="F59" s="24">
        <v>2.1498641000000001E-8</v>
      </c>
      <c r="G59" s="24">
        <v>2.9437109999999999E-9</v>
      </c>
      <c r="H59" s="24">
        <v>0</v>
      </c>
      <c r="I59" s="24">
        <v>0</v>
      </c>
      <c r="J59" s="24">
        <v>0</v>
      </c>
    </row>
    <row r="60" spans="1:10" x14ac:dyDescent="0.25">
      <c r="A60" s="24" t="s">
        <v>84</v>
      </c>
      <c r="B60" s="24" t="s">
        <v>80</v>
      </c>
      <c r="C60" s="24">
        <v>7.8395303999999999E-8</v>
      </c>
      <c r="D60" s="24">
        <v>0</v>
      </c>
      <c r="E60" s="24">
        <v>4.5102978999999999E-10</v>
      </c>
      <c r="F60" s="24">
        <v>2.1498641000000001E-8</v>
      </c>
      <c r="G60" s="24">
        <v>5.6445633E-8</v>
      </c>
      <c r="H60" s="24">
        <v>0</v>
      </c>
      <c r="I60" s="24">
        <v>0</v>
      </c>
      <c r="J60" s="24">
        <v>0</v>
      </c>
    </row>
    <row r="61" spans="1:10" x14ac:dyDescent="0.25">
      <c r="A61" s="27"/>
      <c r="B61" s="27"/>
      <c r="C61" s="29"/>
      <c r="D61" s="27"/>
      <c r="E61" s="29"/>
      <c r="F61" s="29"/>
      <c r="G61" s="29"/>
      <c r="H61" s="27"/>
      <c r="I61" s="27"/>
      <c r="J61" s="27"/>
    </row>
    <row r="62" spans="1:10" x14ac:dyDescent="0.25">
      <c r="A62" s="33" t="s">
        <v>75</v>
      </c>
      <c r="B62" s="34"/>
      <c r="C62" s="34"/>
      <c r="D62" s="34"/>
      <c r="E62" s="34"/>
      <c r="F62" s="34"/>
      <c r="G62" s="34"/>
      <c r="H62" s="34"/>
      <c r="I62" s="34"/>
      <c r="J62" s="35"/>
    </row>
    <row r="63" spans="1:10" x14ac:dyDescent="0.25">
      <c r="A63" s="24" t="s">
        <v>69</v>
      </c>
      <c r="B63" s="24" t="s">
        <v>70</v>
      </c>
      <c r="C63" s="24" t="s">
        <v>71</v>
      </c>
      <c r="D63" s="24" t="s">
        <v>8</v>
      </c>
      <c r="E63" s="24" t="s">
        <v>5</v>
      </c>
      <c r="F63" s="24" t="s">
        <v>72</v>
      </c>
      <c r="G63" s="24" t="s">
        <v>7</v>
      </c>
      <c r="H63" s="24" t="s">
        <v>87</v>
      </c>
      <c r="I63" s="24" t="s">
        <v>88</v>
      </c>
      <c r="J63" s="27" t="s">
        <v>85</v>
      </c>
    </row>
    <row r="64" spans="1:10" x14ac:dyDescent="0.25">
      <c r="A64" s="24" t="s">
        <v>46</v>
      </c>
      <c r="B64" s="24" t="s">
        <v>47</v>
      </c>
      <c r="C64" s="24">
        <v>0.68911549000000005</v>
      </c>
      <c r="D64" s="24">
        <v>0.68911549000000005</v>
      </c>
      <c r="E64" s="24">
        <v>0</v>
      </c>
      <c r="F64" s="24">
        <v>0</v>
      </c>
      <c r="G64" s="24">
        <v>0</v>
      </c>
      <c r="H64" s="24">
        <v>0</v>
      </c>
      <c r="I64" s="24">
        <v>0</v>
      </c>
      <c r="J64" s="24">
        <v>0</v>
      </c>
    </row>
    <row r="65" spans="1:10" x14ac:dyDescent="0.25">
      <c r="A65" s="24" t="s">
        <v>81</v>
      </c>
      <c r="B65" s="24" t="s">
        <v>77</v>
      </c>
      <c r="C65" s="24">
        <v>0.59127017999999998</v>
      </c>
      <c r="D65" s="24">
        <v>0</v>
      </c>
      <c r="E65" s="24">
        <v>4.7163511999999998E-2</v>
      </c>
      <c r="F65" s="24">
        <v>0.22042444</v>
      </c>
      <c r="G65" s="24">
        <v>0.32368224000000001</v>
      </c>
      <c r="H65" s="24">
        <v>0</v>
      </c>
      <c r="I65" s="24">
        <v>0</v>
      </c>
      <c r="J65" s="24">
        <v>0</v>
      </c>
    </row>
    <row r="66" spans="1:10" x14ac:dyDescent="0.25">
      <c r="A66" s="24" t="s">
        <v>82</v>
      </c>
      <c r="B66" s="24" t="s">
        <v>78</v>
      </c>
      <c r="C66" s="24">
        <v>0.93470529999999996</v>
      </c>
      <c r="D66" s="24">
        <v>0</v>
      </c>
      <c r="E66" s="24">
        <v>4.7163511999999998E-2</v>
      </c>
      <c r="F66" s="24">
        <v>0.22042444</v>
      </c>
      <c r="G66" s="24">
        <v>0.66711735000000005</v>
      </c>
      <c r="H66" s="24">
        <v>0</v>
      </c>
      <c r="I66" s="24">
        <v>0</v>
      </c>
      <c r="J66" s="24">
        <v>0</v>
      </c>
    </row>
    <row r="67" spans="1:10" x14ac:dyDescent="0.25">
      <c r="A67" s="24" t="s">
        <v>83</v>
      </c>
      <c r="B67" s="24" t="s">
        <v>79</v>
      </c>
      <c r="C67" s="24">
        <v>0.57687520000000003</v>
      </c>
      <c r="D67" s="24">
        <v>0</v>
      </c>
      <c r="E67" s="24">
        <v>3.2768528999999998E-2</v>
      </c>
      <c r="F67" s="24">
        <v>0.22042444</v>
      </c>
      <c r="G67" s="24">
        <v>0.32368224000000001</v>
      </c>
      <c r="H67" s="24">
        <v>0</v>
      </c>
      <c r="I67" s="24">
        <v>0</v>
      </c>
      <c r="J67" s="24">
        <v>0</v>
      </c>
    </row>
    <row r="68" spans="1:10" x14ac:dyDescent="0.25">
      <c r="A68" s="24" t="s">
        <v>84</v>
      </c>
      <c r="B68" s="24" t="s">
        <v>80</v>
      </c>
      <c r="C68" s="24">
        <v>0.88699541000000004</v>
      </c>
      <c r="D68" s="24">
        <v>0</v>
      </c>
      <c r="E68" s="24">
        <v>3.2768528999999998E-2</v>
      </c>
      <c r="F68" s="24">
        <v>0.22042444</v>
      </c>
      <c r="G68" s="24">
        <v>0.63380245000000002</v>
      </c>
      <c r="H68" s="24">
        <v>0</v>
      </c>
      <c r="I68" s="24">
        <v>0</v>
      </c>
      <c r="J68" s="24">
        <v>0</v>
      </c>
    </row>
    <row r="69" spans="1:10" x14ac:dyDescent="0.25">
      <c r="C69" s="26"/>
      <c r="E69" s="26"/>
      <c r="F69" s="26"/>
      <c r="G69" s="26"/>
    </row>
    <row r="70" spans="1:10" x14ac:dyDescent="0.25">
      <c r="C70" s="26"/>
      <c r="E70" s="26"/>
      <c r="F70" s="26"/>
      <c r="G70" s="26"/>
    </row>
    <row r="84" spans="3:7" x14ac:dyDescent="0.25">
      <c r="C84" s="26"/>
      <c r="E84" s="26"/>
      <c r="F84" s="26"/>
      <c r="G84" s="26"/>
    </row>
    <row r="85" spans="3:7" x14ac:dyDescent="0.25">
      <c r="C85" s="26"/>
      <c r="E85" s="26"/>
      <c r="F85" s="26"/>
      <c r="G85" s="26"/>
    </row>
    <row r="90" spans="3:7" x14ac:dyDescent="0.25">
      <c r="E90" s="26"/>
      <c r="G90" s="26"/>
    </row>
    <row r="91" spans="3:7" x14ac:dyDescent="0.25">
      <c r="E91" s="26"/>
      <c r="G91" s="26"/>
    </row>
    <row r="97" spans="5:7" x14ac:dyDescent="0.25">
      <c r="G97" s="26"/>
    </row>
    <row r="98" spans="5:7" x14ac:dyDescent="0.25">
      <c r="E98" s="26"/>
      <c r="G98" s="26"/>
    </row>
  </sheetData>
  <mergeCells count="10">
    <mergeCell ref="A37:J37"/>
    <mergeCell ref="A38:J38"/>
    <mergeCell ref="A46:J46"/>
    <mergeCell ref="A54:J54"/>
    <mergeCell ref="A62:J62"/>
    <mergeCell ref="A2:J2"/>
    <mergeCell ref="A3:J3"/>
    <mergeCell ref="A11:J11"/>
    <mergeCell ref="A19:J19"/>
    <mergeCell ref="A27:J27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21C7C3-2D09-47AA-A852-E14DA8ACC12A}">
  <dimension ref="A1:D18"/>
  <sheetViews>
    <sheetView tabSelected="1" workbookViewId="0">
      <selection activeCell="B17" sqref="B17"/>
    </sheetView>
  </sheetViews>
  <sheetFormatPr defaultColWidth="10.140625" defaultRowHeight="15.75" x14ac:dyDescent="0.25"/>
  <cols>
    <col min="1" max="1" width="25.7109375" style="12" customWidth="1"/>
    <col min="2" max="2" width="10.28515625" style="12" bestFit="1" customWidth="1"/>
    <col min="3" max="3" width="19" style="12" bestFit="1" customWidth="1"/>
    <col min="4" max="4" width="22" style="12" bestFit="1" customWidth="1"/>
    <col min="5" max="16384" width="10.140625" style="12"/>
  </cols>
  <sheetData>
    <row r="1" spans="1:4" x14ac:dyDescent="0.25">
      <c r="A1" s="12" t="s">
        <v>59</v>
      </c>
    </row>
    <row r="3" spans="1:4" x14ac:dyDescent="0.25">
      <c r="B3" s="13" t="s">
        <v>50</v>
      </c>
      <c r="C3" s="13" t="s">
        <v>51</v>
      </c>
      <c r="D3" s="13" t="s">
        <v>52</v>
      </c>
    </row>
    <row r="4" spans="1:4" x14ac:dyDescent="0.25">
      <c r="A4" s="14" t="s">
        <v>53</v>
      </c>
      <c r="B4" s="16">
        <v>80.3</v>
      </c>
      <c r="C4" s="15">
        <f>'Aspen data'!E4</f>
        <v>0.8471728158416697</v>
      </c>
      <c r="D4" s="16">
        <f>B4*C4</f>
        <v>68.027977112086077</v>
      </c>
    </row>
    <row r="5" spans="1:4" x14ac:dyDescent="0.25">
      <c r="A5" s="14" t="s">
        <v>54</v>
      </c>
      <c r="B5" s="16">
        <f>(94+232)/2</f>
        <v>163</v>
      </c>
      <c r="C5" s="15">
        <f>C4</f>
        <v>0.8471728158416697</v>
      </c>
      <c r="D5" s="16">
        <f>B5*C5</f>
        <v>138.08916898219215</v>
      </c>
    </row>
    <row r="6" spans="1:4" x14ac:dyDescent="0.25">
      <c r="A6" s="14" t="s">
        <v>55</v>
      </c>
      <c r="B6" s="16">
        <v>3286.4</v>
      </c>
      <c r="C6" s="15">
        <f>'Aspen data'!E5</f>
        <v>0.10521809357043006</v>
      </c>
      <c r="D6" s="16">
        <f t="shared" ref="D6:D11" si="0">B6*C6</f>
        <v>345.78874270986137</v>
      </c>
    </row>
    <row r="7" spans="1:4" x14ac:dyDescent="0.25">
      <c r="A7" s="14" t="s">
        <v>56</v>
      </c>
      <c r="B7" s="16">
        <v>1293</v>
      </c>
      <c r="C7" s="15">
        <f>'Aspen data'!E6</f>
        <v>0.54151709975007445</v>
      </c>
      <c r="D7" s="16">
        <f t="shared" si="0"/>
        <v>700.18160997684629</v>
      </c>
    </row>
    <row r="8" spans="1:4" x14ac:dyDescent="0.25">
      <c r="A8" s="20" t="s">
        <v>66</v>
      </c>
      <c r="B8" s="20">
        <v>2300</v>
      </c>
      <c r="C8" s="21">
        <f>C7</f>
        <v>0.54151709975007445</v>
      </c>
      <c r="D8" s="22">
        <f t="shared" si="0"/>
        <v>1245.4893294251713</v>
      </c>
    </row>
    <row r="9" spans="1:4" x14ac:dyDescent="0.25">
      <c r="A9" s="20" t="s">
        <v>67</v>
      </c>
      <c r="B9" s="20">
        <v>2600</v>
      </c>
      <c r="C9" s="21">
        <f>C7</f>
        <v>0.54151709975007445</v>
      </c>
      <c r="D9" s="22">
        <f t="shared" si="0"/>
        <v>1407.9444593501935</v>
      </c>
    </row>
    <row r="10" spans="1:4" x14ac:dyDescent="0.25">
      <c r="A10" s="20" t="s">
        <v>87</v>
      </c>
      <c r="B10" s="20">
        <v>0</v>
      </c>
      <c r="C10" s="21">
        <v>0</v>
      </c>
      <c r="D10" s="22">
        <f t="shared" si="0"/>
        <v>0</v>
      </c>
    </row>
    <row r="11" spans="1:4" x14ac:dyDescent="0.25">
      <c r="A11" s="20" t="s">
        <v>88</v>
      </c>
      <c r="B11" s="20">
        <v>0</v>
      </c>
      <c r="C11" s="21">
        <v>0</v>
      </c>
      <c r="D11" s="22">
        <f t="shared" si="0"/>
        <v>0</v>
      </c>
    </row>
    <row r="12" spans="1:4" x14ac:dyDescent="0.25">
      <c r="C12" s="17"/>
      <c r="D12" s="18"/>
    </row>
    <row r="14" spans="1:4" x14ac:dyDescent="0.25">
      <c r="A14" s="20" t="s">
        <v>57</v>
      </c>
      <c r="B14" s="20">
        <v>1690</v>
      </c>
      <c r="C14" s="20" t="s">
        <v>58</v>
      </c>
      <c r="D14"/>
    </row>
    <row r="15" spans="1:4" x14ac:dyDescent="0.25">
      <c r="A15" s="20" t="s">
        <v>49</v>
      </c>
      <c r="B15" s="22">
        <f>D4+D6+D7+D10+D11</f>
        <v>1113.9983297987937</v>
      </c>
      <c r="C15" s="20" t="s">
        <v>58</v>
      </c>
      <c r="D15" s="19">
        <f>($B$14-B15)/$B$14</f>
        <v>0.34082939065160134</v>
      </c>
    </row>
    <row r="16" spans="1:4" x14ac:dyDescent="0.25">
      <c r="A16" s="20" t="s">
        <v>65</v>
      </c>
      <c r="B16" s="22">
        <f>D4+D6+D8+D10+D11</f>
        <v>1659.3060492471186</v>
      </c>
      <c r="C16" s="20" t="s">
        <v>58</v>
      </c>
      <c r="D16" s="19">
        <f>($B$14-B16)/$B$14</f>
        <v>1.8162101037207924E-2</v>
      </c>
    </row>
    <row r="17" spans="1:4" x14ac:dyDescent="0.25">
      <c r="A17" s="20" t="s">
        <v>48</v>
      </c>
      <c r="B17" s="22">
        <f>D5+D6+D7+D10+D11</f>
        <v>1184.0595216688998</v>
      </c>
      <c r="C17" s="20" t="s">
        <v>58</v>
      </c>
      <c r="D17" s="19">
        <f>($B$14-B17)/$B$14</f>
        <v>0.2993730641012427</v>
      </c>
    </row>
    <row r="18" spans="1:4" x14ac:dyDescent="0.25">
      <c r="A18" s="20" t="s">
        <v>64</v>
      </c>
      <c r="B18" s="22">
        <f>D5+D6+D9+D10+D11</f>
        <v>1891.8223710422471</v>
      </c>
      <c r="C18" s="20" t="s">
        <v>58</v>
      </c>
      <c r="D18" s="19">
        <f>($B$14-B18)/$B$14</f>
        <v>-0.11942152132677346</v>
      </c>
    </row>
  </sheetData>
  <conditionalFormatting sqref="D15:D18">
    <cfRule type="cellIs" dxfId="1" priority="1" operator="greaterThan">
      <formula>0</formula>
    </cfRule>
    <cfRule type="cellIs" dxfId="0" priority="2" operator="lessThan">
      <formula>0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Aspen data</vt:lpstr>
      <vt:lpstr>LCA results - cradle to gate</vt:lpstr>
      <vt:lpstr>LCA contri - cradle to gate</vt:lpstr>
      <vt:lpstr>Economic results</vt:lpstr>
    </vt:vector>
  </TitlesOfParts>
  <Company>ETH Zuerich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Nabera  Abhinandan</dc:creator>
  <cp:lastModifiedBy>Nabera  Abhinandan</cp:lastModifiedBy>
  <dcterms:created xsi:type="dcterms:W3CDTF">2022-06-03T16:13:54Z</dcterms:created>
  <dcterms:modified xsi:type="dcterms:W3CDTF">2022-06-21T08:52:40Z</dcterms:modified>
</cp:coreProperties>
</file>