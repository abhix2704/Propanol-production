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Ongoing projects\Propanol production\simulation\dac\"/>
    </mc:Choice>
  </mc:AlternateContent>
  <xr:revisionPtr revIDLastSave="0" documentId="13_ncr:1_{8FEBF361-7EC7-4DC7-81F6-6F1A12121EF0}" xr6:coauthVersionLast="36" xr6:coauthVersionMax="36" xr10:uidLastSave="{00000000-0000-0000-0000-000000000000}"/>
  <bookViews>
    <workbookView xWindow="0" yWindow="0" windowWidth="16200" windowHeight="6585" xr2:uid="{00000000-000D-0000-FFFF-FFFF00000000}"/>
  </bookViews>
  <sheets>
    <sheet name="material_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E7" i="1"/>
  <c r="D3" i="3" l="1"/>
  <c r="E3" i="3" s="1"/>
  <c r="D2" i="3"/>
  <c r="E2" i="3" s="1"/>
  <c r="E8" i="3"/>
  <c r="E7" i="3"/>
  <c r="C3" i="3"/>
  <c r="C2" i="3"/>
  <c r="B12" i="2"/>
  <c r="C11" i="2"/>
  <c r="C10" i="2"/>
  <c r="C9" i="2"/>
  <c r="C8" i="2"/>
  <c r="C7" i="2"/>
  <c r="C6" i="2"/>
  <c r="C5" i="2"/>
  <c r="C4" i="2"/>
  <c r="C3" i="2"/>
  <c r="E15" i="1"/>
  <c r="E14" i="1"/>
  <c r="E13" i="1"/>
  <c r="E12" i="1"/>
  <c r="E11" i="1"/>
  <c r="E10" i="1"/>
  <c r="D5" i="1"/>
  <c r="E5" i="1" s="1"/>
  <c r="E9" i="1"/>
  <c r="E6" i="1"/>
  <c r="E4" i="1"/>
  <c r="C12" i="2" l="1"/>
</calcChain>
</file>

<file path=xl/sharedStrings.xml><?xml version="1.0" encoding="utf-8"?>
<sst xmlns="http://schemas.openxmlformats.org/spreadsheetml/2006/main" count="67" uniqueCount="35">
  <si>
    <t>Component</t>
  </si>
  <si>
    <t>Type</t>
  </si>
  <si>
    <t>Mass flow (kg/hr)</t>
  </si>
  <si>
    <t>kWh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</si>
  <si>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</si>
  <si>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</si>
  <si>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</si>
  <si>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</si>
  <si>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</si>
  <si>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</si>
  <si>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>Feed</t>
  </si>
  <si>
    <t>Emissions</t>
  </si>
  <si>
    <t>Product</t>
  </si>
  <si>
    <t>Stream name</t>
  </si>
  <si>
    <t>Data used for calculating the mass flow rate taken from Aspen energy analyzer</t>
  </si>
  <si>
    <t>Ethylene</t>
  </si>
  <si>
    <t>Ethane</t>
  </si>
  <si>
    <t>Compressor</t>
  </si>
  <si>
    <t>Hydrogen</t>
  </si>
  <si>
    <t>Cooling water</t>
  </si>
  <si>
    <t>Mass/kg propanol</t>
  </si>
  <si>
    <t>Carbon dioxide</t>
  </si>
  <si>
    <t>Propanol</t>
  </si>
  <si>
    <t>Wastewater</t>
  </si>
  <si>
    <t>Carbon monoxide</t>
  </si>
  <si>
    <t>Final product: Propanol</t>
  </si>
  <si>
    <t>kWh/kg propanol</t>
  </si>
  <si>
    <t>Turbine</t>
  </si>
  <si>
    <t>Pump</t>
  </si>
  <si>
    <t>Load per kg propanol</t>
  </si>
  <si>
    <t>Fired heat natural gas</t>
  </si>
  <si>
    <t>Fresh MEA</t>
  </si>
  <si>
    <t>MEA</t>
  </si>
  <si>
    <t>Fresh water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</si>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</sst>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64" fontId="0" fillId="0" borderId="0" xfId="0" applyNumberFormat="1"/>
    <xf numFmtId="0" fontId="3" fillId="0" borderId="1" xfId="0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1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130" zoomScaleNormal="130" workbookViewId="0">
      <selection activeCell="J12" sqref="J12"/>
    </sheetView>
  </sheetViews>
  <sheetFormatPr defaultColWidth="9" defaultRowHeight="15" x14ac:dyDescent="0.25"/>
  <cols>
    <col min="1" max="1" width="21.85546875" style="1" bestFit="1" customWidth="1"/>
    <col min="2" max="2" width="16.85546875" style="1" bestFit="1" customWidth="1"/>
    <col min="3" max="3" width="12.140625" style="1" bestFit="1" customWidth="1"/>
    <col min="4" max="4" width="16.7109375" style="1" bestFit="1" customWidth="1"/>
    <col min="5" max="5" width="21.7109375" style="1" bestFit="1" customWidth="1"/>
    <col min="6" max="16384" width="9" style="1"/>
  </cols>
  <sheetData>
    <row r="1" spans="1:6" x14ac:dyDescent="0.25">
      <c r="A1" s="2" t="s">
        <v>25</v>
      </c>
    </row>
    <row r="2" spans="1:6" x14ac:dyDescent="0.25">
      <c r="A2" s="2"/>
    </row>
    <row r="3" spans="1:6" x14ac:dyDescent="0.25">
      <c r="A3" s="5" t="s">
        <v>13</v>
      </c>
      <c r="B3" s="5" t="s">
        <v>0</v>
      </c>
      <c r="C3" s="5" t="s">
        <v>1</v>
      </c>
      <c r="D3" s="5" t="s">
        <v>2</v>
      </c>
      <c r="E3" s="5" t="s">
        <v>20</v>
      </c>
    </row>
    <row r="4" spans="1:6" ht="18" customHeight="1" x14ac:dyDescent="0.25">
      <c r="A4" s="13" t="s">
        <v>21</v>
      </c>
      <c r="B4" s="13" t="s">
        <v>21</v>
      </c>
      <c r="C4" s="13" t="s">
        <v>10</v>
      </c>
      <c r="D4" s="14">
        <v>9331.5580540461997</v>
      </c>
      <c r="E4" s="18">
        <f t="shared" ref="E4:E14" si="0">D4/$D$15</f>
        <v>0.74688842097513042</v>
      </c>
      <c r="F4" s="17"/>
    </row>
    <row r="5" spans="1:6" ht="18" customHeight="1" x14ac:dyDescent="0.25">
      <c r="A5" s="13" t="s">
        <v>18</v>
      </c>
      <c r="B5" s="13" t="s">
        <v>18</v>
      </c>
      <c r="C5" s="13" t="s">
        <v>10</v>
      </c>
      <c r="D5" s="14">
        <f>843.367821797318+422.326860000001</f>
        <v>1265.6946817973189</v>
      </c>
      <c r="E5" s="18">
        <f t="shared" si="0"/>
        <v>0.10130491573315774</v>
      </c>
    </row>
    <row r="6" spans="1:6" ht="18" customHeight="1" x14ac:dyDescent="0.25">
      <c r="A6" s="13" t="s">
        <v>15</v>
      </c>
      <c r="B6" s="13" t="s">
        <v>15</v>
      </c>
      <c r="C6" s="13" t="s">
        <v>10</v>
      </c>
      <c r="D6" s="14">
        <v>5868.3129533772799</v>
      </c>
      <c r="E6" s="18">
        <f t="shared" si="0"/>
        <v>0.46969380355892293</v>
      </c>
    </row>
    <row r="7" spans="1:6" ht="18" customHeight="1" x14ac:dyDescent="0.25">
      <c r="A7" s="13" t="s">
        <v>31</v>
      </c>
      <c r="B7" s="13" t="s">
        <v>32</v>
      </c>
      <c r="C7" s="13" t="s">
        <v>10</v>
      </c>
      <c r="D7" s="14">
        <v>148.79163130681701</v>
      </c>
      <c r="E7" s="18">
        <f t="shared" si="0"/>
        <v>1.1909130920840772E-2</v>
      </c>
    </row>
    <row r="8" spans="1:6" ht="18" customHeight="1" x14ac:dyDescent="0.25">
      <c r="A8" s="13" t="s">
        <v>33</v>
      </c>
      <c r="B8" s="13" t="s">
        <v>34</v>
      </c>
      <c r="C8" s="13" t="s">
        <v>10</v>
      </c>
      <c r="D8" s="14">
        <v>539.17127004946599</v>
      </c>
      <c r="E8" s="18">
        <f t="shared" si="0"/>
        <v>4.3154720378960579E-2</v>
      </c>
    </row>
    <row r="9" spans="1:6" ht="18" customHeight="1" x14ac:dyDescent="0.25">
      <c r="A9" s="13" t="s">
        <v>23</v>
      </c>
      <c r="B9" s="13" t="s">
        <v>23</v>
      </c>
      <c r="C9" s="13" t="s">
        <v>11</v>
      </c>
      <c r="D9" s="14">
        <v>4435.2150659924</v>
      </c>
      <c r="E9" s="18">
        <f t="shared" si="0"/>
        <v>0.35499010541844206</v>
      </c>
    </row>
    <row r="10" spans="1:6" ht="18" customHeight="1" x14ac:dyDescent="0.25">
      <c r="A10" s="18" t="s">
        <v>24</v>
      </c>
      <c r="B10" s="18" t="s">
        <v>24</v>
      </c>
      <c r="C10" s="13" t="s">
        <v>11</v>
      </c>
      <c r="D10" s="14">
        <v>39.774506291632598</v>
      </c>
      <c r="E10" s="18">
        <f t="shared" si="0"/>
        <v>3.1835110521915189E-3</v>
      </c>
    </row>
    <row r="11" spans="1:6" ht="18" customHeight="1" x14ac:dyDescent="0.25">
      <c r="A11" s="13" t="s">
        <v>18</v>
      </c>
      <c r="B11" s="13" t="s">
        <v>18</v>
      </c>
      <c r="C11" s="13" t="s">
        <v>11</v>
      </c>
      <c r="D11" s="14">
        <v>6.1354810322931401</v>
      </c>
      <c r="E11" s="18">
        <f t="shared" si="0"/>
        <v>4.9107766501493161E-4</v>
      </c>
    </row>
    <row r="12" spans="1:6" ht="18" customHeight="1" x14ac:dyDescent="0.25">
      <c r="A12" s="13" t="s">
        <v>21</v>
      </c>
      <c r="B12" s="13" t="s">
        <v>21</v>
      </c>
      <c r="C12" s="13" t="s">
        <v>11</v>
      </c>
      <c r="D12" s="14">
        <v>96.320850371278496</v>
      </c>
      <c r="E12" s="18">
        <f t="shared" si="0"/>
        <v>7.7094229521073535E-3</v>
      </c>
    </row>
    <row r="13" spans="1:6" ht="18" customHeight="1" x14ac:dyDescent="0.25">
      <c r="A13" s="13" t="s">
        <v>16</v>
      </c>
      <c r="B13" s="13" t="s">
        <v>16</v>
      </c>
      <c r="C13" s="13" t="s">
        <v>11</v>
      </c>
      <c r="D13" s="14">
        <v>46.606615717958803</v>
      </c>
      <c r="E13" s="18">
        <f t="shared" si="0"/>
        <v>3.7303461457314966E-3</v>
      </c>
    </row>
    <row r="14" spans="1:6" ht="18" customHeight="1" x14ac:dyDescent="0.25">
      <c r="A14" s="13" t="s">
        <v>22</v>
      </c>
      <c r="B14" s="13" t="s">
        <v>22</v>
      </c>
      <c r="C14" s="13" t="s">
        <v>11</v>
      </c>
      <c r="D14" s="14">
        <v>17.863763207378799</v>
      </c>
      <c r="E14" s="18">
        <f t="shared" si="0"/>
        <v>1.4297974483315288E-3</v>
      </c>
    </row>
    <row r="15" spans="1:6" x14ac:dyDescent="0.25">
      <c r="A15" s="13" t="s">
        <v>22</v>
      </c>
      <c r="B15" s="13" t="s">
        <v>22</v>
      </c>
      <c r="C15" s="13" t="s">
        <v>12</v>
      </c>
      <c r="D15" s="14">
        <v>12493.9117972441</v>
      </c>
      <c r="E15" s="18">
        <f t="shared" ref="E15" si="1">D15/$D$15</f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8"/>
  <sheetViews>
    <sheetView zoomScaleNormal="100" workbookViewId="0">
      <selection activeCell="K18" sqref="K18"/>
    </sheetView>
  </sheetViews>
  <sheetFormatPr defaultRowHeight="15" x14ac:dyDescent="0.25"/>
  <cols>
    <col min="1" max="1" width="15.7109375" style="1" bestFit="1" customWidth="1"/>
    <col min="2" max="2" width="12" style="1" bestFit="1" customWidth="1"/>
    <col min="3" max="3" width="16.5703125" bestFit="1" customWidth="1"/>
    <col min="4" max="4" width="11.140625" bestFit="1" customWidth="1"/>
  </cols>
  <sheetData>
    <row r="2" spans="1:3" x14ac:dyDescent="0.25">
      <c r="A2" s="5" t="s">
        <v>1</v>
      </c>
      <c r="B2" s="5" t="s">
        <v>3</v>
      </c>
      <c r="C2" s="5" t="s">
        <v>26</v>
      </c>
    </row>
    <row r="3" spans="1:3" x14ac:dyDescent="0.25">
      <c r="A3" s="3" t="s">
        <v>17</v>
      </c>
      <c r="B3" s="4">
        <v>211.75957099999999</v>
      </c>
      <c r="C3" s="19">
        <f>B3/material_streams!$D$15</f>
        <v>1.694902080601448E-2</v>
      </c>
    </row>
    <row r="4" spans="1:3" x14ac:dyDescent="0.25">
      <c r="A4" s="3" t="s">
        <v>17</v>
      </c>
      <c r="B4" s="4">
        <v>219.90134800000001</v>
      </c>
      <c r="C4" s="19">
        <f>B4/material_streams!$D$15</f>
        <v>1.7600680360854295E-2</v>
      </c>
    </row>
    <row r="5" spans="1:3" ht="14.25" customHeight="1" x14ac:dyDescent="0.25">
      <c r="A5" s="3" t="s">
        <v>27</v>
      </c>
      <c r="B5" s="4">
        <v>-297.60548</v>
      </c>
      <c r="C5" s="19">
        <f>B5/material_streams!$D$15</f>
        <v>-2.3820040098701964E-2</v>
      </c>
    </row>
    <row r="6" spans="1:3" ht="14.25" customHeight="1" x14ac:dyDescent="0.25">
      <c r="A6" s="3" t="s">
        <v>17</v>
      </c>
      <c r="B6" s="4">
        <v>762.36184700000001</v>
      </c>
      <c r="C6" s="19">
        <f>B6/material_streams!$D$15</f>
        <v>6.101866728146435E-2</v>
      </c>
    </row>
    <row r="7" spans="1:3" ht="14.25" customHeight="1" x14ac:dyDescent="0.25">
      <c r="A7" s="3" t="s">
        <v>28</v>
      </c>
      <c r="B7" s="4">
        <v>80.854878900000003</v>
      </c>
      <c r="C7" s="19">
        <f>B7/material_streams!$D$15</f>
        <v>6.4715423169415141E-3</v>
      </c>
    </row>
    <row r="8" spans="1:3" ht="14.25" customHeight="1" x14ac:dyDescent="0.25">
      <c r="A8" s="3" t="s">
        <v>17</v>
      </c>
      <c r="B8" s="4">
        <v>204.81885199999999</v>
      </c>
      <c r="C8" s="19">
        <f>B8/material_streams!$D$15</f>
        <v>1.6393492712600936E-2</v>
      </c>
    </row>
    <row r="9" spans="1:3" ht="14.25" customHeight="1" x14ac:dyDescent="0.25">
      <c r="A9" s="3" t="s">
        <v>17</v>
      </c>
      <c r="B9" s="4">
        <v>201.71516099999999</v>
      </c>
      <c r="C9" s="19">
        <f>B9/material_streams!$D$15</f>
        <v>1.6145076439910054E-2</v>
      </c>
    </row>
    <row r="10" spans="1:3" ht="14.25" customHeight="1" x14ac:dyDescent="0.25">
      <c r="A10" s="3" t="s">
        <v>17</v>
      </c>
      <c r="B10" s="4">
        <v>199.44306599999999</v>
      </c>
      <c r="C10" s="19">
        <f>B10/material_streams!$D$15</f>
        <v>1.5963220265729189E-2</v>
      </c>
    </row>
    <row r="11" spans="1:3" ht="14.25" customHeight="1" x14ac:dyDescent="0.25">
      <c r="A11" s="3" t="s">
        <v>27</v>
      </c>
      <c r="B11" s="4">
        <v>-258.69505199999998</v>
      </c>
      <c r="C11" s="19">
        <f>B11/material_streams!$D$15</f>
        <v>-2.0705688994623987E-2</v>
      </c>
    </row>
    <row r="12" spans="1:3" x14ac:dyDescent="0.25">
      <c r="B12" s="8">
        <f>SUM(B3:B11)</f>
        <v>1324.5541919000002</v>
      </c>
      <c r="C12" s="15">
        <f>SUM(C3:C11)</f>
        <v>0.10601597109018884</v>
      </c>
    </row>
    <row r="18" ht="14.25" customHeight="1" x14ac:dyDescent="0.2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="115" zoomScaleNormal="115" workbookViewId="0">
      <selection activeCell="B3" sqref="B3"/>
    </sheetView>
  </sheetViews>
  <sheetFormatPr defaultRowHeight="15" x14ac:dyDescent="0.25"/>
  <cols>
    <col min="1" max="1" width="72" bestFit="1" customWidth="1"/>
    <col min="2" max="2" width="24.42578125" bestFit="1" customWidth="1"/>
    <col min="3" max="3" width="30.5703125" bestFit="1" customWidth="1"/>
    <col min="4" max="4" width="21" bestFit="1" customWidth="1"/>
    <col min="5" max="5" width="34.85546875" bestFit="1" customWidth="1"/>
    <col min="6" max="6" width="19.7109375" bestFit="1" customWidth="1"/>
    <col min="7" max="8" width="12.140625" customWidth="1"/>
  </cols>
  <sheetData>
    <row r="1" spans="1:7" x14ac:dyDescent="0.25">
      <c r="A1" s="5" t="s">
        <v>4</v>
      </c>
      <c r="B1" s="5" t="s">
        <v>5</v>
      </c>
      <c r="C1" s="5" t="s">
        <v>29</v>
      </c>
    </row>
    <row r="2" spans="1:7" x14ac:dyDescent="0.25">
      <c r="A2" s="16" t="s">
        <v>19</v>
      </c>
      <c r="B2" s="4">
        <v>133455309.78153101</v>
      </c>
      <c r="C2" s="4">
        <f>B2/material_streams!$D$15</f>
        <v>10681.62733556103</v>
      </c>
      <c r="D2" s="20">
        <f>B2*0.000001</f>
        <v>133.45530978153101</v>
      </c>
      <c r="E2" s="17">
        <f>D2/material_streams!$D$15*1000</f>
        <v>10.68162733556103</v>
      </c>
      <c r="G2" s="12"/>
    </row>
    <row r="3" spans="1:7" x14ac:dyDescent="0.25">
      <c r="A3" s="16" t="s">
        <v>30</v>
      </c>
      <c r="B3" s="11">
        <v>107607915.098518</v>
      </c>
      <c r="C3" s="4">
        <f>B3/material_streams!$D$15</f>
        <v>8612.8281394025926</v>
      </c>
      <c r="D3" s="20">
        <f>B3*0.000001</f>
        <v>107.60791509851799</v>
      </c>
      <c r="E3" s="17">
        <f>D3/material_streams!$D$15*1000</f>
        <v>8.6128281394025912</v>
      </c>
      <c r="G3" s="12"/>
    </row>
    <row r="5" spans="1:7" x14ac:dyDescent="0.25">
      <c r="A5" s="6" t="s">
        <v>14</v>
      </c>
    </row>
    <row r="6" spans="1:7" ht="18" x14ac:dyDescent="0.35">
      <c r="A6" s="5" t="s">
        <v>4</v>
      </c>
      <c r="B6" s="5" t="s">
        <v>6</v>
      </c>
      <c r="C6" s="7" t="s">
        <v>8</v>
      </c>
      <c r="D6" s="7" t="s">
        <v>9</v>
      </c>
      <c r="E6" s="7" t="s">
        <v>7</v>
      </c>
    </row>
    <row r="7" spans="1:7" x14ac:dyDescent="0.25">
      <c r="A7" s="3" t="s">
        <v>19</v>
      </c>
      <c r="B7" s="9">
        <v>4.1829999999999998</v>
      </c>
      <c r="C7" s="10">
        <v>15</v>
      </c>
      <c r="D7" s="10">
        <v>20</v>
      </c>
      <c r="E7" s="3">
        <f t="shared" ref="E7:E8" si="0">ABS(D7-C7)</f>
        <v>5</v>
      </c>
    </row>
    <row r="8" spans="1:7" x14ac:dyDescent="0.25">
      <c r="A8" s="3" t="s">
        <v>30</v>
      </c>
      <c r="B8" s="9">
        <v>47100</v>
      </c>
      <c r="C8" s="10">
        <v>1247</v>
      </c>
      <c r="D8" s="10">
        <v>1246</v>
      </c>
      <c r="E8" s="3">
        <f t="shared" si="0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material_streams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2025-10-20T10:12:16Z</dcterms:modified>
</cp:coreProperties>
</file>