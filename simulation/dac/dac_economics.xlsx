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simulation\dac\"/>
    </mc:Choice>
  </mc:AlternateContent>
  <xr:revisionPtr revIDLastSave="0" documentId="13_ncr:1_{B5EA77C5-188A-4DB0-B355-436415A98957}" xr6:coauthVersionLast="36" xr6:coauthVersionMax="47" xr10:uidLastSave="{00000000-0000-0000-0000-000000000000}"/>
  <bookViews>
    <workbookView xWindow="0" yWindow="495" windowWidth="21600" windowHeight="8430" xr2:uid="{00000000-000D-0000-FFFF-FFFF00000000}"/>
  </bookViews>
  <sheets>
    <sheet name="CAPEX" sheetId="7" r:id="rId1"/>
    <sheet name="OPEX" sheetId="8" r:id="rId2"/>
    <sheet name="summary" sheetId="11" r:id="rId3"/>
    <sheet name="methanol-to-olefins" sheetId="1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1" i="7" l="1"/>
  <c r="N30" i="7"/>
  <c r="N29" i="7"/>
  <c r="N28" i="7"/>
  <c r="N27" i="7"/>
  <c r="N26" i="7"/>
  <c r="N25" i="7"/>
  <c r="E14" i="8" l="1"/>
  <c r="F10" i="8" l="1"/>
  <c r="F9" i="8"/>
  <c r="F7" i="8"/>
  <c r="F6" i="8"/>
  <c r="K19" i="8"/>
  <c r="J19" i="8"/>
  <c r="I19" i="8"/>
  <c r="J17" i="8" l="1"/>
  <c r="I17" i="8"/>
  <c r="K17" i="8"/>
  <c r="K20" i="8" l="1"/>
  <c r="J20" i="8"/>
  <c r="I20" i="8"/>
  <c r="K18" i="8"/>
  <c r="J18" i="8"/>
  <c r="I18" i="8"/>
  <c r="C2" i="13" l="1"/>
  <c r="C6" i="13"/>
  <c r="D5" i="13"/>
  <c r="B5" i="13"/>
  <c r="D4" i="13"/>
  <c r="C3" i="13"/>
  <c r="C4" i="13" l="1"/>
  <c r="C5" i="13"/>
  <c r="D8" i="8" l="1"/>
  <c r="F8" i="8" s="1"/>
  <c r="D68" i="7"/>
  <c r="D65" i="7"/>
  <c r="H65" i="7" s="1"/>
  <c r="H68" i="7"/>
  <c r="I68" i="7"/>
  <c r="I65" i="7"/>
  <c r="D67" i="7"/>
  <c r="D64" i="7"/>
  <c r="N20" i="7"/>
  <c r="N19" i="7"/>
  <c r="N18" i="7"/>
  <c r="N17" i="7"/>
  <c r="N16" i="7"/>
  <c r="N15" i="7"/>
  <c r="N14" i="7"/>
  <c r="N13" i="7"/>
  <c r="O15" i="7"/>
  <c r="P15" i="7" s="1"/>
  <c r="O14" i="7"/>
  <c r="P14" i="7" s="1"/>
  <c r="C7" i="13" l="1"/>
  <c r="Q15" i="7"/>
  <c r="S15" i="7" s="1"/>
  <c r="D56" i="7" s="1"/>
  <c r="H56" i="7" s="1"/>
  <c r="Q14" i="7"/>
  <c r="S14" i="7" s="1"/>
  <c r="D55" i="7" s="1"/>
  <c r="H55" i="7" s="1"/>
  <c r="H21" i="7"/>
  <c r="H24" i="7" l="1"/>
  <c r="H23" i="7"/>
  <c r="H19" i="7"/>
  <c r="H18" i="7"/>
  <c r="H17" i="7"/>
  <c r="H16" i="7"/>
  <c r="P7" i="8" l="1"/>
  <c r="E13" i="8" s="1"/>
  <c r="F18" i="11" l="1"/>
  <c r="F14" i="8" l="1"/>
  <c r="E12" i="8"/>
  <c r="F13" i="8"/>
  <c r="F20" i="11"/>
  <c r="F17" i="11"/>
  <c r="F16" i="11"/>
  <c r="F15" i="11"/>
  <c r="F10" i="11"/>
  <c r="F9" i="11"/>
  <c r="F8" i="11"/>
  <c r="F7" i="11"/>
  <c r="F6" i="11"/>
  <c r="F5" i="11"/>
  <c r="F4" i="11"/>
  <c r="F3" i="11"/>
  <c r="N22" i="7"/>
  <c r="N21" i="7"/>
  <c r="O21" i="7"/>
  <c r="P21" i="7" s="1"/>
  <c r="Q21" i="7" l="1"/>
  <c r="S21" i="7" s="1"/>
  <c r="D52" i="7" l="1"/>
  <c r="H52" i="7" s="1"/>
  <c r="D51" i="7"/>
  <c r="H51" i="7" s="1"/>
  <c r="D50" i="7"/>
  <c r="H50" i="7" s="1"/>
  <c r="D49" i="7"/>
  <c r="H49" i="7" s="1"/>
  <c r="D48" i="7"/>
  <c r="H48" i="7" s="1"/>
  <c r="D47" i="7"/>
  <c r="H47" i="7" s="1"/>
  <c r="D46" i="7"/>
  <c r="H46" i="7" s="1"/>
  <c r="D45" i="7"/>
  <c r="H45" i="7" s="1"/>
  <c r="D44" i="7"/>
  <c r="H44" i="7" s="1"/>
  <c r="D43" i="7"/>
  <c r="H43" i="7" s="1"/>
  <c r="D42" i="7"/>
  <c r="H42" i="7" s="1"/>
  <c r="D41" i="7"/>
  <c r="H41" i="7" s="1"/>
  <c r="D40" i="7"/>
  <c r="H40" i="7" s="1"/>
  <c r="D39" i="7"/>
  <c r="H39" i="7" s="1"/>
  <c r="D38" i="7"/>
  <c r="H38" i="7" s="1"/>
  <c r="D37" i="7"/>
  <c r="H37" i="7" s="1"/>
  <c r="D36" i="7"/>
  <c r="H36" i="7" s="1"/>
  <c r="D35" i="7"/>
  <c r="H35" i="7" s="1"/>
  <c r="D34" i="7"/>
  <c r="H34" i="7" s="1"/>
  <c r="D33" i="7"/>
  <c r="H33" i="7" s="1"/>
  <c r="D32" i="7"/>
  <c r="H32" i="7" s="1"/>
  <c r="D31" i="7"/>
  <c r="H31" i="7" s="1"/>
  <c r="D30" i="7"/>
  <c r="H30" i="7" s="1"/>
  <c r="D29" i="7"/>
  <c r="H29" i="7" s="1"/>
  <c r="D28" i="7"/>
  <c r="H28" i="7" s="1"/>
  <c r="D27" i="7"/>
  <c r="H27" i="7" s="1"/>
  <c r="O22" i="7" l="1"/>
  <c r="P22" i="7" s="1"/>
  <c r="O20" i="7"/>
  <c r="P20" i="7" s="1"/>
  <c r="Q20" i="7" s="1"/>
  <c r="S20" i="7" s="1"/>
  <c r="D62" i="7" s="1"/>
  <c r="O19" i="7"/>
  <c r="P19" i="7" s="1"/>
  <c r="Q19" i="7" s="1"/>
  <c r="S19" i="7" s="1"/>
  <c r="D61" i="7" s="1"/>
  <c r="O16" i="7"/>
  <c r="P16" i="7" s="1"/>
  <c r="D26" i="7"/>
  <c r="H26" i="7" s="1"/>
  <c r="H15" i="7"/>
  <c r="H14" i="7"/>
  <c r="Q22" i="7" l="1"/>
  <c r="S22" i="7" s="1"/>
  <c r="H62" i="7"/>
  <c r="H61" i="7"/>
  <c r="Q16" i="7"/>
  <c r="S16" i="7" s="1"/>
  <c r="D58" i="7" s="1"/>
  <c r="H64" i="7" l="1"/>
  <c r="F5" i="8" l="1"/>
  <c r="C16" i="11" l="1"/>
  <c r="C15" i="11"/>
  <c r="O18" i="7"/>
  <c r="P18" i="7" s="1"/>
  <c r="Q18" i="7" s="1"/>
  <c r="S18" i="7" s="1"/>
  <c r="D60" i="7" s="1"/>
  <c r="O17" i="7"/>
  <c r="P17" i="7" s="1"/>
  <c r="Q17" i="7" s="1"/>
  <c r="S17" i="7" s="1"/>
  <c r="D59" i="7" s="1"/>
  <c r="H58" i="7" l="1"/>
  <c r="H60" i="7"/>
  <c r="F12" i="8" l="1"/>
  <c r="F16" i="8" l="1"/>
  <c r="F15" i="8"/>
  <c r="C21" i="11" s="1"/>
  <c r="F21" i="11"/>
  <c r="B86" i="7"/>
  <c r="C17" i="11" s="1"/>
  <c r="O13" i="7" l="1"/>
  <c r="P13" i="7" s="1"/>
  <c r="Q13" i="7" s="1"/>
  <c r="S13" i="7" s="1"/>
  <c r="D54" i="7" s="1"/>
  <c r="H54" i="7" l="1"/>
  <c r="H67" i="7"/>
  <c r="H59" i="7"/>
  <c r="H69" i="7" l="1"/>
  <c r="B74" i="7" s="1"/>
  <c r="C3" i="11" s="1"/>
  <c r="B73" i="7" l="1"/>
  <c r="B77" i="7"/>
  <c r="C4" i="11" s="1"/>
  <c r="B78" i="7" l="1"/>
  <c r="C5" i="11" s="1"/>
  <c r="B81" i="7"/>
  <c r="C8" i="11" s="1"/>
  <c r="B79" i="7" l="1"/>
  <c r="C6" i="11" s="1"/>
  <c r="B80" i="7"/>
  <c r="C7" i="11" s="1"/>
  <c r="B82" i="7"/>
  <c r="C9" i="11" s="1"/>
  <c r="B83" i="7" l="1"/>
  <c r="C10" i="11" s="1"/>
  <c r="B87" i="7" l="1"/>
  <c r="B88" i="7" l="1"/>
  <c r="C19" i="11" s="1"/>
  <c r="F19" i="11" l="1"/>
  <c r="F22" i="11" s="1"/>
  <c r="F23" i="11" s="1"/>
  <c r="F25" i="11" s="1"/>
  <c r="C22" i="11"/>
  <c r="C23" i="11" s="1"/>
  <c r="C25" i="11" s="1"/>
</calcChain>
</file>

<file path=xl/sharedStrings.xml><?xml version="1.0" encoding="utf-8"?>
<sst xmlns="http://schemas.openxmlformats.org/spreadsheetml/2006/main" count="337" uniqueCount="173">
  <si>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</si>
  <si>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</si>
  <si>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</si>
  <si>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</si>
  <si>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</si>
  <si>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</si>
  <si>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</si>
  <si>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</si>
  <si>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</si>
  <si>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</si>
  <si>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</si>
  <si>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</si>
  <si>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</si>
  <si>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</si>
  <si>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</si>
  <si>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</si>
  <si>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</si>
  <si>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</si>
  <si>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</si>
  <si>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</si>
  <si>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</si>
  <si>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</si>
  <si>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</si>
  <si>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</si>
  <si>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</si>
  <si>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</si>
  <si>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</si>
  <si>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</si>
  <si>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</si>
  <si>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</si>
  <si>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</si>
  <si>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</si>
  <si>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</si>
  <si>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</si>
  <si>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</si>
  <si>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</si>
  <si>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</si>
  <si>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</si>
  <si>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</si>
  <si>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</si>
  <si>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</si>
  <si>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</si>
  <si>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</si>
  <si>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</si>
  <si>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</si>
  <si>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</si>
  <si>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</si>
  <si>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</si>
  <si>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</si>
  <si>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</si>
  <si>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</si>
  <si>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</si>
  <si>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</si>
  <si>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</si>
  <si>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</si>
  <si>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</si>
  <si>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</si>
  <si>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</si>
  <si>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</si>
  <si>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</si>
  <si>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Overhead expenses</t>
  </si>
  <si>
    <t>Design and engineering (D&amp;E)</t>
  </si>
  <si>
    <t>Interest</t>
  </si>
  <si>
    <t>Labor costs</t>
  </si>
  <si>
    <t>Maintanance costs</t>
  </si>
  <si>
    <t>CEPCI 2018</t>
  </si>
  <si>
    <t>Reference Data</t>
  </si>
  <si>
    <t xml:space="preserve">OPEX (M$/year) </t>
  </si>
  <si>
    <t>Heat exchangers</t>
  </si>
  <si>
    <t>Pressure vessel</t>
  </si>
  <si>
    <t>Total product Produced (kg/hr)</t>
  </si>
  <si>
    <t>Total expenses ($/hr)</t>
  </si>
  <si>
    <t>Total expenses (M$/year)</t>
  </si>
  <si>
    <t>Fixed production costs (M$/year)</t>
  </si>
  <si>
    <t>Raw material costs</t>
  </si>
  <si>
    <t>Utility costs</t>
  </si>
  <si>
    <t>Separators</t>
  </si>
  <si>
    <t>Production capacity: 130 kt/year</t>
  </si>
  <si>
    <t>Compressors</t>
  </si>
  <si>
    <t xml:space="preserve">Centrifugal Compressor </t>
  </si>
  <si>
    <t>Power, kW</t>
  </si>
  <si>
    <t>Total area</t>
  </si>
  <si>
    <t>Shells</t>
  </si>
  <si>
    <t>Pressure Vessel</t>
  </si>
  <si>
    <t>Valve trays</t>
  </si>
  <si>
    <t>Tray</t>
  </si>
  <si>
    <t>diameter, m</t>
  </si>
  <si>
    <t>N stages</t>
  </si>
  <si>
    <t>Reactor</t>
  </si>
  <si>
    <t>Natural gas heating</t>
  </si>
  <si>
    <t>CEPCI 2023</t>
  </si>
  <si>
    <t>Purchased equipment cost 2023</t>
  </si>
  <si>
    <t>Purchased equipment cost 2023 (M$/year)</t>
  </si>
  <si>
    <t>Price 2023 ($/unit)</t>
  </si>
  <si>
    <t>2023 costs</t>
  </si>
  <si>
    <t>Allocation factor</t>
  </si>
  <si>
    <t>Cost per kg (fossil)</t>
  </si>
  <si>
    <t>Cost per kg (biomethane)</t>
  </si>
  <si>
    <t>IEA</t>
  </si>
  <si>
    <t>Grid electricity</t>
  </si>
  <si>
    <t>Germany</t>
  </si>
  <si>
    <t>France</t>
  </si>
  <si>
    <t>Japan</t>
  </si>
  <si>
    <t>India</t>
  </si>
  <si>
    <t>Australia</t>
  </si>
  <si>
    <t>United States</t>
  </si>
  <si>
    <t>Grid electricity IEA</t>
  </si>
  <si>
    <t>Pumps</t>
  </si>
  <si>
    <t>Turbines</t>
  </si>
  <si>
    <t>Turbine</t>
  </si>
  <si>
    <t>Pump</t>
  </si>
  <si>
    <t>Centrifugal Pump</t>
  </si>
  <si>
    <t>Flow, litres/s</t>
  </si>
  <si>
    <t>E-136</t>
  </si>
  <si>
    <t>E-138</t>
  </si>
  <si>
    <t>E-130</t>
  </si>
  <si>
    <t>E-132</t>
  </si>
  <si>
    <t>E-122</t>
  </si>
  <si>
    <t>E-120</t>
  </si>
  <si>
    <t>E-124</t>
  </si>
  <si>
    <t>E-117</t>
  </si>
  <si>
    <t>E-113</t>
  </si>
  <si>
    <t>E-115</t>
  </si>
  <si>
    <t>E-133</t>
  </si>
  <si>
    <t>E-135</t>
  </si>
  <si>
    <t>E-137</t>
  </si>
  <si>
    <t>E-139</t>
  </si>
  <si>
    <t>E-131</t>
  </si>
  <si>
    <t>E-129</t>
  </si>
  <si>
    <t>E-116</t>
  </si>
  <si>
    <t>E-118</t>
  </si>
  <si>
    <t>E-134</t>
  </si>
  <si>
    <t>E-126</t>
  </si>
  <si>
    <t>E-128</t>
  </si>
  <si>
    <t>E-119</t>
  </si>
  <si>
    <t>E-121</t>
  </si>
  <si>
    <t>E-123</t>
  </si>
  <si>
    <t>E-125</t>
  </si>
  <si>
    <t>E-127</t>
  </si>
  <si>
    <t>E-114</t>
  </si>
  <si>
    <t>B10</t>
  </si>
  <si>
    <t>B14</t>
  </si>
  <si>
    <t>B16</t>
  </si>
  <si>
    <t>B24</t>
  </si>
  <si>
    <t>B37</t>
  </si>
  <si>
    <t>Absorption column</t>
  </si>
  <si>
    <t>Reboiler</t>
  </si>
  <si>
    <t>B8</t>
  </si>
  <si>
    <t>B18</t>
  </si>
  <si>
    <t>Carbon dioxide</t>
  </si>
  <si>
    <t>Hydrogen</t>
  </si>
  <si>
    <t>Ethylene</t>
  </si>
  <si>
    <t>MTO Ethylene</t>
  </si>
  <si>
    <t>Monoethanolamine</t>
  </si>
  <si>
    <t>Process water</t>
  </si>
  <si>
    <t>Average</t>
  </si>
  <si>
    <t>Low</t>
  </si>
  <si>
    <t>High</t>
  </si>
  <si>
    <t>Flow</t>
  </si>
  <si>
    <t>kg per kg ethylene</t>
  </si>
  <si>
    <t>Methanol</t>
  </si>
  <si>
    <t>Electricity</t>
  </si>
  <si>
    <t>Steam</t>
  </si>
  <si>
    <t>Ioannou et al.</t>
  </si>
  <si>
    <t>This work</t>
  </si>
  <si>
    <t>CAPEX</t>
  </si>
  <si>
    <t>-</t>
  </si>
  <si>
    <t>CEPCI 2022</t>
  </si>
  <si>
    <t>Nabera et al.</t>
  </si>
  <si>
    <t>MTO ethylene</t>
  </si>
  <si>
    <t>OPEX (fossil ethylene)</t>
  </si>
  <si>
    <t>OPEX (MTO ethylene)</t>
  </si>
  <si>
    <t>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</si>
</sst>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1" fontId="8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 applyAlignment="1"/>
    <xf numFmtId="165" fontId="0" fillId="0" borderId="0" xfId="0" applyNumberFormat="1" applyAlignment="1">
      <alignment horizontal="center"/>
    </xf>
    <xf numFmtId="0" fontId="0" fillId="0" borderId="1" xfId="0" applyFill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0" xfId="0" applyNumberFormat="1"/>
    <xf numFmtId="2" fontId="0" fillId="0" borderId="3" xfId="0" applyNumberFormat="1" applyBorder="1" applyAlignment="1">
      <alignment horizontal="right"/>
    </xf>
    <xf numFmtId="2" fontId="0" fillId="0" borderId="5" xfId="0" applyNumberFormat="1" applyFill="1" applyBorder="1" applyAlignment="1">
      <alignment horizontal="right"/>
    </xf>
    <xf numFmtId="0" fontId="0" fillId="0" borderId="5" xfId="0" applyBorder="1"/>
    <xf numFmtId="0" fontId="0" fillId="0" borderId="0" xfId="0" applyBorder="1"/>
    <xf numFmtId="0" fontId="0" fillId="0" borderId="2" xfId="0" applyFill="1" applyBorder="1"/>
    <xf numFmtId="2" fontId="4" fillId="0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2" xfId="0" applyNumberFormat="1" applyBorder="1" applyAlignment="1">
      <alignment horizontal="right"/>
    </xf>
    <xf numFmtId="166" fontId="0" fillId="0" borderId="1" xfId="0" applyNumberFormat="1" applyBorder="1"/>
    <xf numFmtId="165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iea.org/reports/electricity-market-report-update-2023/executive-summ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3"/>
  <sheetViews>
    <sheetView tabSelected="1" topLeftCell="A60" zoomScale="115" zoomScaleNormal="115" workbookViewId="0">
      <selection activeCell="B74" sqref="B74"/>
    </sheetView>
  </sheetViews>
  <sheetFormatPr defaultColWidth="8.85546875" defaultRowHeight="15" x14ac:dyDescent="0.25"/>
  <cols>
    <col min="1" max="1" width="29.5703125" bestFit="1" customWidth="1"/>
    <col min="2" max="2" width="21.140625" bestFit="1" customWidth="1"/>
    <col min="3" max="3" width="16.140625" bestFit="1" customWidth="1"/>
    <col min="4" max="4" width="10.5703125" style="17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9" max="9" width="9.7109375" bestFit="1" customWidth="1"/>
    <col min="10" max="10" width="6.28515625" bestFit="1" customWidth="1"/>
    <col min="11" max="11" width="11.42578125" bestFit="1" customWidth="1"/>
    <col min="12" max="12" width="10.7109375" bestFit="1" customWidth="1"/>
    <col min="13" max="13" width="13.7109375" bestFit="1" customWidth="1"/>
    <col min="14" max="14" width="9" bestFit="1" customWidth="1"/>
    <col min="15" max="15" width="13.140625" bestFit="1" customWidth="1"/>
    <col min="16" max="16" width="7.42578125" bestFit="1" customWidth="1"/>
    <col min="17" max="17" width="10.85546875" bestFit="1" customWidth="1"/>
    <col min="19" max="19" width="10.5703125" bestFit="1" customWidth="1"/>
  </cols>
  <sheetData>
    <row r="1" spans="1:20" x14ac:dyDescent="0.25">
      <c r="A1" s="2" t="s">
        <v>0</v>
      </c>
      <c r="B1" s="3"/>
      <c r="C1" s="3"/>
    </row>
    <row r="2" spans="1:20" ht="18" x14ac:dyDescent="0.35">
      <c r="A2" s="3" t="s">
        <v>1</v>
      </c>
      <c r="B2" s="3" t="s">
        <v>37</v>
      </c>
      <c r="C2" s="3">
        <v>0.3</v>
      </c>
    </row>
    <row r="3" spans="1:20" ht="18" x14ac:dyDescent="0.35">
      <c r="A3" s="3" t="s">
        <v>2</v>
      </c>
      <c r="B3" s="3" t="s">
        <v>38</v>
      </c>
      <c r="C3" s="3">
        <v>0.8</v>
      </c>
    </row>
    <row r="4" spans="1:20" ht="18" x14ac:dyDescent="0.35">
      <c r="A4" s="3" t="s">
        <v>3</v>
      </c>
      <c r="B4" s="3" t="s">
        <v>39</v>
      </c>
      <c r="C4" s="3">
        <v>0.3</v>
      </c>
    </row>
    <row r="5" spans="1:20" ht="18" x14ac:dyDescent="0.35">
      <c r="A5" s="3" t="s">
        <v>4</v>
      </c>
      <c r="B5" s="3" t="s">
        <v>40</v>
      </c>
      <c r="C5" s="3">
        <v>0.2</v>
      </c>
    </row>
    <row r="6" spans="1:20" ht="18" x14ac:dyDescent="0.35">
      <c r="A6" s="3" t="s">
        <v>5</v>
      </c>
      <c r="B6" s="3" t="s">
        <v>41</v>
      </c>
      <c r="C6" s="3">
        <v>0.3</v>
      </c>
    </row>
    <row r="7" spans="1:20" ht="18" x14ac:dyDescent="0.35">
      <c r="A7" s="3" t="s">
        <v>6</v>
      </c>
      <c r="B7" s="3" t="s">
        <v>42</v>
      </c>
      <c r="C7" s="3">
        <v>0.2</v>
      </c>
    </row>
    <row r="8" spans="1:20" ht="18" x14ac:dyDescent="0.35">
      <c r="A8" s="3" t="s">
        <v>7</v>
      </c>
      <c r="B8" s="3" t="s">
        <v>43</v>
      </c>
      <c r="C8" s="3">
        <v>0.1</v>
      </c>
    </row>
    <row r="9" spans="1:20" ht="18" x14ac:dyDescent="0.35">
      <c r="A9" s="3" t="s">
        <v>8</v>
      </c>
      <c r="B9" s="3" t="s">
        <v>44</v>
      </c>
      <c r="C9" s="3">
        <v>1.3</v>
      </c>
    </row>
    <row r="10" spans="1:20" x14ac:dyDescent="0.25">
      <c r="A10" s="13"/>
      <c r="B10" s="13"/>
      <c r="C10" s="13"/>
    </row>
    <row r="12" spans="1:20" ht="63.75" x14ac:dyDescent="0.35">
      <c r="A12" s="2" t="s">
        <v>9</v>
      </c>
      <c r="B12" s="4" t="s">
        <v>13</v>
      </c>
      <c r="C12" s="4" t="s">
        <v>14</v>
      </c>
      <c r="D12" s="11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L12" s="2" t="s">
        <v>22</v>
      </c>
      <c r="M12" s="4" t="s">
        <v>20</v>
      </c>
      <c r="N12" s="4" t="s">
        <v>17</v>
      </c>
      <c r="O12" s="4" t="s">
        <v>21</v>
      </c>
      <c r="P12" s="4" t="s">
        <v>45</v>
      </c>
      <c r="Q12" s="4" t="s">
        <v>16</v>
      </c>
      <c r="R12" s="4" t="s">
        <v>46</v>
      </c>
      <c r="S12" s="4" t="s">
        <v>18</v>
      </c>
      <c r="T12" s="4" t="s">
        <v>87</v>
      </c>
    </row>
    <row r="13" spans="1:20" x14ac:dyDescent="0.25">
      <c r="A13" s="56" t="s">
        <v>78</v>
      </c>
      <c r="B13" s="57"/>
      <c r="C13" s="57"/>
      <c r="D13" s="57"/>
      <c r="E13" s="57"/>
      <c r="F13" s="57"/>
      <c r="G13" s="57"/>
      <c r="H13" s="58"/>
      <c r="L13" s="19" t="s">
        <v>88</v>
      </c>
      <c r="M13" s="20">
        <v>0.91439999999999999</v>
      </c>
      <c r="N13" s="20">
        <f>3.9624+2*0.25*M13</f>
        <v>4.4196</v>
      </c>
      <c r="O13" s="22">
        <f t="shared" ref="O13" si="0">M13+0.0254</f>
        <v>0.93979999999999997</v>
      </c>
      <c r="P13" s="22">
        <f t="shared" ref="P13" si="1">PI()*(O13*O13-M13*M13)/4</f>
        <v>3.6989645974117337E-2</v>
      </c>
      <c r="Q13" s="22">
        <f t="shared" ref="Q13" si="2">P13*N13</f>
        <v>0.16347943934720899</v>
      </c>
      <c r="R13" s="21">
        <v>8000</v>
      </c>
      <c r="S13" s="20">
        <f t="shared" ref="S13" si="3">R13*Q13</f>
        <v>1307.835514777672</v>
      </c>
      <c r="T13" s="29"/>
    </row>
    <row r="14" spans="1:20" x14ac:dyDescent="0.25">
      <c r="A14" s="29" t="s">
        <v>79</v>
      </c>
      <c r="B14" s="29" t="s">
        <v>79</v>
      </c>
      <c r="C14" s="29" t="s">
        <v>80</v>
      </c>
      <c r="D14" s="6">
        <v>211.75957099999999</v>
      </c>
      <c r="E14" s="5">
        <v>580000</v>
      </c>
      <c r="F14" s="5">
        <v>20000</v>
      </c>
      <c r="G14" s="6">
        <v>0.6</v>
      </c>
      <c r="H14" s="6">
        <f t="shared" ref="H14:H15" si="4">(E14+(F14*(D14^G14)))/1000000</f>
        <v>1.0772053862666315</v>
      </c>
      <c r="L14" s="19" t="s">
        <v>88</v>
      </c>
      <c r="M14" s="20">
        <v>0.91439999999999999</v>
      </c>
      <c r="N14" s="20">
        <f>3.9624+2*0.25*M14</f>
        <v>4.4196</v>
      </c>
      <c r="O14" s="22">
        <f t="shared" ref="O14:O15" si="5">M14+0.0254</f>
        <v>0.93979999999999997</v>
      </c>
      <c r="P14" s="22">
        <f t="shared" ref="P14:P15" si="6">PI()*(O14*O14-M14*M14)/4</f>
        <v>3.6989645974117337E-2</v>
      </c>
      <c r="Q14" s="22">
        <f t="shared" ref="Q14:Q15" si="7">P14*N14</f>
        <v>0.16347943934720899</v>
      </c>
      <c r="R14" s="21">
        <v>8000</v>
      </c>
      <c r="S14" s="20">
        <f t="shared" ref="S14:S15" si="8">R14*Q14</f>
        <v>1307.835514777672</v>
      </c>
      <c r="T14" s="29"/>
    </row>
    <row r="15" spans="1:20" x14ac:dyDescent="0.25">
      <c r="A15" s="29" t="s">
        <v>79</v>
      </c>
      <c r="B15" s="29" t="s">
        <v>79</v>
      </c>
      <c r="C15" s="29" t="s">
        <v>80</v>
      </c>
      <c r="D15" s="6">
        <v>219.90134800000001</v>
      </c>
      <c r="E15" s="5">
        <v>580000</v>
      </c>
      <c r="F15" s="5">
        <v>20000</v>
      </c>
      <c r="G15" s="6">
        <v>0.6</v>
      </c>
      <c r="H15" s="6">
        <f t="shared" si="4"/>
        <v>1.0885887280874975</v>
      </c>
      <c r="L15" s="19" t="s">
        <v>88</v>
      </c>
      <c r="M15" s="20">
        <v>3.9624000000000001</v>
      </c>
      <c r="N15" s="20">
        <f>19.812+2*0.25*M15</f>
        <v>21.793200000000002</v>
      </c>
      <c r="O15" s="22">
        <f t="shared" si="5"/>
        <v>3.9878</v>
      </c>
      <c r="P15" s="22">
        <f t="shared" si="6"/>
        <v>0.15859944095751552</v>
      </c>
      <c r="Q15" s="22">
        <f t="shared" si="7"/>
        <v>3.4563893366753278</v>
      </c>
      <c r="R15" s="21">
        <v>8000</v>
      </c>
      <c r="S15" s="20">
        <f t="shared" si="8"/>
        <v>27651.114693402622</v>
      </c>
      <c r="T15" s="29"/>
    </row>
    <row r="16" spans="1:20" x14ac:dyDescent="0.25">
      <c r="A16" s="29" t="s">
        <v>79</v>
      </c>
      <c r="B16" s="29" t="s">
        <v>79</v>
      </c>
      <c r="C16" s="29" t="s">
        <v>80</v>
      </c>
      <c r="D16" s="6">
        <v>762.36184700000001</v>
      </c>
      <c r="E16" s="5">
        <v>580000</v>
      </c>
      <c r="F16" s="5">
        <v>20000</v>
      </c>
      <c r="G16" s="6">
        <v>0.6</v>
      </c>
      <c r="H16" s="6">
        <f t="shared" ref="H16:H19" si="9">(E16+(F16*(D16^G16)))/1000000</f>
        <v>1.652325633648547</v>
      </c>
      <c r="L16" s="19" t="s">
        <v>140</v>
      </c>
      <c r="M16" s="20">
        <v>1.0668</v>
      </c>
      <c r="N16" s="20">
        <f>3.6576+2*0.25*M16</f>
        <v>4.1909999999999998</v>
      </c>
      <c r="O16" s="22">
        <f t="shared" ref="O16" si="10">M16+0.0254</f>
        <v>1.0922000000000001</v>
      </c>
      <c r="P16" s="22">
        <f t="shared" ref="P16" si="11">PI()*(O16*O16-M16*M16)/4</f>
        <v>4.3070135723287363E-2</v>
      </c>
      <c r="Q16" s="22">
        <f t="shared" ref="Q16" si="12">P16*N16</f>
        <v>0.18050693881629734</v>
      </c>
      <c r="R16" s="21">
        <v>8000</v>
      </c>
      <c r="S16" s="20">
        <f t="shared" ref="S16" si="13">R16*Q16</f>
        <v>1444.0555105303788</v>
      </c>
      <c r="T16" s="29"/>
    </row>
    <row r="17" spans="1:20" x14ac:dyDescent="0.25">
      <c r="A17" s="29" t="s">
        <v>79</v>
      </c>
      <c r="B17" s="29" t="s">
        <v>79</v>
      </c>
      <c r="C17" s="29" t="s">
        <v>80</v>
      </c>
      <c r="D17" s="6">
        <v>204.81885199999999</v>
      </c>
      <c r="E17" s="5">
        <v>580000</v>
      </c>
      <c r="F17" s="5">
        <v>20000</v>
      </c>
      <c r="G17" s="6">
        <v>0.6</v>
      </c>
      <c r="H17" s="6">
        <f t="shared" si="9"/>
        <v>1.0673623235788023</v>
      </c>
      <c r="L17" s="19" t="s">
        <v>141</v>
      </c>
      <c r="M17" s="20">
        <v>0.91439999999999999</v>
      </c>
      <c r="N17" s="20">
        <f>3.6576+2*0.25*M17</f>
        <v>4.1147999999999998</v>
      </c>
      <c r="O17" s="22">
        <f t="shared" ref="O17:O18" si="14">M17+0.0254</f>
        <v>0.93979999999999997</v>
      </c>
      <c r="P17" s="22">
        <f t="shared" ref="P17:P18" si="15">PI()*(O17*O17-M17*M17)/4</f>
        <v>3.6989645974117337E-2</v>
      </c>
      <c r="Q17" s="22">
        <f t="shared" ref="Q17:Q18" si="16">P17*N17</f>
        <v>0.15220499525429801</v>
      </c>
      <c r="R17" s="21">
        <v>8000</v>
      </c>
      <c r="S17" s="20">
        <f t="shared" ref="S17:S18" si="17">R17*Q17</f>
        <v>1217.6399620343841</v>
      </c>
      <c r="T17" s="29"/>
    </row>
    <row r="18" spans="1:20" x14ac:dyDescent="0.25">
      <c r="A18" s="29" t="s">
        <v>79</v>
      </c>
      <c r="B18" s="29" t="s">
        <v>79</v>
      </c>
      <c r="C18" s="29" t="s">
        <v>80</v>
      </c>
      <c r="D18" s="6">
        <v>201.71516099999999</v>
      </c>
      <c r="E18" s="5">
        <v>580000</v>
      </c>
      <c r="F18" s="5">
        <v>20000</v>
      </c>
      <c r="G18" s="6">
        <v>0.6</v>
      </c>
      <c r="H18" s="6">
        <f t="shared" si="9"/>
        <v>1.0629176964886629</v>
      </c>
      <c r="L18" s="19" t="s">
        <v>142</v>
      </c>
      <c r="M18" s="20">
        <v>1.2192000000000001</v>
      </c>
      <c r="N18" s="20">
        <f>3.6576+2*0.25*M18</f>
        <v>4.2671999999999999</v>
      </c>
      <c r="O18" s="22">
        <f t="shared" si="14"/>
        <v>1.2446000000000002</v>
      </c>
      <c r="P18" s="22">
        <f t="shared" si="15"/>
        <v>4.9150625472457479E-2</v>
      </c>
      <c r="Q18" s="22">
        <f t="shared" si="16"/>
        <v>0.20973554901607055</v>
      </c>
      <c r="R18" s="21">
        <v>8000</v>
      </c>
      <c r="S18" s="20">
        <f t="shared" si="17"/>
        <v>1677.8843921285645</v>
      </c>
      <c r="T18" s="29"/>
    </row>
    <row r="19" spans="1:20" x14ac:dyDescent="0.25">
      <c r="A19" s="29" t="s">
        <v>79</v>
      </c>
      <c r="B19" s="29" t="s">
        <v>79</v>
      </c>
      <c r="C19" s="29" t="s">
        <v>80</v>
      </c>
      <c r="D19" s="6">
        <v>199.44306599999999</v>
      </c>
      <c r="E19" s="5">
        <v>580000</v>
      </c>
      <c r="F19" s="5">
        <v>20000</v>
      </c>
      <c r="G19" s="6">
        <v>0.6</v>
      </c>
      <c r="H19" s="6">
        <f t="shared" si="9"/>
        <v>1.0596465894967892</v>
      </c>
      <c r="L19" s="19" t="s">
        <v>143</v>
      </c>
      <c r="M19" s="20">
        <v>0.91439999999999999</v>
      </c>
      <c r="N19" s="20">
        <f>3.6576+2*0.25*M19</f>
        <v>4.1147999999999998</v>
      </c>
      <c r="O19" s="22">
        <f t="shared" ref="O19" si="18">M19+0.0254</f>
        <v>0.93979999999999997</v>
      </c>
      <c r="P19" s="22">
        <f t="shared" ref="P19" si="19">PI()*(O19*O19-M19*M19)/4</f>
        <v>3.6989645974117337E-2</v>
      </c>
      <c r="Q19" s="22">
        <f t="shared" ref="Q19" si="20">P19*N19</f>
        <v>0.15220499525429801</v>
      </c>
      <c r="R19" s="21">
        <v>8000</v>
      </c>
      <c r="S19" s="20">
        <f t="shared" ref="S19" si="21">R19*Q19</f>
        <v>1217.6399620343841</v>
      </c>
      <c r="T19" s="29"/>
    </row>
    <row r="20" spans="1:20" x14ac:dyDescent="0.25">
      <c r="A20" s="56" t="s">
        <v>107</v>
      </c>
      <c r="B20" s="57"/>
      <c r="C20" s="57"/>
      <c r="D20" s="57"/>
      <c r="E20" s="57"/>
      <c r="F20" s="57"/>
      <c r="G20" s="57"/>
      <c r="H20" s="58"/>
      <c r="L20" s="19" t="s">
        <v>144</v>
      </c>
      <c r="M20" s="20">
        <v>1.2192000000000001</v>
      </c>
      <c r="N20" s="20">
        <f>3.6576+2*0.25*M20</f>
        <v>4.2671999999999999</v>
      </c>
      <c r="O20" s="22">
        <f t="shared" ref="O20:O21" si="22">M20+0.0254</f>
        <v>1.2446000000000002</v>
      </c>
      <c r="P20" s="22">
        <f t="shared" ref="P20:P21" si="23">PI()*(O20*O20-M20*M20)/4</f>
        <v>4.9150625472457479E-2</v>
      </c>
      <c r="Q20" s="22">
        <f t="shared" ref="Q20:Q21" si="24">P20*N20</f>
        <v>0.20973554901607055</v>
      </c>
      <c r="R20" s="21">
        <v>8000</v>
      </c>
      <c r="S20" s="20">
        <f t="shared" ref="S20:S21" si="25">R20*Q20</f>
        <v>1677.8843921285645</v>
      </c>
      <c r="T20" s="29"/>
    </row>
    <row r="21" spans="1:20" x14ac:dyDescent="0.25">
      <c r="A21" s="29" t="s">
        <v>111</v>
      </c>
      <c r="B21" s="29" t="s">
        <v>110</v>
      </c>
      <c r="C21" s="29" t="s">
        <v>112</v>
      </c>
      <c r="D21" s="6">
        <v>25.4543136666667</v>
      </c>
      <c r="E21" s="5">
        <v>8000</v>
      </c>
      <c r="F21" s="5">
        <v>240</v>
      </c>
      <c r="G21" s="6">
        <v>0.9</v>
      </c>
      <c r="H21" s="6">
        <f>(E21+(F21*(D21^G21)))/1000000</f>
        <v>1.2419737681710704E-2</v>
      </c>
      <c r="L21" s="31" t="s">
        <v>147</v>
      </c>
      <c r="M21" s="31">
        <v>1.8288</v>
      </c>
      <c r="N21" s="20">
        <f t="shared" ref="N21:N22" si="26">0.6096*T21</f>
        <v>6.0960000000000001</v>
      </c>
      <c r="O21" s="32">
        <f t="shared" si="22"/>
        <v>1.8542000000000001</v>
      </c>
      <c r="P21" s="32">
        <f t="shared" si="23"/>
        <v>7.3472584469137403E-2</v>
      </c>
      <c r="Q21" s="32">
        <f t="shared" si="24"/>
        <v>0.44788887492386159</v>
      </c>
      <c r="R21" s="33">
        <v>8000</v>
      </c>
      <c r="S21" s="31">
        <f t="shared" si="25"/>
        <v>3583.1109993908926</v>
      </c>
      <c r="T21" s="34">
        <v>10</v>
      </c>
    </row>
    <row r="22" spans="1:20" x14ac:dyDescent="0.25">
      <c r="A22" s="56" t="s">
        <v>108</v>
      </c>
      <c r="B22" s="57"/>
      <c r="C22" s="57"/>
      <c r="D22" s="57"/>
      <c r="E22" s="57"/>
      <c r="F22" s="57"/>
      <c r="G22" s="57"/>
      <c r="H22" s="58"/>
      <c r="L22" s="31" t="s">
        <v>148</v>
      </c>
      <c r="M22" s="31">
        <v>0.91439999999999999</v>
      </c>
      <c r="N22" s="20">
        <f t="shared" si="26"/>
        <v>6.0960000000000001</v>
      </c>
      <c r="O22" s="32">
        <f t="shared" ref="O22" si="27">M22+0.0254</f>
        <v>0.93979999999999997</v>
      </c>
      <c r="P22" s="32">
        <f t="shared" ref="P22" si="28">PI()*(O22*O22-M22*M22)/4</f>
        <v>3.6989645974117337E-2</v>
      </c>
      <c r="Q22" s="32">
        <f t="shared" ref="Q22" si="29">P22*N22</f>
        <v>0.22548888185821928</v>
      </c>
      <c r="R22" s="33">
        <v>8000</v>
      </c>
      <c r="S22" s="31">
        <f t="shared" ref="S22" si="30">R22*Q22</f>
        <v>1803.9110548657543</v>
      </c>
      <c r="T22" s="34">
        <v>10</v>
      </c>
    </row>
    <row r="23" spans="1:20" x14ac:dyDescent="0.25">
      <c r="A23" s="29" t="s">
        <v>109</v>
      </c>
      <c r="B23" s="29" t="s">
        <v>109</v>
      </c>
      <c r="C23" s="29" t="s">
        <v>80</v>
      </c>
      <c r="D23" s="6">
        <v>297.60548</v>
      </c>
      <c r="E23" s="5">
        <v>-14000</v>
      </c>
      <c r="F23" s="5">
        <v>1900</v>
      </c>
      <c r="G23" s="6">
        <v>0.75</v>
      </c>
      <c r="H23" s="6">
        <f t="shared" ref="H23:H24" si="31">(E23+(F23*(D23^G23)))/1000000</f>
        <v>0.12213954471164089</v>
      </c>
    </row>
    <row r="24" spans="1:20" x14ac:dyDescent="0.25">
      <c r="A24" s="29" t="s">
        <v>109</v>
      </c>
      <c r="B24" s="29" t="s">
        <v>109</v>
      </c>
      <c r="C24" s="29" t="s">
        <v>80</v>
      </c>
      <c r="D24" s="6">
        <v>258.69505199999998</v>
      </c>
      <c r="E24" s="5">
        <v>-14000</v>
      </c>
      <c r="F24" s="5">
        <v>1900</v>
      </c>
      <c r="G24" s="6">
        <v>0.75</v>
      </c>
      <c r="H24" s="6">
        <f t="shared" si="31"/>
        <v>0.10855885433114162</v>
      </c>
    </row>
    <row r="25" spans="1:20" x14ac:dyDescent="0.25">
      <c r="A25" s="56" t="s">
        <v>68</v>
      </c>
      <c r="B25" s="57"/>
      <c r="C25" s="57"/>
      <c r="D25" s="57"/>
      <c r="E25" s="57"/>
      <c r="F25" s="57"/>
      <c r="G25" s="57"/>
      <c r="H25" s="58"/>
      <c r="I25" s="13" t="s">
        <v>81</v>
      </c>
      <c r="J25" s="13" t="s">
        <v>82</v>
      </c>
      <c r="M25" t="s">
        <v>78</v>
      </c>
      <c r="N25" s="18">
        <f>SUM(H14:H19)</f>
        <v>7.0080463575669301</v>
      </c>
    </row>
    <row r="26" spans="1:20" x14ac:dyDescent="0.25">
      <c r="A26" s="29" t="s">
        <v>113</v>
      </c>
      <c r="B26" s="29" t="s">
        <v>47</v>
      </c>
      <c r="C26" s="29" t="s">
        <v>48</v>
      </c>
      <c r="D26" s="12">
        <f>I26/J26</f>
        <v>282.77429850797699</v>
      </c>
      <c r="E26" s="5">
        <v>28000</v>
      </c>
      <c r="F26" s="5">
        <v>54</v>
      </c>
      <c r="G26" s="6">
        <v>1.2</v>
      </c>
      <c r="H26" s="6">
        <f t="shared" ref="H26:H52" si="32">(E26+(F26*(D26^G26)))/1000000*J26</f>
        <v>0.15043906439990207</v>
      </c>
      <c r="I26" s="18">
        <v>565.54859701595399</v>
      </c>
      <c r="J26" s="30">
        <v>2</v>
      </c>
      <c r="M26" t="s">
        <v>107</v>
      </c>
      <c r="N26" s="18">
        <f>SUM(H21)</f>
        <v>1.2419737681710704E-2</v>
      </c>
    </row>
    <row r="27" spans="1:20" x14ac:dyDescent="0.25">
      <c r="A27" s="29" t="s">
        <v>114</v>
      </c>
      <c r="B27" s="29" t="s">
        <v>47</v>
      </c>
      <c r="C27" s="29" t="s">
        <v>48</v>
      </c>
      <c r="D27" s="12">
        <f t="shared" ref="D27:D52" si="33">I27/J27</f>
        <v>54.369783936564701</v>
      </c>
      <c r="E27" s="5">
        <v>28000</v>
      </c>
      <c r="F27" s="5">
        <v>54</v>
      </c>
      <c r="G27" s="6">
        <v>1.2</v>
      </c>
      <c r="H27" s="6">
        <f t="shared" si="32"/>
        <v>3.452864250801075E-2</v>
      </c>
      <c r="I27" s="18">
        <v>54.369783936564701</v>
      </c>
      <c r="J27" s="30">
        <v>1</v>
      </c>
      <c r="M27" t="s">
        <v>108</v>
      </c>
      <c r="N27" s="18">
        <f>SUM(H23:H24)</f>
        <v>0.2306983990427825</v>
      </c>
    </row>
    <row r="28" spans="1:20" x14ac:dyDescent="0.25">
      <c r="A28" s="29" t="s">
        <v>115</v>
      </c>
      <c r="B28" s="29" t="s">
        <v>47</v>
      </c>
      <c r="C28" s="29" t="s">
        <v>48</v>
      </c>
      <c r="D28" s="12">
        <f t="shared" si="33"/>
        <v>17.191756694798151</v>
      </c>
      <c r="E28" s="5">
        <v>28000</v>
      </c>
      <c r="F28" s="5">
        <v>54</v>
      </c>
      <c r="G28" s="6">
        <v>1.2</v>
      </c>
      <c r="H28" s="6">
        <f t="shared" si="32"/>
        <v>5.9279503229646834E-2</v>
      </c>
      <c r="I28" s="18">
        <v>34.383513389596303</v>
      </c>
      <c r="J28" s="30">
        <v>2</v>
      </c>
      <c r="K28" s="28"/>
      <c r="M28" t="s">
        <v>68</v>
      </c>
      <c r="N28" s="18">
        <f>SUM(H26:H52)</f>
        <v>1.9468800763913234</v>
      </c>
    </row>
    <row r="29" spans="1:20" x14ac:dyDescent="0.25">
      <c r="A29" s="29" t="s">
        <v>116</v>
      </c>
      <c r="B29" s="29" t="s">
        <v>47</v>
      </c>
      <c r="C29" s="29" t="s">
        <v>48</v>
      </c>
      <c r="D29" s="12">
        <f t="shared" si="33"/>
        <v>0.88519532479318097</v>
      </c>
      <c r="E29" s="5">
        <v>28000</v>
      </c>
      <c r="F29" s="5">
        <v>54</v>
      </c>
      <c r="G29" s="6">
        <v>1.2</v>
      </c>
      <c r="H29" s="6">
        <f t="shared" si="32"/>
        <v>2.8046648823336545E-2</v>
      </c>
      <c r="I29" s="18">
        <v>0.88519532479318097</v>
      </c>
      <c r="J29" s="30">
        <v>1</v>
      </c>
      <c r="K29" s="28"/>
      <c r="M29" t="s">
        <v>49</v>
      </c>
      <c r="N29" s="18">
        <f>SUM(H54:H56)</f>
        <v>0.59369223336753696</v>
      </c>
    </row>
    <row r="30" spans="1:20" x14ac:dyDescent="0.25">
      <c r="A30" s="29" t="s">
        <v>117</v>
      </c>
      <c r="B30" s="29" t="s">
        <v>47</v>
      </c>
      <c r="C30" s="29" t="s">
        <v>48</v>
      </c>
      <c r="D30" s="12">
        <f t="shared" si="33"/>
        <v>106.454995894381</v>
      </c>
      <c r="E30" s="5">
        <v>28000</v>
      </c>
      <c r="F30" s="5">
        <v>54</v>
      </c>
      <c r="G30" s="6">
        <v>1.2</v>
      </c>
      <c r="H30" s="6">
        <f t="shared" si="32"/>
        <v>8.5243073278319745E-2</v>
      </c>
      <c r="I30" s="18">
        <v>212.909991788762</v>
      </c>
      <c r="J30" s="30">
        <v>2</v>
      </c>
      <c r="K30" s="28"/>
      <c r="M30" t="s">
        <v>172</v>
      </c>
      <c r="N30" s="18">
        <f>SUM(H58:H68)</f>
        <v>0.58958079734891222</v>
      </c>
    </row>
    <row r="31" spans="1:20" x14ac:dyDescent="0.25">
      <c r="A31" s="29" t="s">
        <v>118</v>
      </c>
      <c r="B31" s="29" t="s">
        <v>47</v>
      </c>
      <c r="C31" s="29" t="s">
        <v>48</v>
      </c>
      <c r="D31" s="12">
        <f t="shared" si="33"/>
        <v>154.99445065388232</v>
      </c>
      <c r="E31" s="5">
        <v>28000</v>
      </c>
      <c r="F31" s="5">
        <v>54</v>
      </c>
      <c r="G31" s="6">
        <v>1.2</v>
      </c>
      <c r="H31" s="6">
        <f t="shared" si="32"/>
        <v>0.15284848586262736</v>
      </c>
      <c r="I31" s="18">
        <v>464.98335196164697</v>
      </c>
      <c r="J31" s="30">
        <v>3</v>
      </c>
      <c r="N31" s="18">
        <f>SUM(N25:N30)</f>
        <v>10.381317601399196</v>
      </c>
    </row>
    <row r="32" spans="1:20" x14ac:dyDescent="0.25">
      <c r="A32" s="29" t="s">
        <v>119</v>
      </c>
      <c r="B32" s="29" t="s">
        <v>47</v>
      </c>
      <c r="C32" s="29" t="s">
        <v>48</v>
      </c>
      <c r="D32" s="12">
        <f t="shared" si="33"/>
        <v>1.7461325013090201</v>
      </c>
      <c r="E32" s="5">
        <v>28000</v>
      </c>
      <c r="F32" s="5">
        <v>54</v>
      </c>
      <c r="G32" s="6">
        <v>1.2</v>
      </c>
      <c r="H32" s="6">
        <f t="shared" si="32"/>
        <v>2.8105411112074472E-2</v>
      </c>
      <c r="I32" s="18">
        <v>1.7461325013090201</v>
      </c>
      <c r="J32" s="30">
        <v>1</v>
      </c>
      <c r="N32" s="18"/>
    </row>
    <row r="33" spans="1:10" x14ac:dyDescent="0.25">
      <c r="A33" s="29" t="s">
        <v>120</v>
      </c>
      <c r="B33" s="29" t="s">
        <v>47</v>
      </c>
      <c r="C33" s="29" t="s">
        <v>48</v>
      </c>
      <c r="D33" s="12">
        <f t="shared" si="33"/>
        <v>100.09702946905399</v>
      </c>
      <c r="E33" s="5">
        <v>28000</v>
      </c>
      <c r="F33" s="5">
        <v>54</v>
      </c>
      <c r="G33" s="6">
        <v>1.2</v>
      </c>
      <c r="H33" s="6">
        <f t="shared" si="32"/>
        <v>4.1579981772230198E-2</v>
      </c>
      <c r="I33" s="18">
        <v>100.09702946905399</v>
      </c>
      <c r="J33" s="30">
        <v>1</v>
      </c>
    </row>
    <row r="34" spans="1:10" x14ac:dyDescent="0.25">
      <c r="A34" s="29" t="s">
        <v>121</v>
      </c>
      <c r="B34" s="29" t="s">
        <v>47</v>
      </c>
      <c r="C34" s="29" t="s">
        <v>48</v>
      </c>
      <c r="D34" s="12">
        <f t="shared" si="33"/>
        <v>80.091114941769206</v>
      </c>
      <c r="E34" s="5">
        <v>28000</v>
      </c>
      <c r="F34" s="5">
        <v>54</v>
      </c>
      <c r="G34" s="6">
        <v>1.2</v>
      </c>
      <c r="H34" s="6">
        <f t="shared" si="32"/>
        <v>3.8391900198135785E-2</v>
      </c>
      <c r="I34" s="18">
        <v>80.091114941769206</v>
      </c>
      <c r="J34" s="30">
        <v>1</v>
      </c>
    </row>
    <row r="35" spans="1:10" x14ac:dyDescent="0.25">
      <c r="A35" s="29" t="s">
        <v>122</v>
      </c>
      <c r="B35" s="29" t="s">
        <v>47</v>
      </c>
      <c r="C35" s="29" t="s">
        <v>48</v>
      </c>
      <c r="D35" s="12">
        <f t="shared" si="33"/>
        <v>201.510168904718</v>
      </c>
      <c r="E35" s="5">
        <v>28000</v>
      </c>
      <c r="F35" s="5">
        <v>54</v>
      </c>
      <c r="G35" s="6">
        <v>1.2</v>
      </c>
      <c r="H35" s="6">
        <f t="shared" si="32"/>
        <v>5.9444892928597851E-2</v>
      </c>
      <c r="I35" s="18">
        <v>201.510168904718</v>
      </c>
      <c r="J35" s="30">
        <v>1</v>
      </c>
    </row>
    <row r="36" spans="1:10" x14ac:dyDescent="0.25">
      <c r="A36" s="29" t="s">
        <v>123</v>
      </c>
      <c r="B36" s="29" t="s">
        <v>47</v>
      </c>
      <c r="C36" s="29" t="s">
        <v>48</v>
      </c>
      <c r="D36" s="12">
        <f t="shared" si="33"/>
        <v>131.62623653896401</v>
      </c>
      <c r="E36" s="5">
        <v>28000</v>
      </c>
      <c r="F36" s="5">
        <v>54</v>
      </c>
      <c r="G36" s="6">
        <v>1.2</v>
      </c>
      <c r="H36" s="6">
        <f t="shared" si="32"/>
        <v>4.6862737315696068E-2</v>
      </c>
      <c r="I36" s="18">
        <v>131.62623653896401</v>
      </c>
      <c r="J36" s="30">
        <v>1</v>
      </c>
    </row>
    <row r="37" spans="1:10" x14ac:dyDescent="0.25">
      <c r="A37" s="29" t="s">
        <v>124</v>
      </c>
      <c r="B37" s="29" t="s">
        <v>47</v>
      </c>
      <c r="C37" s="29" t="s">
        <v>48</v>
      </c>
      <c r="D37" s="12">
        <f t="shared" si="33"/>
        <v>100.60443653697</v>
      </c>
      <c r="E37" s="5">
        <v>28000</v>
      </c>
      <c r="F37" s="5">
        <v>54</v>
      </c>
      <c r="G37" s="6">
        <v>1.2</v>
      </c>
      <c r="H37" s="6">
        <f t="shared" si="32"/>
        <v>4.1662630382262478E-2</v>
      </c>
      <c r="I37" s="18">
        <v>100.60443653697</v>
      </c>
      <c r="J37" s="30">
        <v>1</v>
      </c>
    </row>
    <row r="38" spans="1:10" x14ac:dyDescent="0.25">
      <c r="A38" s="29" t="s">
        <v>125</v>
      </c>
      <c r="B38" s="29" t="s">
        <v>47</v>
      </c>
      <c r="C38" s="29" t="s">
        <v>48</v>
      </c>
      <c r="D38" s="12">
        <f t="shared" si="33"/>
        <v>53.678384583522501</v>
      </c>
      <c r="E38" s="5">
        <v>28000</v>
      </c>
      <c r="F38" s="5">
        <v>54</v>
      </c>
      <c r="G38" s="6">
        <v>1.2</v>
      </c>
      <c r="H38" s="6">
        <f t="shared" si="32"/>
        <v>6.8858285977103098E-2</v>
      </c>
      <c r="I38" s="18">
        <v>107.356769167045</v>
      </c>
      <c r="J38" s="30">
        <v>2</v>
      </c>
    </row>
    <row r="39" spans="1:10" x14ac:dyDescent="0.25">
      <c r="A39" s="29" t="s">
        <v>126</v>
      </c>
      <c r="B39" s="29" t="s">
        <v>47</v>
      </c>
      <c r="C39" s="29" t="s">
        <v>48</v>
      </c>
      <c r="D39" s="12">
        <f t="shared" si="33"/>
        <v>27.765612693284002</v>
      </c>
      <c r="E39" s="5">
        <v>28000</v>
      </c>
      <c r="F39" s="5">
        <v>54</v>
      </c>
      <c r="G39" s="6">
        <v>1.2</v>
      </c>
      <c r="H39" s="6">
        <f t="shared" si="32"/>
        <v>3.0914757801694125E-2</v>
      </c>
      <c r="I39" s="18">
        <v>27.765612693284002</v>
      </c>
      <c r="J39" s="30">
        <v>1</v>
      </c>
    </row>
    <row r="40" spans="1:10" x14ac:dyDescent="0.25">
      <c r="A40" s="29" t="s">
        <v>127</v>
      </c>
      <c r="B40" s="29" t="s">
        <v>47</v>
      </c>
      <c r="C40" s="29" t="s">
        <v>48</v>
      </c>
      <c r="D40" s="12">
        <f t="shared" si="33"/>
        <v>106.765110115875</v>
      </c>
      <c r="E40" s="5">
        <v>28000</v>
      </c>
      <c r="F40" s="5">
        <v>54</v>
      </c>
      <c r="G40" s="6">
        <v>1.2</v>
      </c>
      <c r="H40" s="6">
        <f t="shared" si="32"/>
        <v>4.2672664343860529E-2</v>
      </c>
      <c r="I40" s="18">
        <v>106.765110115875</v>
      </c>
      <c r="J40" s="30">
        <v>1</v>
      </c>
    </row>
    <row r="41" spans="1:10" x14ac:dyDescent="0.25">
      <c r="A41" s="29" t="s">
        <v>128</v>
      </c>
      <c r="B41" s="29" t="s">
        <v>47</v>
      </c>
      <c r="C41" s="29" t="s">
        <v>48</v>
      </c>
      <c r="D41" s="12">
        <f t="shared" si="33"/>
        <v>45.191536978991898</v>
      </c>
      <c r="E41" s="5">
        <v>28000</v>
      </c>
      <c r="F41" s="5">
        <v>54</v>
      </c>
      <c r="G41" s="6">
        <v>1.2</v>
      </c>
      <c r="H41" s="6">
        <f t="shared" si="32"/>
        <v>6.6459051223761112E-2</v>
      </c>
      <c r="I41" s="18">
        <v>90.383073957983797</v>
      </c>
      <c r="J41" s="30">
        <v>2</v>
      </c>
    </row>
    <row r="42" spans="1:10" x14ac:dyDescent="0.25">
      <c r="A42" s="29" t="s">
        <v>129</v>
      </c>
      <c r="B42" s="29" t="s">
        <v>47</v>
      </c>
      <c r="C42" s="29" t="s">
        <v>48</v>
      </c>
      <c r="D42" s="12">
        <f t="shared" si="33"/>
        <v>196.13955878871101</v>
      </c>
      <c r="E42" s="5">
        <v>28000</v>
      </c>
      <c r="F42" s="5">
        <v>54</v>
      </c>
      <c r="G42" s="6">
        <v>1.2</v>
      </c>
      <c r="H42" s="6">
        <f t="shared" si="32"/>
        <v>0.11688383331890183</v>
      </c>
      <c r="I42" s="18">
        <v>392.27911757742203</v>
      </c>
      <c r="J42" s="30">
        <v>2</v>
      </c>
    </row>
    <row r="43" spans="1:10" x14ac:dyDescent="0.25">
      <c r="A43" s="29" t="s">
        <v>130</v>
      </c>
      <c r="B43" s="29" t="s">
        <v>47</v>
      </c>
      <c r="C43" s="29" t="s">
        <v>48</v>
      </c>
      <c r="D43" s="12">
        <f t="shared" si="33"/>
        <v>356.87316324222002</v>
      </c>
      <c r="E43" s="5">
        <v>28000</v>
      </c>
      <c r="F43" s="5">
        <v>54</v>
      </c>
      <c r="G43" s="6">
        <v>1.2</v>
      </c>
      <c r="H43" s="6">
        <f t="shared" si="32"/>
        <v>0.27129737166346307</v>
      </c>
      <c r="I43" s="18">
        <v>1070.61948972666</v>
      </c>
      <c r="J43" s="30">
        <v>3</v>
      </c>
    </row>
    <row r="44" spans="1:10" x14ac:dyDescent="0.25">
      <c r="A44" s="29" t="s">
        <v>131</v>
      </c>
      <c r="B44" s="29" t="s">
        <v>47</v>
      </c>
      <c r="C44" s="29" t="s">
        <v>48</v>
      </c>
      <c r="D44" s="12">
        <f t="shared" si="33"/>
        <v>165.03538406536902</v>
      </c>
      <c r="E44" s="5">
        <v>28000</v>
      </c>
      <c r="F44" s="5">
        <v>54</v>
      </c>
      <c r="G44" s="6">
        <v>1.2</v>
      </c>
      <c r="H44" s="6">
        <f t="shared" si="32"/>
        <v>0.15823479206264929</v>
      </c>
      <c r="I44" s="18">
        <v>495.10615219610702</v>
      </c>
      <c r="J44" s="30">
        <v>3</v>
      </c>
    </row>
    <row r="45" spans="1:10" x14ac:dyDescent="0.25">
      <c r="A45" s="29" t="s">
        <v>132</v>
      </c>
      <c r="B45" s="29" t="s">
        <v>47</v>
      </c>
      <c r="C45" s="29" t="s">
        <v>48</v>
      </c>
      <c r="D45" s="12">
        <f t="shared" si="33"/>
        <v>55.768213178256502</v>
      </c>
      <c r="E45" s="5">
        <v>28000</v>
      </c>
      <c r="F45" s="5">
        <v>54</v>
      </c>
      <c r="G45" s="6">
        <v>1.2</v>
      </c>
      <c r="H45" s="6">
        <f t="shared" si="32"/>
        <v>6.9461325671317256E-2</v>
      </c>
      <c r="I45" s="18">
        <v>111.536426356513</v>
      </c>
      <c r="J45" s="30">
        <v>2</v>
      </c>
    </row>
    <row r="46" spans="1:10" x14ac:dyDescent="0.25">
      <c r="A46" s="29" t="s">
        <v>133</v>
      </c>
      <c r="B46" s="29" t="s">
        <v>47</v>
      </c>
      <c r="C46" s="29" t="s">
        <v>48</v>
      </c>
      <c r="D46" s="12">
        <f t="shared" si="33"/>
        <v>16.675027714596752</v>
      </c>
      <c r="E46" s="5">
        <v>28000</v>
      </c>
      <c r="F46" s="5">
        <v>54</v>
      </c>
      <c r="G46" s="6">
        <v>1.2</v>
      </c>
      <c r="H46" s="6">
        <f t="shared" si="32"/>
        <v>5.9161576048393318E-2</v>
      </c>
      <c r="I46" s="18">
        <v>33.350055429193503</v>
      </c>
      <c r="J46" s="30">
        <v>2</v>
      </c>
    </row>
    <row r="47" spans="1:10" x14ac:dyDescent="0.25">
      <c r="A47" s="29" t="s">
        <v>134</v>
      </c>
      <c r="B47" s="29" t="s">
        <v>47</v>
      </c>
      <c r="C47" s="29" t="s">
        <v>48</v>
      </c>
      <c r="D47" s="12">
        <f t="shared" si="33"/>
        <v>16.318556771837802</v>
      </c>
      <c r="E47" s="5">
        <v>28000</v>
      </c>
      <c r="F47" s="5">
        <v>54</v>
      </c>
      <c r="G47" s="6">
        <v>1.2</v>
      </c>
      <c r="H47" s="6">
        <f t="shared" si="32"/>
        <v>2.9540323197041356E-2</v>
      </c>
      <c r="I47" s="18">
        <v>16.318556771837802</v>
      </c>
      <c r="J47" s="30">
        <v>1</v>
      </c>
    </row>
    <row r="48" spans="1:10" x14ac:dyDescent="0.25">
      <c r="A48" s="29" t="s">
        <v>135</v>
      </c>
      <c r="B48" s="29" t="s">
        <v>47</v>
      </c>
      <c r="C48" s="29" t="s">
        <v>48</v>
      </c>
      <c r="D48" s="12">
        <f t="shared" si="33"/>
        <v>67.469366454462602</v>
      </c>
      <c r="E48" s="5">
        <v>28000</v>
      </c>
      <c r="F48" s="5">
        <v>54</v>
      </c>
      <c r="G48" s="6">
        <v>1.2</v>
      </c>
      <c r="H48" s="6">
        <f t="shared" si="32"/>
        <v>3.6459052460637034E-2</v>
      </c>
      <c r="I48" s="18">
        <v>67.469366454462602</v>
      </c>
      <c r="J48" s="30">
        <v>1</v>
      </c>
    </row>
    <row r="49" spans="1:10" x14ac:dyDescent="0.25">
      <c r="A49" s="29" t="s">
        <v>136</v>
      </c>
      <c r="B49" s="29" t="s">
        <v>47</v>
      </c>
      <c r="C49" s="29" t="s">
        <v>48</v>
      </c>
      <c r="D49" s="12">
        <f t="shared" si="33"/>
        <v>125.87305908002951</v>
      </c>
      <c r="E49" s="5">
        <v>28000</v>
      </c>
      <c r="F49" s="5">
        <v>54</v>
      </c>
      <c r="G49" s="6">
        <v>1.2</v>
      </c>
      <c r="H49" s="6">
        <f t="shared" si="32"/>
        <v>9.1755520111637151E-2</v>
      </c>
      <c r="I49" s="18">
        <v>251.74611816005901</v>
      </c>
      <c r="J49" s="30">
        <v>2</v>
      </c>
    </row>
    <row r="50" spans="1:10" x14ac:dyDescent="0.25">
      <c r="A50" s="29" t="s">
        <v>137</v>
      </c>
      <c r="B50" s="29" t="s">
        <v>47</v>
      </c>
      <c r="C50" s="29" t="s">
        <v>48</v>
      </c>
      <c r="D50" s="12">
        <f t="shared" si="33"/>
        <v>81.222443545705005</v>
      </c>
      <c r="E50" s="5">
        <v>28000</v>
      </c>
      <c r="F50" s="5">
        <v>54</v>
      </c>
      <c r="G50" s="6">
        <v>1.2</v>
      </c>
      <c r="H50" s="6">
        <f t="shared" si="32"/>
        <v>7.7136594546064433E-2</v>
      </c>
      <c r="I50" s="18">
        <v>162.44488709141001</v>
      </c>
      <c r="J50" s="30">
        <v>2</v>
      </c>
    </row>
    <row r="51" spans="1:10" x14ac:dyDescent="0.25">
      <c r="A51" s="29" t="s">
        <v>138</v>
      </c>
      <c r="B51" s="29" t="s">
        <v>47</v>
      </c>
      <c r="C51" s="29" t="s">
        <v>48</v>
      </c>
      <c r="D51" s="12">
        <f t="shared" si="33"/>
        <v>47.780409859719299</v>
      </c>
      <c r="E51" s="5">
        <v>28000</v>
      </c>
      <c r="F51" s="5">
        <v>54</v>
      </c>
      <c r="G51" s="6">
        <v>1.2</v>
      </c>
      <c r="H51" s="6">
        <f t="shared" si="32"/>
        <v>3.3591052943906428E-2</v>
      </c>
      <c r="I51" s="18">
        <v>47.780409859719299</v>
      </c>
      <c r="J51" s="30">
        <v>1</v>
      </c>
    </row>
    <row r="52" spans="1:10" x14ac:dyDescent="0.25">
      <c r="A52" s="29" t="s">
        <v>139</v>
      </c>
      <c r="B52" s="29" t="s">
        <v>47</v>
      </c>
      <c r="C52" s="29" t="s">
        <v>48</v>
      </c>
      <c r="D52" s="12">
        <f t="shared" si="33"/>
        <v>0.45343602435827401</v>
      </c>
      <c r="E52" s="5">
        <v>28000</v>
      </c>
      <c r="F52" s="5">
        <v>54</v>
      </c>
      <c r="G52" s="6">
        <v>1.2</v>
      </c>
      <c r="H52" s="6">
        <f t="shared" si="32"/>
        <v>2.8020903210053644E-2</v>
      </c>
      <c r="I52" s="18">
        <v>0.45343602435827401</v>
      </c>
      <c r="J52" s="30">
        <v>1</v>
      </c>
    </row>
    <row r="53" spans="1:10" x14ac:dyDescent="0.25">
      <c r="A53" s="59" t="s">
        <v>49</v>
      </c>
      <c r="B53" s="60"/>
      <c r="C53" s="60"/>
      <c r="D53" s="60"/>
      <c r="E53" s="60"/>
      <c r="F53" s="60"/>
      <c r="G53" s="60"/>
      <c r="H53" s="61"/>
    </row>
    <row r="54" spans="1:10" x14ac:dyDescent="0.25">
      <c r="A54" s="29" t="s">
        <v>69</v>
      </c>
      <c r="B54" s="3" t="s">
        <v>69</v>
      </c>
      <c r="C54" s="3" t="s">
        <v>50</v>
      </c>
      <c r="D54" s="6">
        <f>S13</f>
        <v>1307.835514777672</v>
      </c>
      <c r="E54" s="5">
        <v>17400</v>
      </c>
      <c r="F54" s="5">
        <v>79</v>
      </c>
      <c r="G54" s="6">
        <v>0.85</v>
      </c>
      <c r="H54" s="6">
        <f>(E54+(F54*(D54^G54)))/1000000</f>
        <v>5.2612531533921945E-2</v>
      </c>
    </row>
    <row r="55" spans="1:10" x14ac:dyDescent="0.25">
      <c r="A55" s="29" t="s">
        <v>69</v>
      </c>
      <c r="B55" s="29" t="s">
        <v>69</v>
      </c>
      <c r="C55" s="29" t="s">
        <v>50</v>
      </c>
      <c r="D55" s="6">
        <f>S14</f>
        <v>1307.835514777672</v>
      </c>
      <c r="E55" s="5">
        <v>17400</v>
      </c>
      <c r="F55" s="5">
        <v>79</v>
      </c>
      <c r="G55" s="6">
        <v>0.85</v>
      </c>
      <c r="H55" s="6">
        <f t="shared" ref="H55:H56" si="34">(E55+(F55*(D55^G55)))/1000000</f>
        <v>5.2612531533921945E-2</v>
      </c>
    </row>
    <row r="56" spans="1:10" x14ac:dyDescent="0.25">
      <c r="A56" s="29" t="s">
        <v>69</v>
      </c>
      <c r="B56" s="29" t="s">
        <v>69</v>
      </c>
      <c r="C56" s="29" t="s">
        <v>50</v>
      </c>
      <c r="D56" s="6">
        <f>S15</f>
        <v>27651.114693402622</v>
      </c>
      <c r="E56" s="5">
        <v>17400</v>
      </c>
      <c r="F56" s="5">
        <v>79</v>
      </c>
      <c r="G56" s="6">
        <v>0.85</v>
      </c>
      <c r="H56" s="6">
        <f t="shared" si="34"/>
        <v>0.48846717029969311</v>
      </c>
    </row>
    <row r="57" spans="1:10" x14ac:dyDescent="0.25">
      <c r="A57" s="56" t="s">
        <v>76</v>
      </c>
      <c r="B57" s="57"/>
      <c r="C57" s="57"/>
      <c r="D57" s="57"/>
      <c r="E57" s="57"/>
      <c r="F57" s="57"/>
      <c r="G57" s="57"/>
      <c r="H57" s="58"/>
    </row>
    <row r="58" spans="1:10" x14ac:dyDescent="0.25">
      <c r="A58" s="29" t="s">
        <v>69</v>
      </c>
      <c r="B58" s="29" t="s">
        <v>69</v>
      </c>
      <c r="C58" s="29" t="s">
        <v>50</v>
      </c>
      <c r="D58" s="6">
        <f>S16</f>
        <v>1444.0555105303788</v>
      </c>
      <c r="E58" s="5">
        <v>17400</v>
      </c>
      <c r="F58" s="5">
        <v>79</v>
      </c>
      <c r="G58" s="6">
        <v>0.85</v>
      </c>
      <c r="H58" s="6">
        <f>(E58+(F58*(D58^G58)))/1000000</f>
        <v>5.5706581427338794E-2</v>
      </c>
    </row>
    <row r="59" spans="1:10" x14ac:dyDescent="0.25">
      <c r="A59" s="29" t="s">
        <v>69</v>
      </c>
      <c r="B59" s="3" t="s">
        <v>69</v>
      </c>
      <c r="C59" s="3" t="s">
        <v>50</v>
      </c>
      <c r="D59" s="6">
        <f>S17</f>
        <v>1217.6399620343841</v>
      </c>
      <c r="E59" s="5">
        <v>17400</v>
      </c>
      <c r="F59" s="5">
        <v>79</v>
      </c>
      <c r="G59" s="6">
        <v>0.85</v>
      </c>
      <c r="H59" s="6">
        <f>(E59+(F59*(D59^G59)))/1000000</f>
        <v>5.0537378641888009E-2</v>
      </c>
    </row>
    <row r="60" spans="1:10" x14ac:dyDescent="0.25">
      <c r="A60" s="29" t="s">
        <v>69</v>
      </c>
      <c r="B60" s="3" t="s">
        <v>69</v>
      </c>
      <c r="C60" s="3" t="s">
        <v>50</v>
      </c>
      <c r="D60" s="6">
        <f>S18</f>
        <v>1677.8843921285645</v>
      </c>
      <c r="E60" s="5">
        <v>17400</v>
      </c>
      <c r="F60" s="5">
        <v>79</v>
      </c>
      <c r="G60" s="6">
        <v>0.85</v>
      </c>
      <c r="H60" s="6">
        <f t="shared" ref="H60" si="35">(E60+(F60*(D60^G60)))/1000000</f>
        <v>6.0918590457838311E-2</v>
      </c>
    </row>
    <row r="61" spans="1:10" x14ac:dyDescent="0.25">
      <c r="A61" s="29" t="s">
        <v>69</v>
      </c>
      <c r="B61" s="29" t="s">
        <v>69</v>
      </c>
      <c r="C61" s="29" t="s">
        <v>50</v>
      </c>
      <c r="D61" s="6">
        <f>S19</f>
        <v>1217.6399620343841</v>
      </c>
      <c r="E61" s="5">
        <v>17400</v>
      </c>
      <c r="F61" s="5">
        <v>79</v>
      </c>
      <c r="G61" s="6">
        <v>0.85</v>
      </c>
      <c r="H61" s="6">
        <f t="shared" ref="H61:H62" si="36">(E61+(F61*(D61^G61)))/1000000</f>
        <v>5.0537378641888009E-2</v>
      </c>
    </row>
    <row r="62" spans="1:10" x14ac:dyDescent="0.25">
      <c r="A62" s="29" t="s">
        <v>69</v>
      </c>
      <c r="B62" s="29" t="s">
        <v>69</v>
      </c>
      <c r="C62" s="29" t="s">
        <v>50</v>
      </c>
      <c r="D62" s="6">
        <f>S20</f>
        <v>1677.8843921285645</v>
      </c>
      <c r="E62" s="5">
        <v>17400</v>
      </c>
      <c r="F62" s="5">
        <v>79</v>
      </c>
      <c r="G62" s="6">
        <v>0.85</v>
      </c>
      <c r="H62" s="6">
        <f t="shared" si="36"/>
        <v>6.0918590457838311E-2</v>
      </c>
    </row>
    <row r="63" spans="1:10" x14ac:dyDescent="0.25">
      <c r="A63" s="56" t="s">
        <v>145</v>
      </c>
      <c r="B63" s="57"/>
      <c r="C63" s="57"/>
      <c r="D63" s="57"/>
      <c r="E63" s="57"/>
      <c r="F63" s="57"/>
      <c r="G63" s="57"/>
      <c r="H63" s="58"/>
    </row>
    <row r="64" spans="1:10" x14ac:dyDescent="0.25">
      <c r="A64" s="29" t="s">
        <v>83</v>
      </c>
      <c r="B64" s="29" t="s">
        <v>83</v>
      </c>
      <c r="C64" s="29" t="s">
        <v>50</v>
      </c>
      <c r="D64" s="6">
        <f>S21</f>
        <v>3583.1109993908926</v>
      </c>
      <c r="E64" s="5">
        <v>17400</v>
      </c>
      <c r="F64" s="5">
        <v>79</v>
      </c>
      <c r="G64" s="6">
        <v>0.85</v>
      </c>
      <c r="H64" s="6">
        <f t="shared" ref="H64" si="37">(E64+(F64*(D64^G64)))/1000000</f>
        <v>0.10033699849764587</v>
      </c>
      <c r="J64" s="45"/>
    </row>
    <row r="65" spans="1:13" x14ac:dyDescent="0.25">
      <c r="A65" s="29" t="s">
        <v>84</v>
      </c>
      <c r="B65" s="29" t="s">
        <v>85</v>
      </c>
      <c r="C65" s="29" t="s">
        <v>86</v>
      </c>
      <c r="D65" s="6">
        <f>M21</f>
        <v>1.8288</v>
      </c>
      <c r="E65" s="5">
        <v>210</v>
      </c>
      <c r="F65" s="5">
        <v>400</v>
      </c>
      <c r="G65" s="6">
        <v>1.9</v>
      </c>
      <c r="H65" s="6">
        <f>(E65+(F65*(D65^G65)))*T21/1000000*I65</f>
        <v>0.14694351097457692</v>
      </c>
      <c r="I65" s="43">
        <f>T21</f>
        <v>10</v>
      </c>
      <c r="J65" s="45"/>
    </row>
    <row r="66" spans="1:13" x14ac:dyDescent="0.25">
      <c r="A66" s="56" t="s">
        <v>146</v>
      </c>
      <c r="B66" s="57"/>
      <c r="C66" s="57"/>
      <c r="D66" s="57"/>
      <c r="E66" s="57"/>
      <c r="F66" s="57"/>
      <c r="G66" s="57"/>
      <c r="H66" s="58"/>
      <c r="I66" s="44"/>
      <c r="J66" s="45"/>
    </row>
    <row r="67" spans="1:13" x14ac:dyDescent="0.25">
      <c r="A67" s="29" t="s">
        <v>83</v>
      </c>
      <c r="B67" s="29" t="s">
        <v>83</v>
      </c>
      <c r="C67" s="29" t="s">
        <v>50</v>
      </c>
      <c r="D67" s="6">
        <f>S22</f>
        <v>1803.9110548657543</v>
      </c>
      <c r="E67" s="5">
        <v>17400</v>
      </c>
      <c r="F67" s="5">
        <v>79</v>
      </c>
      <c r="G67" s="6">
        <v>0.85</v>
      </c>
      <c r="H67" s="6">
        <f t="shared" ref="H67" si="38">(E67+(F67*(D67^G67)))/1000000</f>
        <v>6.368176824989806E-2</v>
      </c>
      <c r="I67" s="44"/>
      <c r="J67" s="45"/>
      <c r="M67" s="26"/>
    </row>
    <row r="68" spans="1:13" x14ac:dyDescent="0.25">
      <c r="A68" s="29" t="s">
        <v>84</v>
      </c>
      <c r="B68" s="29" t="s">
        <v>85</v>
      </c>
      <c r="C68" s="29" t="s">
        <v>86</v>
      </c>
      <c r="D68" s="6">
        <f>M22</f>
        <v>0.91439999999999999</v>
      </c>
      <c r="E68" s="5">
        <v>210</v>
      </c>
      <c r="F68" s="5">
        <v>400</v>
      </c>
      <c r="G68" s="6">
        <v>1.9</v>
      </c>
      <c r="H68" s="6">
        <f>(E68+(F68*(D68^G68)))*T24/1000000*I68</f>
        <v>0</v>
      </c>
      <c r="I68" s="43">
        <f>T22</f>
        <v>10</v>
      </c>
      <c r="J68" s="45"/>
      <c r="M68" s="26"/>
    </row>
    <row r="69" spans="1:13" x14ac:dyDescent="0.25">
      <c r="H69" s="23">
        <f>SUM(H14:H68)</f>
        <v>10.381317601399198</v>
      </c>
      <c r="J69" s="45"/>
    </row>
    <row r="70" spans="1:13" x14ac:dyDescent="0.25">
      <c r="A70" s="14" t="s">
        <v>33</v>
      </c>
      <c r="B70" s="12">
        <v>532.9</v>
      </c>
    </row>
    <row r="71" spans="1:13" x14ac:dyDescent="0.25">
      <c r="A71" s="14" t="s">
        <v>34</v>
      </c>
      <c r="B71" s="12">
        <v>607.5</v>
      </c>
    </row>
    <row r="72" spans="1:13" x14ac:dyDescent="0.25">
      <c r="A72" s="14" t="s">
        <v>90</v>
      </c>
      <c r="B72" s="12">
        <v>797.9</v>
      </c>
    </row>
    <row r="73" spans="1:13" x14ac:dyDescent="0.25">
      <c r="A73" s="14" t="s">
        <v>51</v>
      </c>
      <c r="B73" s="12">
        <f>H69*B71/B70</f>
        <v>11.834585180803177</v>
      </c>
    </row>
    <row r="74" spans="1:13" x14ac:dyDescent="0.25">
      <c r="A74" s="14" t="s">
        <v>91</v>
      </c>
      <c r="B74" s="12">
        <f>H69*B72/B70</f>
        <v>15.543729244054083</v>
      </c>
    </row>
    <row r="75" spans="1:13" x14ac:dyDescent="0.25">
      <c r="A75" s="24"/>
      <c r="B75" s="18"/>
    </row>
    <row r="76" spans="1:13" x14ac:dyDescent="0.25">
      <c r="B76" s="2">
        <v>2023</v>
      </c>
      <c r="C76" s="17"/>
      <c r="D76"/>
    </row>
    <row r="77" spans="1:13" x14ac:dyDescent="0.25">
      <c r="A77" s="14" t="s">
        <v>52</v>
      </c>
      <c r="B77" s="25">
        <f>(B74)*((1+C3)+(C2+C5+C4+C6+C7+C8)/C9)*C9</f>
        <v>58.13354737276228</v>
      </c>
      <c r="C77" s="17"/>
      <c r="D77"/>
    </row>
    <row r="78" spans="1:13" x14ac:dyDescent="0.25">
      <c r="A78" s="14" t="s">
        <v>53</v>
      </c>
      <c r="B78" s="25">
        <f>0.3*B77</f>
        <v>17.440064211828684</v>
      </c>
      <c r="C78" s="17"/>
      <c r="D78"/>
    </row>
    <row r="79" spans="1:13" x14ac:dyDescent="0.25">
      <c r="A79" s="14" t="s">
        <v>54</v>
      </c>
      <c r="B79" s="25">
        <f>0.3*SUM(B77:B78)</f>
        <v>22.672083475377288</v>
      </c>
      <c r="D79"/>
    </row>
    <row r="80" spans="1:13" x14ac:dyDescent="0.25">
      <c r="A80" s="14" t="s">
        <v>55</v>
      </c>
      <c r="B80" s="25">
        <f>0.1*SUM(B77:B78)</f>
        <v>7.5573611584590967</v>
      </c>
      <c r="D80"/>
    </row>
    <row r="81" spans="1:4" x14ac:dyDescent="0.25">
      <c r="A81" s="14" t="s">
        <v>56</v>
      </c>
      <c r="B81" s="25">
        <f>B77*(1+0.3)*(1+0.3+0.1)</f>
        <v>105.80305621842736</v>
      </c>
      <c r="D81"/>
    </row>
    <row r="82" spans="1:4" x14ac:dyDescent="0.25">
      <c r="A82" s="14" t="s">
        <v>59</v>
      </c>
      <c r="B82" s="25">
        <f>B81*0.15</f>
        <v>15.870458432764103</v>
      </c>
      <c r="D82"/>
    </row>
    <row r="83" spans="1:4" x14ac:dyDescent="0.25">
      <c r="A83" s="14" t="s">
        <v>57</v>
      </c>
      <c r="B83" s="25">
        <f>B81+B82</f>
        <v>121.67351465119145</v>
      </c>
      <c r="D83"/>
    </row>
    <row r="84" spans="1:4" x14ac:dyDescent="0.25">
      <c r="A84" s="14" t="s">
        <v>25</v>
      </c>
      <c r="B84" s="25">
        <v>25</v>
      </c>
      <c r="C84" s="17"/>
      <c r="D84"/>
    </row>
    <row r="85" spans="1:4" x14ac:dyDescent="0.25">
      <c r="A85" s="14" t="s">
        <v>26</v>
      </c>
      <c r="B85" s="25">
        <v>0.12</v>
      </c>
      <c r="C85" s="17"/>
      <c r="D85"/>
    </row>
    <row r="86" spans="1:4" x14ac:dyDescent="0.25">
      <c r="A86" s="14" t="s">
        <v>27</v>
      </c>
      <c r="B86" s="25">
        <f>(B85*((1+B85)^B84))/(((1+B85)^B84)-1)</f>
        <v>0.12749996980950773</v>
      </c>
      <c r="C86" s="17"/>
      <c r="D86"/>
    </row>
    <row r="87" spans="1:4" x14ac:dyDescent="0.25">
      <c r="A87" s="14" t="s">
        <v>58</v>
      </c>
      <c r="B87" s="25">
        <f>B86*B83</f>
        <v>15.513369444643606</v>
      </c>
      <c r="C87" s="17"/>
      <c r="D87"/>
    </row>
    <row r="88" spans="1:4" x14ac:dyDescent="0.25">
      <c r="A88" s="15" t="s">
        <v>35</v>
      </c>
      <c r="B88" s="11">
        <f>B87</f>
        <v>15.513369444643606</v>
      </c>
      <c r="C88" s="17"/>
      <c r="D88"/>
    </row>
    <row r="12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</sheetData>
  <mergeCells count="8">
    <mergeCell ref="A13:H13"/>
    <mergeCell ref="A66:H66"/>
    <mergeCell ref="A63:H63"/>
    <mergeCell ref="A25:H25"/>
    <mergeCell ref="A53:H53"/>
    <mergeCell ref="A57:H57"/>
    <mergeCell ref="A20:H20"/>
    <mergeCell ref="A22:H22"/>
  </mergeCells>
  <conditionalFormatting sqref="I26">
    <cfRule type="cellIs" dxfId="1" priority="7" operator="lessThanOrEqual">
      <formula>1000</formula>
    </cfRule>
  </conditionalFormatting>
  <conditionalFormatting sqref="I27:I52">
    <cfRule type="cellIs" dxfId="0" priority="4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2"/>
  <sheetViews>
    <sheetView zoomScale="115" zoomScaleNormal="115" workbookViewId="0">
      <selection activeCell="E7" sqref="E7"/>
    </sheetView>
  </sheetViews>
  <sheetFormatPr defaultColWidth="8.85546875" defaultRowHeight="15" x14ac:dyDescent="0.25"/>
  <cols>
    <col min="2" max="2" width="28" bestFit="1" customWidth="1"/>
    <col min="3" max="3" width="9.42578125" bestFit="1" customWidth="1"/>
    <col min="4" max="4" width="10.5703125" bestFit="1" customWidth="1"/>
    <col min="5" max="5" width="17.42578125" bestFit="1" customWidth="1"/>
    <col min="6" max="6" width="14.28515625" bestFit="1" customWidth="1"/>
    <col min="8" max="8" width="14.5703125" bestFit="1" customWidth="1"/>
    <col min="9" max="10" width="9" bestFit="1" customWidth="1"/>
    <col min="11" max="11" width="10.5703125" bestFit="1" customWidth="1"/>
    <col min="12" max="13" width="7" bestFit="1" customWidth="1"/>
    <col min="14" max="14" width="6" bestFit="1" customWidth="1"/>
    <col min="16" max="16" width="12.85546875" bestFit="1" customWidth="1"/>
  </cols>
  <sheetData>
    <row r="1" spans="2:16" x14ac:dyDescent="0.25">
      <c r="K1" t="s">
        <v>106</v>
      </c>
    </row>
    <row r="2" spans="2:16" x14ac:dyDescent="0.25">
      <c r="B2" s="1"/>
      <c r="K2" s="35" t="s">
        <v>100</v>
      </c>
      <c r="L2" s="35" t="s">
        <v>101</v>
      </c>
      <c r="M2" s="35" t="s">
        <v>102</v>
      </c>
      <c r="N2" s="35" t="s">
        <v>103</v>
      </c>
      <c r="O2" s="35" t="s">
        <v>104</v>
      </c>
      <c r="P2" s="35" t="s">
        <v>105</v>
      </c>
    </row>
    <row r="3" spans="2:16" x14ac:dyDescent="0.25">
      <c r="B3" s="8" t="s">
        <v>23</v>
      </c>
      <c r="C3" s="8" t="s">
        <v>28</v>
      </c>
      <c r="D3" s="8" t="s">
        <v>29</v>
      </c>
      <c r="E3" s="8" t="s">
        <v>93</v>
      </c>
      <c r="F3" s="8" t="s">
        <v>94</v>
      </c>
      <c r="K3" s="25">
        <v>153.58000000000001</v>
      </c>
      <c r="L3" s="25">
        <v>139.87</v>
      </c>
      <c r="M3" s="25">
        <v>111.24</v>
      </c>
      <c r="N3" s="25">
        <v>74.56</v>
      </c>
      <c r="O3" s="25">
        <v>60.72</v>
      </c>
      <c r="P3" s="25">
        <v>40.07</v>
      </c>
    </row>
    <row r="4" spans="2:16" x14ac:dyDescent="0.25">
      <c r="B4" s="56" t="s">
        <v>74</v>
      </c>
      <c r="C4" s="57"/>
      <c r="D4" s="57"/>
      <c r="E4" s="57"/>
      <c r="F4" s="57"/>
      <c r="K4" s="25">
        <v>124.39</v>
      </c>
      <c r="L4" s="25">
        <v>98.7</v>
      </c>
      <c r="M4" s="25">
        <v>62.03</v>
      </c>
      <c r="N4" s="25">
        <v>55.37</v>
      </c>
      <c r="O4" s="25">
        <v>78.7</v>
      </c>
      <c r="P4" s="25">
        <v>36.950000000000003</v>
      </c>
    </row>
    <row r="5" spans="2:16" x14ac:dyDescent="0.25">
      <c r="B5" s="38" t="s">
        <v>149</v>
      </c>
      <c r="C5" s="7" t="s">
        <v>30</v>
      </c>
      <c r="D5" s="47">
        <v>9.3315580540461998</v>
      </c>
      <c r="E5" s="6">
        <v>362</v>
      </c>
      <c r="F5" s="25">
        <f>D5*E5</f>
        <v>3378.0240155647243</v>
      </c>
      <c r="G5" s="36"/>
      <c r="K5" s="25">
        <v>90.02</v>
      </c>
      <c r="L5" s="25">
        <v>87.85</v>
      </c>
      <c r="M5" s="25">
        <v>93.5</v>
      </c>
      <c r="N5" s="25"/>
      <c r="O5" s="25">
        <v>57.12</v>
      </c>
      <c r="P5" s="25">
        <v>53.16</v>
      </c>
    </row>
    <row r="6" spans="2:16" x14ac:dyDescent="0.25">
      <c r="B6" s="38" t="s">
        <v>150</v>
      </c>
      <c r="C6" s="7" t="s">
        <v>30</v>
      </c>
      <c r="D6" s="12">
        <v>1.26569468179732</v>
      </c>
      <c r="E6" s="53">
        <v>6072.2536764705883</v>
      </c>
      <c r="F6" s="25">
        <f t="shared" ref="F6:F10" si="0">D6*E6</f>
        <v>7685.6191848330482</v>
      </c>
      <c r="G6" s="36"/>
      <c r="K6" s="25">
        <v>124.66</v>
      </c>
      <c r="L6" s="25">
        <v>158.74</v>
      </c>
      <c r="M6" s="25">
        <v>95.76</v>
      </c>
      <c r="N6" s="25"/>
      <c r="O6" s="25">
        <v>57.36</v>
      </c>
      <c r="P6" s="25">
        <v>37.950000000000003</v>
      </c>
    </row>
    <row r="7" spans="2:16" x14ac:dyDescent="0.25">
      <c r="B7" s="46" t="s">
        <v>151</v>
      </c>
      <c r="C7" s="7" t="s">
        <v>30</v>
      </c>
      <c r="D7" s="12">
        <v>5.8683129533772798</v>
      </c>
      <c r="E7" s="42">
        <v>908.33333333333303</v>
      </c>
      <c r="F7" s="25">
        <f t="shared" si="0"/>
        <v>5330.3842659843604</v>
      </c>
      <c r="G7" s="36"/>
      <c r="P7" s="23">
        <f>AVERAGE(K3:P6)</f>
        <v>86.013636363636365</v>
      </c>
    </row>
    <row r="8" spans="2:16" x14ac:dyDescent="0.25">
      <c r="B8" s="46" t="s">
        <v>152</v>
      </c>
      <c r="C8" s="7" t="s">
        <v>30</v>
      </c>
      <c r="D8" s="18">
        <f>D7</f>
        <v>5.8683129533772798</v>
      </c>
      <c r="E8" s="12">
        <v>4235.8903682191267</v>
      </c>
      <c r="F8" s="25">
        <f t="shared" si="0"/>
        <v>24857.530316906355</v>
      </c>
      <c r="G8" s="36"/>
    </row>
    <row r="9" spans="2:16" x14ac:dyDescent="0.25">
      <c r="B9" s="46" t="s">
        <v>153</v>
      </c>
      <c r="C9" s="7" t="s">
        <v>30</v>
      </c>
      <c r="D9" s="12">
        <v>0.77444961811444701</v>
      </c>
      <c r="E9" s="12">
        <v>0</v>
      </c>
      <c r="F9" s="25">
        <f t="shared" si="0"/>
        <v>0</v>
      </c>
      <c r="G9" s="36"/>
      <c r="H9" s="40">
        <v>2022</v>
      </c>
    </row>
    <row r="10" spans="2:16" x14ac:dyDescent="0.25">
      <c r="B10" s="46" t="s">
        <v>154</v>
      </c>
      <c r="C10" s="7" t="s">
        <v>30</v>
      </c>
      <c r="D10" s="12">
        <v>12.6149075300138</v>
      </c>
      <c r="E10" s="12">
        <v>0</v>
      </c>
      <c r="F10" s="25">
        <f t="shared" si="0"/>
        <v>0</v>
      </c>
      <c r="G10" s="36"/>
      <c r="H10" s="7"/>
      <c r="I10" s="29" t="s">
        <v>156</v>
      </c>
      <c r="J10" s="29" t="s">
        <v>157</v>
      </c>
      <c r="K10" s="29" t="s">
        <v>155</v>
      </c>
    </row>
    <row r="11" spans="2:16" x14ac:dyDescent="0.25">
      <c r="B11" s="56" t="s">
        <v>75</v>
      </c>
      <c r="C11" s="57"/>
      <c r="D11" s="57"/>
      <c r="E11" s="57"/>
      <c r="F11" s="57"/>
      <c r="G11" s="36"/>
      <c r="H11" s="55" t="s">
        <v>149</v>
      </c>
      <c r="I11" s="25">
        <v>269</v>
      </c>
      <c r="J11" s="25">
        <v>623</v>
      </c>
      <c r="K11" s="25">
        <v>362</v>
      </c>
    </row>
    <row r="12" spans="2:16" x14ac:dyDescent="0.25">
      <c r="B12" s="7" t="s">
        <v>24</v>
      </c>
      <c r="C12" s="7" t="s">
        <v>31</v>
      </c>
      <c r="D12" s="6">
        <v>133.45530978153101</v>
      </c>
      <c r="E12" s="25">
        <f>0.3808*C22/C20</f>
        <v>0.50014867489711934</v>
      </c>
      <c r="F12" s="25">
        <f>D12*E12</f>
        <v>66.7474963452173</v>
      </c>
      <c r="G12" s="36"/>
      <c r="H12" s="7" t="s">
        <v>150</v>
      </c>
      <c r="I12" s="25">
        <v>5190</v>
      </c>
      <c r="J12" s="25">
        <v>7290</v>
      </c>
      <c r="K12" s="25">
        <v>6210</v>
      </c>
    </row>
    <row r="13" spans="2:16" x14ac:dyDescent="0.25">
      <c r="B13" s="38" t="s">
        <v>99</v>
      </c>
      <c r="C13" s="7" t="s">
        <v>32</v>
      </c>
      <c r="D13" s="6">
        <v>1324.5541919000002</v>
      </c>
      <c r="E13" s="25">
        <f>P7/1000</f>
        <v>8.6013636363636362E-2</v>
      </c>
      <c r="F13" s="25">
        <f t="shared" ref="F13:F14" si="1">D13*E13</f>
        <v>113.92972260601684</v>
      </c>
      <c r="G13" s="36"/>
      <c r="H13" s="7" t="s">
        <v>151</v>
      </c>
      <c r="I13" s="25">
        <v>585</v>
      </c>
      <c r="J13" s="25">
        <v>1164.1666666666699</v>
      </c>
      <c r="K13" s="25">
        <v>908.33333333333303</v>
      </c>
    </row>
    <row r="14" spans="2:16" x14ac:dyDescent="0.25">
      <c r="B14" s="38" t="s">
        <v>89</v>
      </c>
      <c r="C14" s="7" t="s">
        <v>31</v>
      </c>
      <c r="D14" s="6">
        <v>107.60791509851801</v>
      </c>
      <c r="E14" s="25">
        <f>447.388911263905/47.1</f>
        <v>9.498702999233652</v>
      </c>
      <c r="F14" s="25">
        <f t="shared" si="1"/>
        <v>1022.1356258875732</v>
      </c>
      <c r="G14" s="36"/>
      <c r="H14" s="7" t="s">
        <v>169</v>
      </c>
      <c r="I14" s="25">
        <v>4286.7635720914996</v>
      </c>
      <c r="J14" s="25">
        <v>4378.3292220915</v>
      </c>
      <c r="K14" s="25">
        <v>4331.9796220914996</v>
      </c>
    </row>
    <row r="15" spans="2:16" x14ac:dyDescent="0.25">
      <c r="B15" s="2" t="s">
        <v>170</v>
      </c>
      <c r="C15" s="10" t="s">
        <v>36</v>
      </c>
      <c r="D15" s="3"/>
      <c r="E15" s="11"/>
      <c r="F15" s="11">
        <f>(F5+F6+F7+F9+F10+F12+F13+F14)/1000000*8000</f>
        <v>140.77472248976753</v>
      </c>
      <c r="G15" s="36"/>
    </row>
    <row r="16" spans="2:16" x14ac:dyDescent="0.25">
      <c r="B16" s="2" t="s">
        <v>171</v>
      </c>
      <c r="C16" s="10" t="s">
        <v>36</v>
      </c>
      <c r="D16" s="3"/>
      <c r="E16" s="11"/>
      <c r="F16" s="11">
        <f>(F5+F6+F8+F9+F10+F12+F13+F14)/1000000*8000</f>
        <v>296.99189089714343</v>
      </c>
      <c r="H16" s="40">
        <v>2023</v>
      </c>
    </row>
    <row r="17" spans="2:18" x14ac:dyDescent="0.25">
      <c r="H17" s="55" t="s">
        <v>149</v>
      </c>
      <c r="I17" s="25">
        <f t="shared" ref="I17:J17" si="2">I11*1</f>
        <v>269</v>
      </c>
      <c r="J17" s="25">
        <f t="shared" si="2"/>
        <v>623</v>
      </c>
      <c r="K17" s="25">
        <f>K11*1</f>
        <v>362</v>
      </c>
    </row>
    <row r="18" spans="2:18" x14ac:dyDescent="0.25">
      <c r="B18" s="8" t="s">
        <v>66</v>
      </c>
      <c r="H18" s="7" t="s">
        <v>150</v>
      </c>
      <c r="I18" s="25">
        <f>I12*$C$22/$C$21</f>
        <v>5074.8786764705883</v>
      </c>
      <c r="J18" s="25">
        <f>J12*$C$22/$C$21</f>
        <v>7128.2977941176468</v>
      </c>
      <c r="K18" s="25">
        <f>K12*$C$22/$C$21</f>
        <v>6072.2536764705883</v>
      </c>
    </row>
    <row r="19" spans="2:18" x14ac:dyDescent="0.25">
      <c r="B19" s="7" t="s">
        <v>65</v>
      </c>
      <c r="C19" s="12">
        <v>603.1</v>
      </c>
      <c r="H19" s="7" t="s">
        <v>151</v>
      </c>
      <c r="I19" s="25">
        <f>I13*1</f>
        <v>585</v>
      </c>
      <c r="J19" s="25">
        <f t="shared" ref="J19:K19" si="3">J13*1</f>
        <v>1164.1666666666699</v>
      </c>
      <c r="K19" s="25">
        <f t="shared" si="3"/>
        <v>908.33333333333303</v>
      </c>
      <c r="P19" s="41"/>
      <c r="Q19" s="41"/>
      <c r="R19" s="41"/>
    </row>
    <row r="20" spans="2:18" x14ac:dyDescent="0.25">
      <c r="B20" s="7" t="s">
        <v>34</v>
      </c>
      <c r="C20" s="12">
        <v>607.5</v>
      </c>
      <c r="H20" s="7" t="s">
        <v>169</v>
      </c>
      <c r="I20" s="25">
        <f>I14*$C$22/$C$21</f>
        <v>4191.6772722693713</v>
      </c>
      <c r="J20" s="25">
        <f>J14*$C$22/$C$21</f>
        <v>4281.2118704740296</v>
      </c>
      <c r="K20" s="25">
        <f>K14*$C$22/$C$21</f>
        <v>4235.8903682191267</v>
      </c>
    </row>
    <row r="21" spans="2:18" x14ac:dyDescent="0.25">
      <c r="B21" s="7" t="s">
        <v>167</v>
      </c>
      <c r="C21" s="12">
        <v>816</v>
      </c>
    </row>
    <row r="22" spans="2:18" x14ac:dyDescent="0.25">
      <c r="B22" s="7" t="s">
        <v>90</v>
      </c>
      <c r="C22" s="12">
        <v>797.9</v>
      </c>
    </row>
  </sheetData>
  <mergeCells count="2">
    <mergeCell ref="B4:F4"/>
    <mergeCell ref="B11:F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5"/>
  <sheetViews>
    <sheetView zoomScaleNormal="100" workbookViewId="0">
      <selection activeCell="D41" sqref="D41"/>
    </sheetView>
  </sheetViews>
  <sheetFormatPr defaultColWidth="8.85546875" defaultRowHeight="15" x14ac:dyDescent="0.25"/>
  <cols>
    <col min="2" max="2" width="38.42578125" bestFit="1" customWidth="1"/>
    <col min="3" max="3" width="11" bestFit="1" customWidth="1"/>
    <col min="5" max="5" width="39.140625" bestFit="1" customWidth="1"/>
  </cols>
  <sheetData>
    <row r="2" spans="2:6" x14ac:dyDescent="0.25">
      <c r="B2" t="s">
        <v>77</v>
      </c>
      <c r="E2" t="s">
        <v>77</v>
      </c>
    </row>
    <row r="3" spans="2:6" x14ac:dyDescent="0.25">
      <c r="B3" s="7" t="s">
        <v>92</v>
      </c>
      <c r="C3" s="12">
        <f>CAPEX!B74</f>
        <v>15.543729244054083</v>
      </c>
      <c r="E3" s="7" t="s">
        <v>92</v>
      </c>
      <c r="F3" s="12">
        <f>CAPEX!E74</f>
        <v>0</v>
      </c>
    </row>
    <row r="4" spans="2:6" x14ac:dyDescent="0.25">
      <c r="B4" s="14" t="s">
        <v>52</v>
      </c>
      <c r="C4" s="12">
        <f>CAPEX!B77</f>
        <v>58.13354737276228</v>
      </c>
      <c r="E4" s="14" t="s">
        <v>52</v>
      </c>
      <c r="F4" s="12">
        <f>CAPEX!E77</f>
        <v>0</v>
      </c>
    </row>
    <row r="5" spans="2:6" x14ac:dyDescent="0.25">
      <c r="B5" s="14" t="s">
        <v>53</v>
      </c>
      <c r="C5" s="12">
        <f>CAPEX!B78</f>
        <v>17.440064211828684</v>
      </c>
      <c r="E5" s="14" t="s">
        <v>53</v>
      </c>
      <c r="F5" s="12">
        <f>CAPEX!E78</f>
        <v>0</v>
      </c>
    </row>
    <row r="6" spans="2:6" x14ac:dyDescent="0.25">
      <c r="B6" s="14" t="s">
        <v>61</v>
      </c>
      <c r="C6" s="12">
        <f>CAPEX!B79</f>
        <v>22.672083475377288</v>
      </c>
      <c r="E6" s="14" t="s">
        <v>61</v>
      </c>
      <c r="F6" s="12">
        <f>CAPEX!E79</f>
        <v>0</v>
      </c>
    </row>
    <row r="7" spans="2:6" x14ac:dyDescent="0.25">
      <c r="B7" s="14" t="s">
        <v>55</v>
      </c>
      <c r="C7" s="12">
        <f>CAPEX!B80</f>
        <v>7.5573611584590967</v>
      </c>
      <c r="E7" s="14" t="s">
        <v>55</v>
      </c>
      <c r="F7" s="12">
        <f>CAPEX!E80</f>
        <v>0</v>
      </c>
    </row>
    <row r="8" spans="2:6" x14ac:dyDescent="0.25">
      <c r="B8" s="14" t="s">
        <v>56</v>
      </c>
      <c r="C8" s="12">
        <f>CAPEX!B81</f>
        <v>105.80305621842736</v>
      </c>
      <c r="E8" s="14" t="s">
        <v>56</v>
      </c>
      <c r="F8" s="12">
        <f>CAPEX!E81</f>
        <v>0</v>
      </c>
    </row>
    <row r="9" spans="2:6" x14ac:dyDescent="0.25">
      <c r="B9" s="14" t="s">
        <v>59</v>
      </c>
      <c r="C9" s="12">
        <f>CAPEX!B82</f>
        <v>15.870458432764103</v>
      </c>
      <c r="E9" s="14" t="s">
        <v>59</v>
      </c>
      <c r="F9" s="12">
        <f>CAPEX!E82</f>
        <v>0</v>
      </c>
    </row>
    <row r="10" spans="2:6" x14ac:dyDescent="0.25">
      <c r="B10" s="7" t="s">
        <v>57</v>
      </c>
      <c r="C10" s="12">
        <f>CAPEX!B83</f>
        <v>121.67351465119145</v>
      </c>
      <c r="E10" s="7" t="s">
        <v>57</v>
      </c>
      <c r="F10" s="12">
        <f>CAPEX!E83</f>
        <v>0</v>
      </c>
    </row>
    <row r="11" spans="2:6" x14ac:dyDescent="0.25">
      <c r="B11" s="7" t="s">
        <v>63</v>
      </c>
      <c r="C11" s="12">
        <v>0</v>
      </c>
      <c r="E11" s="7" t="s">
        <v>63</v>
      </c>
      <c r="F11" s="12">
        <v>0</v>
      </c>
    </row>
    <row r="12" spans="2:6" x14ac:dyDescent="0.25">
      <c r="B12" s="7" t="s">
        <v>64</v>
      </c>
      <c r="C12" s="12">
        <v>0</v>
      </c>
      <c r="E12" s="7" t="s">
        <v>64</v>
      </c>
      <c r="F12" s="12">
        <v>0</v>
      </c>
    </row>
    <row r="13" spans="2:6" x14ac:dyDescent="0.25">
      <c r="B13" s="7" t="s">
        <v>60</v>
      </c>
      <c r="C13" s="12">
        <v>0</v>
      </c>
      <c r="E13" s="7" t="s">
        <v>60</v>
      </c>
      <c r="F13" s="12">
        <v>0</v>
      </c>
    </row>
    <row r="14" spans="2:6" x14ac:dyDescent="0.25">
      <c r="B14" s="7" t="s">
        <v>62</v>
      </c>
      <c r="C14" s="12">
        <v>0</v>
      </c>
      <c r="E14" s="7" t="s">
        <v>62</v>
      </c>
      <c r="F14" s="12">
        <v>0</v>
      </c>
    </row>
    <row r="15" spans="2:6" x14ac:dyDescent="0.25">
      <c r="B15" s="7" t="s">
        <v>25</v>
      </c>
      <c r="C15" s="12">
        <f>CAPEX!B84</f>
        <v>25</v>
      </c>
      <c r="E15" s="7" t="s">
        <v>25</v>
      </c>
      <c r="F15" s="12">
        <f>CAPEX!E84</f>
        <v>0</v>
      </c>
    </row>
    <row r="16" spans="2:6" x14ac:dyDescent="0.25">
      <c r="B16" s="7" t="s">
        <v>26</v>
      </c>
      <c r="C16" s="12">
        <f>CAPEX!B85</f>
        <v>0.12</v>
      </c>
      <c r="E16" s="7" t="s">
        <v>26</v>
      </c>
      <c r="F16" s="12">
        <f>CAPEX!E85</f>
        <v>0</v>
      </c>
    </row>
    <row r="17" spans="2:6" x14ac:dyDescent="0.25">
      <c r="B17" s="7" t="s">
        <v>27</v>
      </c>
      <c r="C17" s="12">
        <f>CAPEX!B86</f>
        <v>0.12749996980950773</v>
      </c>
      <c r="E17" s="7" t="s">
        <v>27</v>
      </c>
      <c r="F17" s="12">
        <f>CAPEX!E86</f>
        <v>0</v>
      </c>
    </row>
    <row r="18" spans="2:6" x14ac:dyDescent="0.25">
      <c r="B18" s="8" t="s">
        <v>95</v>
      </c>
      <c r="C18" s="9">
        <v>0.53676923404388233</v>
      </c>
      <c r="E18" s="8" t="s">
        <v>95</v>
      </c>
      <c r="F18" s="9">
        <f>C18</f>
        <v>0.53676923404388233</v>
      </c>
    </row>
    <row r="19" spans="2:6" x14ac:dyDescent="0.25">
      <c r="B19" s="8" t="s">
        <v>35</v>
      </c>
      <c r="C19" s="9">
        <f>CAPEX!B88*C18</f>
        <v>8.3270994342411164</v>
      </c>
      <c r="E19" s="8" t="s">
        <v>35</v>
      </c>
      <c r="F19" s="9">
        <f>C19</f>
        <v>8.3270994342411164</v>
      </c>
    </row>
    <row r="20" spans="2:6" x14ac:dyDescent="0.25">
      <c r="B20" s="8" t="s">
        <v>73</v>
      </c>
      <c r="C20" s="9">
        <v>0</v>
      </c>
      <c r="E20" s="8" t="s">
        <v>73</v>
      </c>
      <c r="F20" s="9">
        <f>C20</f>
        <v>0</v>
      </c>
    </row>
    <row r="21" spans="2:6" x14ac:dyDescent="0.25">
      <c r="B21" s="8" t="s">
        <v>67</v>
      </c>
      <c r="C21" s="9">
        <f>OPEX!F15</f>
        <v>140.77472248976753</v>
      </c>
      <c r="E21" s="8" t="s">
        <v>67</v>
      </c>
      <c r="F21" s="9">
        <f>OPEX!F16</f>
        <v>296.99189089714343</v>
      </c>
    </row>
    <row r="22" spans="2:6" x14ac:dyDescent="0.25">
      <c r="B22" s="8" t="s">
        <v>72</v>
      </c>
      <c r="C22" s="9">
        <f>(C19+C20+C21)</f>
        <v>149.10182192400865</v>
      </c>
      <c r="E22" s="8" t="s">
        <v>72</v>
      </c>
      <c r="F22" s="9">
        <f>(F19+F20+F21)</f>
        <v>305.31899033138455</v>
      </c>
    </row>
    <row r="23" spans="2:6" x14ac:dyDescent="0.25">
      <c r="B23" s="8" t="s">
        <v>71</v>
      </c>
      <c r="C23" s="9">
        <f>(C22)*1000000/8000</f>
        <v>18637.727740501079</v>
      </c>
      <c r="E23" s="8" t="s">
        <v>71</v>
      </c>
      <c r="F23" s="9">
        <f>(F22)*1000000/8000</f>
        <v>38164.873791423066</v>
      </c>
    </row>
    <row r="24" spans="2:6" x14ac:dyDescent="0.25">
      <c r="B24" s="8" t="s">
        <v>70</v>
      </c>
      <c r="C24" s="9">
        <v>12493.9117972441</v>
      </c>
      <c r="E24" s="8" t="s">
        <v>70</v>
      </c>
      <c r="F24" s="9">
        <v>12493.9117972441</v>
      </c>
    </row>
    <row r="25" spans="2:6" x14ac:dyDescent="0.25">
      <c r="B25" s="16" t="s">
        <v>96</v>
      </c>
      <c r="C25" s="27">
        <f>C23/C24</f>
        <v>1.4917447828159134</v>
      </c>
      <c r="E25" s="16" t="s">
        <v>97</v>
      </c>
      <c r="F25" s="27">
        <f>F23/F24</f>
        <v>3.0546777030906727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1404-B10C-43C8-BC8A-AE78F1DB033F}">
  <dimension ref="A1:E12"/>
  <sheetViews>
    <sheetView zoomScale="115" zoomScaleNormal="115" workbookViewId="0">
      <selection activeCell="D23" sqref="D23"/>
    </sheetView>
  </sheetViews>
  <sheetFormatPr defaultRowHeight="15" x14ac:dyDescent="0.25"/>
  <cols>
    <col min="1" max="1" width="20.28515625" bestFit="1" customWidth="1"/>
    <col min="2" max="2" width="17.5703125" bestFit="1" customWidth="1"/>
    <col min="3" max="3" width="18.28515625" bestFit="1" customWidth="1"/>
    <col min="4" max="4" width="12" bestFit="1" customWidth="1"/>
    <col min="5" max="5" width="56.7109375" bestFit="1" customWidth="1"/>
  </cols>
  <sheetData>
    <row r="1" spans="1:5" x14ac:dyDescent="0.25">
      <c r="A1" s="40" t="s">
        <v>158</v>
      </c>
      <c r="B1" s="39" t="s">
        <v>159</v>
      </c>
      <c r="C1" s="40"/>
      <c r="D1" s="40"/>
      <c r="E1" s="52"/>
    </row>
    <row r="2" spans="1:5" x14ac:dyDescent="0.25">
      <c r="A2" s="29" t="s">
        <v>160</v>
      </c>
      <c r="B2" s="48">
        <v>2.5190000000000001</v>
      </c>
      <c r="C2" s="49">
        <f>B2*D2</f>
        <v>4.1047860700000003</v>
      </c>
      <c r="D2" s="49">
        <v>1.6295299999999999</v>
      </c>
      <c r="E2" s="49" t="s">
        <v>168</v>
      </c>
    </row>
    <row r="3" spans="1:5" x14ac:dyDescent="0.25">
      <c r="A3" s="29" t="s">
        <v>161</v>
      </c>
      <c r="B3" s="48">
        <v>0.14299999999999999</v>
      </c>
      <c r="C3" s="49">
        <f>B3*D3</f>
        <v>1.2299949999999999E-2</v>
      </c>
      <c r="D3" s="49">
        <v>8.6013636363636362E-2</v>
      </c>
      <c r="E3" s="49" t="s">
        <v>98</v>
      </c>
    </row>
    <row r="4" spans="1:5" x14ac:dyDescent="0.25">
      <c r="A4" s="29" t="s">
        <v>162</v>
      </c>
      <c r="B4" s="48">
        <v>2.1999999999999999E-2</v>
      </c>
      <c r="C4" s="49">
        <f>B4*D4</f>
        <v>3.4319999999999994E-4</v>
      </c>
      <c r="D4" s="49">
        <f>15.6/1000</f>
        <v>1.5599999999999999E-2</v>
      </c>
      <c r="E4" s="49" t="s">
        <v>163</v>
      </c>
    </row>
    <row r="5" spans="1:5" x14ac:dyDescent="0.25">
      <c r="A5" s="29" t="s">
        <v>24</v>
      </c>
      <c r="B5" s="48">
        <f>0.0002</f>
        <v>2.0000000000000001E-4</v>
      </c>
      <c r="C5" s="49">
        <f>B5*D5</f>
        <v>2.0915000000000001E-9</v>
      </c>
      <c r="D5" s="49">
        <f>0.5/10^6*4.183*5</f>
        <v>1.0457499999999999E-5</v>
      </c>
      <c r="E5" s="49" t="s">
        <v>164</v>
      </c>
    </row>
    <row r="6" spans="1:5" x14ac:dyDescent="0.25">
      <c r="A6" s="29" t="s">
        <v>165</v>
      </c>
      <c r="B6" s="48">
        <v>0.26090000000000002</v>
      </c>
      <c r="C6" s="49">
        <f>B6</f>
        <v>0.26090000000000002</v>
      </c>
      <c r="D6" s="49" t="s">
        <v>166</v>
      </c>
      <c r="E6" s="49" t="s">
        <v>163</v>
      </c>
    </row>
    <row r="7" spans="1:5" x14ac:dyDescent="0.25">
      <c r="A7" s="13"/>
      <c r="B7" s="50"/>
      <c r="C7" s="51">
        <f>SUM(C2:C6)</f>
        <v>4.3783292220915007</v>
      </c>
      <c r="D7" s="37"/>
      <c r="E7" s="13"/>
    </row>
    <row r="10" spans="1:5" x14ac:dyDescent="0.25">
      <c r="A10" s="7" t="s">
        <v>34</v>
      </c>
      <c r="B10" s="54">
        <v>607.5</v>
      </c>
    </row>
    <row r="11" spans="1:5" x14ac:dyDescent="0.25">
      <c r="A11" s="7" t="s">
        <v>167</v>
      </c>
      <c r="B11" s="54">
        <v>816</v>
      </c>
    </row>
    <row r="12" spans="1:5" x14ac:dyDescent="0.25">
      <c r="A12" s="7" t="s">
        <v>90</v>
      </c>
      <c r="B12" s="54">
        <v>797.9</v>
      </c>
    </row>
  </sheetData>
  <hyperlinks>
    <hyperlink ref="E3" r:id="rId1" xr:uid="{B60CA186-3CBA-491F-AF41-BF8267BF5B9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OPEX</vt:lpstr>
      <vt:lpstr>summary</vt:lpstr>
      <vt:lpstr>methanol-to-olefins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2026-01-16T16:33:07Z</dcterms:modified>
</cp:coreProperties>
</file>