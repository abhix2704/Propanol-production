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Ongoing projects\Propanol production\simulation\biogas\"/>
    </mc:Choice>
  </mc:AlternateContent>
  <xr:revisionPtr revIDLastSave="0" documentId="13_ncr:1_{E67C87E6-DBFD-41B1-9C6D-ABFB3749CACC}" xr6:coauthVersionLast="36" xr6:coauthVersionMax="36" xr10:uidLastSave="{00000000-0000-0000-0000-000000000000}"/>
  <bookViews>
    <workbookView xWindow="0" yWindow="0" windowWidth="16200" windowHeight="6585" activeTab="2" xr2:uid="{00000000-000D-0000-FFFF-FFFF00000000}"/>
  </bookViews>
  <sheets>
    <sheet name="material_streams" sheetId="1" r:id="rId1"/>
    <sheet name="electricity" sheetId="2" r:id="rId2"/>
    <sheet name="utilitie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1" l="1"/>
  <c r="E15" i="1"/>
  <c r="E14" i="1"/>
  <c r="E13" i="1"/>
  <c r="E12" i="1"/>
  <c r="E11" i="1"/>
  <c r="E10" i="1"/>
  <c r="E9" i="1"/>
  <c r="E8" i="1"/>
  <c r="E7" i="1"/>
  <c r="E5" i="1"/>
  <c r="E4" i="1"/>
  <c r="D6" i="1"/>
  <c r="E6" i="1" s="1"/>
  <c r="D3" i="3" l="1"/>
  <c r="E3" i="3" s="1"/>
  <c r="D2" i="3"/>
  <c r="E2" i="3" s="1"/>
  <c r="E8" i="3"/>
  <c r="E7" i="3"/>
  <c r="C3" i="3"/>
  <c r="C2" i="3"/>
  <c r="B11" i="2"/>
  <c r="C10" i="2"/>
  <c r="C9" i="2"/>
  <c r="C8" i="2"/>
  <c r="C7" i="2"/>
  <c r="C6" i="2"/>
  <c r="C5" i="2"/>
  <c r="C4" i="2"/>
  <c r="C3" i="2"/>
  <c r="C11" i="2" l="1"/>
</calcChain>
</file>

<file path=xl/sharedStrings.xml><?xml version="1.0" encoding="utf-8"?>
<sst xmlns="http://schemas.openxmlformats.org/spreadsheetml/2006/main" count="69" uniqueCount="36">
  <si>
    <t>Component</t>
  </si>
  <si>
    <t>Type</t>
  </si>
  <si>
    <t>Mass flow (kg/hr)</t>
  </si>
  <si>
    <t>kWh</t>
  </si>
  <si>
    <t>Utility</t>
  </si>
  <si>
    <t>Load (kJ/h)</t>
  </si>
  <si>
    <t>Effective Cp (kJ/kg C)</t>
  </si>
  <si>
    <t>ΔT</t>
  </si>
  <si>
    <r>
      <t>T</t>
    </r>
    <r>
      <rPr>
        <b/>
        <vertAlign val="subscript"/>
        <sz val="11"/>
        <color theme="1"/>
        <rFont val="Calibri"/>
        <family val="2"/>
        <scheme val="minor"/>
      </rPr>
      <t>in</t>
    </r>
  </si>
  <si>
    <r>
      <t>T</t>
    </r>
    <r>
      <rPr>
        <b/>
        <vertAlign val="subscript"/>
        <sz val="11"/>
        <color theme="1"/>
        <rFont val="Calibri"/>
        <family val="2"/>
        <scheme val="minor"/>
      </rPr>
      <t>out</t>
    </r>
  </si>
  <si>
    <t>Feed</t>
  </si>
  <si>
    <t>Emissions</t>
  </si>
  <si>
    <t>Product</t>
  </si>
  <si>
    <t>Stream name</t>
  </si>
  <si>
    <t>Data used for calculating the mass flow rate taken from Aspen energy analyzer</t>
  </si>
  <si>
    <t>Ethylene</t>
  </si>
  <si>
    <t>Ethane</t>
  </si>
  <si>
    <t>Compressor</t>
  </si>
  <si>
    <t>Hydrogen</t>
  </si>
  <si>
    <t>Cooling water</t>
  </si>
  <si>
    <t>Mass/kg propanol</t>
  </si>
  <si>
    <t>Carbon dioxide</t>
  </si>
  <si>
    <t>Propanol</t>
  </si>
  <si>
    <t>Wastewater</t>
  </si>
  <si>
    <t>Carbon monoxide</t>
  </si>
  <si>
    <t>Final product: Propanol</t>
  </si>
  <si>
    <t>kWh/kg propanol</t>
  </si>
  <si>
    <t>Pump</t>
  </si>
  <si>
    <t>Load per kg propanol</t>
  </si>
  <si>
    <t>Fired heat natural gas</t>
  </si>
  <si>
    <t>Biogas</t>
  </si>
  <si>
    <t>Fresh MEA</t>
  </si>
  <si>
    <t>Fresh water</t>
  </si>
  <si>
    <t>MEA</t>
  </si>
  <si>
    <t>Water</t>
  </si>
  <si>
    <t>Methane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</si>
</sst>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164" fontId="0" fillId="0" borderId="0" xfId="0" applyNumberFormat="1"/>
    <xf numFmtId="0" fontId="3" fillId="0" borderId="1" xfId="0" applyFont="1" applyFill="1" applyBorder="1" applyAlignment="1">
      <alignment horizontal="center"/>
    </xf>
    <xf numFmtId="2" fontId="3" fillId="0" borderId="1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1" xfId="0" applyFill="1" applyBorder="1" applyAlignment="1">
      <alignment horizontal="center"/>
    </xf>
    <xf numFmtId="166" fontId="0" fillId="0" borderId="0" xfId="0" applyNumberFormat="1" applyAlignment="1">
      <alignment horizontal="center"/>
    </xf>
    <xf numFmtId="164" fontId="3" fillId="0" borderId="1" xfId="0" applyNumberFormat="1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zoomScale="130" zoomScaleNormal="130" workbookViewId="0">
      <selection activeCell="F20" sqref="F20"/>
    </sheetView>
  </sheetViews>
  <sheetFormatPr defaultColWidth="9" defaultRowHeight="15" x14ac:dyDescent="0.25"/>
  <cols>
    <col min="1" max="1" width="21.85546875" style="1" bestFit="1" customWidth="1"/>
    <col min="2" max="2" width="16.85546875" style="1" bestFit="1" customWidth="1"/>
    <col min="3" max="3" width="12.140625" style="1" bestFit="1" customWidth="1"/>
    <col min="4" max="4" width="16.7109375" style="1" bestFit="1" customWidth="1"/>
    <col min="5" max="5" width="21.7109375" style="1" bestFit="1" customWidth="1"/>
    <col min="6" max="16384" width="9" style="1"/>
  </cols>
  <sheetData>
    <row r="1" spans="1:6" x14ac:dyDescent="0.25">
      <c r="A1" s="2" t="s">
        <v>25</v>
      </c>
    </row>
    <row r="2" spans="1:6" x14ac:dyDescent="0.25">
      <c r="A2" s="2"/>
    </row>
    <row r="3" spans="1:6" x14ac:dyDescent="0.25">
      <c r="A3" s="5" t="s">
        <v>13</v>
      </c>
      <c r="B3" s="5" t="s">
        <v>0</v>
      </c>
      <c r="C3" s="5" t="s">
        <v>1</v>
      </c>
      <c r="D3" s="5" t="s">
        <v>2</v>
      </c>
      <c r="E3" s="5" t="s">
        <v>20</v>
      </c>
    </row>
    <row r="4" spans="1:6" ht="18" customHeight="1" x14ac:dyDescent="0.25">
      <c r="A4" s="13" t="s">
        <v>21</v>
      </c>
      <c r="B4" s="13" t="s">
        <v>21</v>
      </c>
      <c r="C4" s="13" t="s">
        <v>10</v>
      </c>
      <c r="D4" s="14">
        <v>1050.9805003199999</v>
      </c>
      <c r="E4" s="18">
        <f>D4/$D$16</f>
        <v>8.4072281848774813E-2</v>
      </c>
      <c r="F4" s="17"/>
    </row>
    <row r="5" spans="1:6" ht="18" customHeight="1" x14ac:dyDescent="0.25">
      <c r="A5" s="13" t="s">
        <v>30</v>
      </c>
      <c r="B5" s="13" t="s">
        <v>30</v>
      </c>
      <c r="C5" s="13" t="s">
        <v>10</v>
      </c>
      <c r="D5" s="14">
        <v>5364.9232006304101</v>
      </c>
      <c r="E5" s="18">
        <f>D5/$D$16</f>
        <v>0.42916242050456593</v>
      </c>
      <c r="F5" s="17"/>
    </row>
    <row r="6" spans="1:6" ht="18" customHeight="1" x14ac:dyDescent="0.25">
      <c r="A6" s="13" t="s">
        <v>18</v>
      </c>
      <c r="B6" s="13" t="s">
        <v>18</v>
      </c>
      <c r="C6" s="13" t="s">
        <v>10</v>
      </c>
      <c r="D6" s="14">
        <f>417.738435904742+12.3730955054315</f>
        <v>430.11153141017348</v>
      </c>
      <c r="E6" s="18">
        <f>D6/$D$16</f>
        <v>3.4406402292063668E-2</v>
      </c>
    </row>
    <row r="7" spans="1:6" ht="18" customHeight="1" x14ac:dyDescent="0.25">
      <c r="A7" s="13" t="s">
        <v>15</v>
      </c>
      <c r="B7" s="13" t="s">
        <v>15</v>
      </c>
      <c r="C7" s="13" t="s">
        <v>10</v>
      </c>
      <c r="D7" s="14">
        <v>5861.9886311727596</v>
      </c>
      <c r="E7" s="18">
        <f>D7/$D$16</f>
        <v>0.46892474241359761</v>
      </c>
    </row>
    <row r="8" spans="1:6" ht="18" customHeight="1" x14ac:dyDescent="0.25">
      <c r="A8" s="13" t="s">
        <v>31</v>
      </c>
      <c r="B8" s="13" t="s">
        <v>33</v>
      </c>
      <c r="C8" s="13" t="s">
        <v>10</v>
      </c>
      <c r="D8" s="14">
        <v>103.02685492433901</v>
      </c>
      <c r="E8" s="18">
        <f>D8/$D$16</f>
        <v>8.2415447123467735E-3</v>
      </c>
    </row>
    <row r="9" spans="1:6" ht="18" customHeight="1" x14ac:dyDescent="0.25">
      <c r="A9" s="13" t="s">
        <v>32</v>
      </c>
      <c r="B9" s="13" t="s">
        <v>34</v>
      </c>
      <c r="C9" s="13" t="s">
        <v>10</v>
      </c>
      <c r="D9" s="14">
        <v>1754.33338664506</v>
      </c>
      <c r="E9" s="18">
        <f>D9/$D$16</f>
        <v>0.14033639148759799</v>
      </c>
    </row>
    <row r="10" spans="1:6" ht="18" customHeight="1" x14ac:dyDescent="0.25">
      <c r="A10" s="13" t="s">
        <v>23</v>
      </c>
      <c r="B10" s="13" t="s">
        <v>23</v>
      </c>
      <c r="C10" s="13" t="s">
        <v>11</v>
      </c>
      <c r="D10" s="14">
        <v>1877.1641154558899</v>
      </c>
      <c r="E10" s="18">
        <f>D10/$D$16</f>
        <v>0.15016213007088311</v>
      </c>
    </row>
    <row r="11" spans="1:6" ht="18" customHeight="1" x14ac:dyDescent="0.25">
      <c r="A11" s="18" t="s">
        <v>24</v>
      </c>
      <c r="B11" s="18" t="s">
        <v>24</v>
      </c>
      <c r="C11" s="13" t="s">
        <v>11</v>
      </c>
      <c r="D11" s="14">
        <v>57.122061310234798</v>
      </c>
      <c r="E11" s="18">
        <f>D11/$D$16</f>
        <v>4.5694302004602727E-3</v>
      </c>
    </row>
    <row r="12" spans="1:6" ht="18" customHeight="1" x14ac:dyDescent="0.25">
      <c r="A12" s="13" t="s">
        <v>18</v>
      </c>
      <c r="B12" s="13" t="s">
        <v>18</v>
      </c>
      <c r="C12" s="13" t="s">
        <v>11</v>
      </c>
      <c r="D12" s="14">
        <v>0.71336513619694197</v>
      </c>
      <c r="E12" s="18">
        <f>D12/$D$16</f>
        <v>5.706503096220922E-5</v>
      </c>
    </row>
    <row r="13" spans="1:6" ht="18" customHeight="1" x14ac:dyDescent="0.25">
      <c r="A13" s="13" t="s">
        <v>16</v>
      </c>
      <c r="B13" s="13" t="s">
        <v>16</v>
      </c>
      <c r="C13" s="13" t="s">
        <v>11</v>
      </c>
      <c r="D13" s="14">
        <v>34.702112255227497</v>
      </c>
      <c r="E13" s="18">
        <f>D13/$D$16</f>
        <v>2.775965644824999E-3</v>
      </c>
    </row>
    <row r="14" spans="1:6" ht="18" customHeight="1" x14ac:dyDescent="0.25">
      <c r="A14" s="13" t="s">
        <v>22</v>
      </c>
      <c r="B14" s="13" t="s">
        <v>22</v>
      </c>
      <c r="C14" s="13" t="s">
        <v>11</v>
      </c>
      <c r="D14" s="14">
        <v>7.8544585529197599</v>
      </c>
      <c r="E14" s="18">
        <f>D14/$D$16</f>
        <v>6.2831066135816092E-4</v>
      </c>
    </row>
    <row r="15" spans="1:6" ht="18" customHeight="1" x14ac:dyDescent="0.25">
      <c r="A15" s="13" t="s">
        <v>35</v>
      </c>
      <c r="B15" s="13" t="s">
        <v>35</v>
      </c>
      <c r="C15" s="13" t="s">
        <v>11</v>
      </c>
      <c r="D15" s="14">
        <v>86.745287071513303</v>
      </c>
      <c r="E15" s="18">
        <f>D15/$D$16</f>
        <v>6.9391146852949524E-3</v>
      </c>
    </row>
    <row r="16" spans="1:6" x14ac:dyDescent="0.25">
      <c r="A16" s="13" t="s">
        <v>22</v>
      </c>
      <c r="B16" s="13" t="s">
        <v>22</v>
      </c>
      <c r="C16" s="13" t="s">
        <v>12</v>
      </c>
      <c r="D16" s="14">
        <v>12500.9156074823</v>
      </c>
      <c r="E16" s="18">
        <f>D16/$D$16</f>
        <v>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11"/>
  <sheetViews>
    <sheetView zoomScaleNormal="100" workbookViewId="0">
      <selection activeCell="M31" sqref="M31"/>
    </sheetView>
  </sheetViews>
  <sheetFormatPr defaultRowHeight="15" x14ac:dyDescent="0.25"/>
  <cols>
    <col min="1" max="1" width="15.7109375" style="1" bestFit="1" customWidth="1"/>
    <col min="2" max="2" width="12" style="1" bestFit="1" customWidth="1"/>
    <col min="3" max="3" width="16.5703125" bestFit="1" customWidth="1"/>
    <col min="4" max="4" width="11.140625" bestFit="1" customWidth="1"/>
  </cols>
  <sheetData>
    <row r="2" spans="1:3" x14ac:dyDescent="0.25">
      <c r="A2" s="5" t="s">
        <v>1</v>
      </c>
      <c r="B2" s="5" t="s">
        <v>3</v>
      </c>
      <c r="C2" s="5" t="s">
        <v>26</v>
      </c>
    </row>
    <row r="3" spans="1:3" x14ac:dyDescent="0.25">
      <c r="A3" s="3" t="s">
        <v>17</v>
      </c>
      <c r="B3" s="4">
        <v>442.890714</v>
      </c>
      <c r="C3" s="19">
        <f>B3/material_streams!$D$16</f>
        <v>3.5428662020157313E-2</v>
      </c>
    </row>
    <row r="4" spans="1:3" x14ac:dyDescent="0.25">
      <c r="A4" s="3" t="s">
        <v>17</v>
      </c>
      <c r="B4" s="4">
        <v>523.53716599999996</v>
      </c>
      <c r="C4" s="19">
        <f>B4/material_streams!$D$16</f>
        <v>4.1879905635603357E-2</v>
      </c>
    </row>
    <row r="5" spans="1:3" ht="14.25" customHeight="1" x14ac:dyDescent="0.25">
      <c r="A5" s="3" t="s">
        <v>17</v>
      </c>
      <c r="B5" s="4">
        <v>543.92072099999996</v>
      </c>
      <c r="C5" s="19">
        <f>B5/material_streams!$D$16</f>
        <v>4.351047059900489E-2</v>
      </c>
    </row>
    <row r="6" spans="1:3" ht="14.25" customHeight="1" x14ac:dyDescent="0.25">
      <c r="A6" s="3" t="s">
        <v>27</v>
      </c>
      <c r="B6" s="4">
        <v>5.1906833499999996</v>
      </c>
      <c r="C6" s="19">
        <f>B6/material_streams!$D$16</f>
        <v>4.1522425340533991E-4</v>
      </c>
    </row>
    <row r="7" spans="1:3" ht="14.25" customHeight="1" x14ac:dyDescent="0.25">
      <c r="A7" s="3" t="s">
        <v>17</v>
      </c>
      <c r="B7" s="4">
        <v>210.932119</v>
      </c>
      <c r="C7" s="19">
        <f>B7/material_streams!$D$16</f>
        <v>1.6873333571962412E-2</v>
      </c>
    </row>
    <row r="8" spans="1:3" ht="14.25" customHeight="1" x14ac:dyDescent="0.25">
      <c r="A8" s="3" t="s">
        <v>17</v>
      </c>
      <c r="B8" s="4">
        <v>207.954508</v>
      </c>
      <c r="C8" s="19">
        <f>B8/material_streams!$D$16</f>
        <v>1.6635142139151061E-2</v>
      </c>
    </row>
    <row r="9" spans="1:3" ht="14.25" customHeight="1" x14ac:dyDescent="0.25">
      <c r="A9" s="3" t="s">
        <v>17</v>
      </c>
      <c r="B9" s="4">
        <v>243.604153</v>
      </c>
      <c r="C9" s="19">
        <f>B9/material_streams!$D$16</f>
        <v>1.9486904851528885E-2</v>
      </c>
    </row>
    <row r="10" spans="1:3" ht="14.25" customHeight="1" x14ac:dyDescent="0.25">
      <c r="A10" s="3" t="s">
        <v>17</v>
      </c>
      <c r="B10" s="4">
        <v>176.10318599999999</v>
      </c>
      <c r="C10" s="19">
        <f>B10/material_streams!$D$16</f>
        <v>1.4087223010656529E-2</v>
      </c>
    </row>
    <row r="11" spans="1:3" x14ac:dyDescent="0.25">
      <c r="B11" s="8">
        <f>SUM(B3:B10)</f>
        <v>2354.1332503499998</v>
      </c>
      <c r="C11" s="15">
        <f>SUM(C3:C10)</f>
        <v>0.1883168660814698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tabSelected="1" zoomScale="115" zoomScaleNormal="115" workbookViewId="0">
      <selection activeCell="B16" sqref="B16"/>
    </sheetView>
  </sheetViews>
  <sheetFormatPr defaultRowHeight="15" x14ac:dyDescent="0.25"/>
  <cols>
    <col min="1" max="1" width="72" bestFit="1" customWidth="1"/>
    <col min="2" max="2" width="24.42578125" bestFit="1" customWidth="1"/>
    <col min="3" max="3" width="30.5703125" bestFit="1" customWidth="1"/>
    <col min="4" max="4" width="21" bestFit="1" customWidth="1"/>
    <col min="5" max="5" width="34.85546875" bestFit="1" customWidth="1"/>
    <col min="6" max="6" width="19.7109375" bestFit="1" customWidth="1"/>
    <col min="7" max="8" width="12.140625" customWidth="1"/>
  </cols>
  <sheetData>
    <row r="1" spans="1:7" x14ac:dyDescent="0.25">
      <c r="A1" s="5" t="s">
        <v>4</v>
      </c>
      <c r="B1" s="5" t="s">
        <v>5</v>
      </c>
      <c r="C1" s="5" t="s">
        <v>28</v>
      </c>
    </row>
    <row r="2" spans="1:7" x14ac:dyDescent="0.25">
      <c r="A2" s="16" t="s">
        <v>19</v>
      </c>
      <c r="B2" s="4">
        <v>51047065.790583998</v>
      </c>
      <c r="C2" s="4">
        <f>B2/material_streams!$D$16</f>
        <v>4083.4661550734954</v>
      </c>
      <c r="D2" s="20">
        <f>B2*0.000001</f>
        <v>51.047065790583993</v>
      </c>
      <c r="E2" s="17">
        <f>D2/material_streams!$D$16*1000</f>
        <v>4.083466155073495</v>
      </c>
      <c r="G2" s="12"/>
    </row>
    <row r="3" spans="1:7" x14ac:dyDescent="0.25">
      <c r="A3" s="16" t="s">
        <v>29</v>
      </c>
      <c r="B3" s="11">
        <v>54183080.671851799</v>
      </c>
      <c r="C3" s="4">
        <f>B3/material_streams!$D$16</f>
        <v>4334.3289702252723</v>
      </c>
      <c r="D3" s="20">
        <f>B3*0.000001</f>
        <v>54.183080671851798</v>
      </c>
      <c r="E3" s="17">
        <f>D3/material_streams!$D$16*1000</f>
        <v>4.3343289702252727</v>
      </c>
      <c r="G3" s="12"/>
    </row>
    <row r="5" spans="1:7" x14ac:dyDescent="0.25">
      <c r="A5" s="6" t="s">
        <v>14</v>
      </c>
    </row>
    <row r="6" spans="1:7" ht="18" x14ac:dyDescent="0.35">
      <c r="A6" s="5" t="s">
        <v>4</v>
      </c>
      <c r="B6" s="5" t="s">
        <v>6</v>
      </c>
      <c r="C6" s="7" t="s">
        <v>8</v>
      </c>
      <c r="D6" s="7" t="s">
        <v>9</v>
      </c>
      <c r="E6" s="7" t="s">
        <v>7</v>
      </c>
    </row>
    <row r="7" spans="1:7" x14ac:dyDescent="0.25">
      <c r="A7" s="3" t="s">
        <v>19</v>
      </c>
      <c r="B7" s="9">
        <v>4.1829999999999998</v>
      </c>
      <c r="C7" s="10">
        <v>15</v>
      </c>
      <c r="D7" s="10">
        <v>20</v>
      </c>
      <c r="E7" s="3">
        <f t="shared" ref="E7:E8" si="0">ABS(D7-C7)</f>
        <v>5</v>
      </c>
    </row>
    <row r="8" spans="1:7" x14ac:dyDescent="0.25">
      <c r="A8" s="3" t="s">
        <v>29</v>
      </c>
      <c r="B8" s="9">
        <v>47100</v>
      </c>
      <c r="C8" s="10">
        <v>1247</v>
      </c>
      <c r="D8" s="10">
        <v>1246</v>
      </c>
      <c r="E8" s="3">
        <f t="shared" si="0"/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material_streams</vt:lpstr>
      <vt:lpstr>electricity</vt:lpstr>
      <vt:lpstr>utilities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2020-04-23T14:14:32Z</dcterms:created>
  <dcterms:modified xsi:type="dcterms:W3CDTF">2025-06-22T14:59:38Z</dcterms:modified>
</cp:coreProperties>
</file>