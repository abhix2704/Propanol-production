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Ongoing projects\Propanol production\results\"/>
    </mc:Choice>
  </mc:AlternateContent>
  <xr:revisionPtr revIDLastSave="0" documentId="13_ncr:1_{B31F3A82-333A-4F3C-B45E-755D57302D4E}" xr6:coauthVersionLast="36" xr6:coauthVersionMax="36" xr10:uidLastSave="{00000000-0000-0000-0000-000000000000}"/>
  <bookViews>
    <workbookView xWindow="0" yWindow="0" windowWidth="28800" windowHeight="13125" activeTab="6" xr2:uid="{16BB9B67-C92C-409F-A862-483FEBF457EC}"/>
  </bookViews>
  <sheets>
    <sheet name="ethylene_prices_naphtha" sheetId="8" r:id="rId1"/>
    <sheet name="economics" sheetId="1" r:id="rId2"/>
    <sheet name="climate_change_impacts" sheetId="9" r:id="rId3"/>
    <sheet name="climate_change_impacts_2050" sheetId="10" r:id="rId4"/>
    <sheet name="human_health_impacts" sheetId="11" r:id="rId5"/>
    <sheet name="ecosystem_quality_impacts" sheetId="12" r:id="rId6"/>
    <sheet name="natural_resources_impacts" sheetId="13" r:id="rId7"/>
    <sheet name="regionalization" sheetId="15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3" l="1"/>
  <c r="J6" i="13"/>
  <c r="I6" i="13"/>
  <c r="H6" i="13"/>
  <c r="G6" i="13"/>
  <c r="E6" i="13"/>
  <c r="F6" i="13"/>
  <c r="C6" i="13"/>
  <c r="K5" i="13"/>
  <c r="J5" i="13"/>
  <c r="I5" i="13"/>
  <c r="H5" i="13"/>
  <c r="G5" i="13"/>
  <c r="E5" i="13"/>
  <c r="F5" i="13"/>
  <c r="C5" i="13"/>
  <c r="L4" i="13"/>
  <c r="L3" i="13"/>
  <c r="A3" i="13"/>
  <c r="A4" i="13" s="1"/>
  <c r="A5" i="13" s="1"/>
  <c r="A6" i="13" s="1"/>
  <c r="L2" i="13"/>
  <c r="K6" i="12"/>
  <c r="J6" i="12"/>
  <c r="I6" i="12"/>
  <c r="H6" i="12"/>
  <c r="G6" i="12"/>
  <c r="E6" i="12"/>
  <c r="F6" i="12"/>
  <c r="C6" i="12"/>
  <c r="K5" i="12"/>
  <c r="J5" i="12"/>
  <c r="I5" i="12"/>
  <c r="H5" i="12"/>
  <c r="G5" i="12"/>
  <c r="E5" i="12"/>
  <c r="F5" i="12"/>
  <c r="C5" i="12"/>
  <c r="L4" i="12"/>
  <c r="L3" i="12"/>
  <c r="A3" i="12"/>
  <c r="A4" i="12" s="1"/>
  <c r="A5" i="12" s="1"/>
  <c r="A6" i="12" s="1"/>
  <c r="L2" i="12"/>
  <c r="K6" i="11"/>
  <c r="J6" i="11"/>
  <c r="I6" i="11"/>
  <c r="H6" i="11"/>
  <c r="G6" i="11"/>
  <c r="E6" i="11"/>
  <c r="F6" i="11"/>
  <c r="C6" i="11"/>
  <c r="K5" i="11"/>
  <c r="J5" i="11"/>
  <c r="I5" i="11"/>
  <c r="H5" i="11"/>
  <c r="G5" i="11"/>
  <c r="E5" i="11"/>
  <c r="F5" i="11"/>
  <c r="C5" i="11"/>
  <c r="L4" i="11"/>
  <c r="L3" i="11"/>
  <c r="A3" i="11"/>
  <c r="A4" i="11" s="1"/>
  <c r="A5" i="11" s="1"/>
  <c r="A6" i="11" s="1"/>
  <c r="L2" i="11"/>
  <c r="K6" i="10"/>
  <c r="J6" i="10"/>
  <c r="I6" i="10"/>
  <c r="H6" i="10"/>
  <c r="G6" i="10"/>
  <c r="E6" i="10"/>
  <c r="F6" i="10"/>
  <c r="C6" i="10"/>
  <c r="K5" i="10"/>
  <c r="J5" i="10"/>
  <c r="I5" i="10"/>
  <c r="H5" i="10"/>
  <c r="G5" i="10"/>
  <c r="E5" i="10"/>
  <c r="F5" i="10"/>
  <c r="C5" i="10"/>
  <c r="L4" i="10"/>
  <c r="L3" i="10"/>
  <c r="A3" i="10"/>
  <c r="A4" i="10" s="1"/>
  <c r="A5" i="10" s="1"/>
  <c r="A6" i="10" s="1"/>
  <c r="L2" i="10"/>
  <c r="K6" i="9"/>
  <c r="J6" i="9"/>
  <c r="I6" i="9"/>
  <c r="H6" i="9"/>
  <c r="G6" i="9"/>
  <c r="E6" i="9"/>
  <c r="F6" i="9"/>
  <c r="C6" i="9"/>
  <c r="K5" i="9"/>
  <c r="J5" i="9"/>
  <c r="I5" i="9"/>
  <c r="H5" i="9"/>
  <c r="G5" i="9"/>
  <c r="E5" i="9"/>
  <c r="F5" i="9"/>
  <c r="C5" i="9"/>
  <c r="L4" i="9"/>
  <c r="L3" i="9"/>
  <c r="A3" i="9"/>
  <c r="A4" i="9" s="1"/>
  <c r="A5" i="9" s="1"/>
  <c r="A6" i="9" s="1"/>
  <c r="L2" i="9"/>
  <c r="N2" i="9" l="1"/>
  <c r="M3" i="9"/>
  <c r="N4" i="9"/>
  <c r="L5" i="13"/>
  <c r="L6" i="13"/>
  <c r="L6" i="12"/>
  <c r="L5" i="12"/>
  <c r="L6" i="11"/>
  <c r="L5" i="11"/>
  <c r="L6" i="10"/>
  <c r="L5" i="10"/>
  <c r="L6" i="9"/>
  <c r="L5" i="9"/>
  <c r="N3" i="9"/>
  <c r="M4" i="9"/>
  <c r="M2" i="9"/>
  <c r="L4" i="1"/>
  <c r="N5" i="9" l="1"/>
  <c r="N6" i="9"/>
  <c r="M6" i="9"/>
  <c r="M5" i="9"/>
  <c r="K6" i="1"/>
  <c r="J6" i="1"/>
  <c r="I6" i="1"/>
  <c r="H6" i="1"/>
  <c r="G6" i="1"/>
  <c r="E6" i="1"/>
  <c r="F6" i="1"/>
  <c r="C6" i="1"/>
  <c r="L3" i="1"/>
  <c r="K5" i="1"/>
  <c r="J5" i="1"/>
  <c r="I5" i="1"/>
  <c r="H5" i="1"/>
  <c r="G5" i="1"/>
  <c r="E5" i="1"/>
  <c r="F5" i="1"/>
  <c r="C5" i="1"/>
  <c r="A3" i="1"/>
  <c r="A4" i="1" s="1"/>
  <c r="A5" i="1" s="1"/>
  <c r="A6" i="1" s="1"/>
  <c r="L5" i="1" l="1"/>
  <c r="L6" i="1"/>
  <c r="G14" i="8"/>
  <c r="F14" i="8"/>
  <c r="E14" i="8"/>
  <c r="D14" i="8"/>
  <c r="C14" i="8"/>
  <c r="B14" i="8"/>
  <c r="D19" i="8" l="1"/>
  <c r="D17" i="8"/>
  <c r="D18" i="8"/>
  <c r="L2" i="1" l="1"/>
</calcChain>
</file>

<file path=xl/sharedStrings.xml><?xml version="1.0" encoding="utf-8"?>
<sst xmlns="http://schemas.openxmlformats.org/spreadsheetml/2006/main" count="156" uniqueCount="69">
  <si>
    <t>Scenario</t>
  </si>
  <si>
    <t xml:space="preserve">Electricity </t>
  </si>
  <si>
    <t>Heating</t>
  </si>
  <si>
    <t>Cooling</t>
  </si>
  <si>
    <t>Direct emissions</t>
  </si>
  <si>
    <t>CAPEX</t>
  </si>
  <si>
    <t>Total</t>
  </si>
  <si>
    <t>Fossil</t>
  </si>
  <si>
    <t>Low</t>
  </si>
  <si>
    <t>High</t>
  </si>
  <si>
    <t>Average</t>
  </si>
  <si>
    <t>STDEV</t>
  </si>
  <si>
    <t>USA</t>
  </si>
  <si>
    <t>China</t>
  </si>
  <si>
    <t>Europe</t>
  </si>
  <si>
    <t>SE Asia</t>
  </si>
  <si>
    <t>Middle East</t>
  </si>
  <si>
    <t>Latin America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</si>
  <si>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</si>
  <si>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</si>
  <si>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</si>
  <si>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</si>
  <si>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</si>
  <si>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</si>
  <si>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</si>
  <si>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</si>
  <si>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</si>
  <si>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</si>
  <si>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</si>
  <si>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</si>
  <si>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Carbon dioxide</t>
  </si>
  <si>
    <t>Hydrogen</t>
  </si>
  <si>
    <t>Biogas</t>
  </si>
  <si>
    <t>Ethylene</t>
  </si>
  <si>
    <r>
      <t>DAC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wind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fossil 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4</t>
    </r>
  </si>
  <si>
    <r>
      <t>Biogas + fossil 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4</t>
    </r>
  </si>
  <si>
    <r>
      <t>DAC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wind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green 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4</t>
    </r>
  </si>
  <si>
    <r>
      <t>Biogas + green 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4</t>
    </r>
  </si>
  <si>
    <t>Impact 2050</t>
  </si>
  <si>
    <t>AU</t>
  </si>
  <si>
    <t>BR</t>
  </si>
  <si>
    <t>BW</t>
  </si>
  <si>
    <t>CA</t>
  </si>
  <si>
    <t>CL</t>
  </si>
  <si>
    <t>CN</t>
  </si>
  <si>
    <t>EG</t>
  </si>
  <si>
    <t>ET</t>
  </si>
  <si>
    <t>GT</t>
  </si>
  <si>
    <t>ID</t>
  </si>
  <si>
    <t>IN</t>
  </si>
  <si>
    <t>IR</t>
  </si>
  <si>
    <t>JP</t>
  </si>
  <si>
    <t>KR</t>
  </si>
  <si>
    <t>MX</t>
  </si>
  <si>
    <t>NG</t>
  </si>
  <si>
    <t>PH</t>
  </si>
  <si>
    <t>PK</t>
  </si>
  <si>
    <t>PL</t>
  </si>
  <si>
    <t>RER</t>
  </si>
  <si>
    <t>RU</t>
  </si>
  <si>
    <t>TR</t>
  </si>
  <si>
    <t>UA</t>
  </si>
  <si>
    <t>US</t>
  </si>
  <si>
    <t>UZ</t>
  </si>
  <si>
    <t>ZA</t>
  </si>
  <si>
    <t>Biogas fossil ethylene</t>
  </si>
  <si>
    <t>Biogas green ethylene</t>
  </si>
  <si>
    <t>DAC fossil ethylene</t>
  </si>
  <si>
    <t>DAC green ethylene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</si>
</sst>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70" formatCode="0.0E+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5" fontId="0" fillId="0" borderId="0" xfId="0" applyNumberFormat="1"/>
    <xf numFmtId="0" fontId="0" fillId="0" borderId="1" xfId="0" applyFill="1" applyBorder="1" applyAlignment="1">
      <alignment horizontal="left"/>
    </xf>
    <xf numFmtId="2" fontId="0" fillId="0" borderId="0" xfId="0" applyNumberFormat="1"/>
    <xf numFmtId="164" fontId="0" fillId="0" borderId="1" xfId="0" applyNumberForma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1" xfId="0" applyFill="1" applyBorder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170" fontId="0" fillId="0" borderId="1" xfId="0" applyNumberFormat="1" applyFill="1" applyBorder="1" applyAlignment="1">
      <alignment horizontal="center"/>
    </xf>
    <xf numFmtId="170" fontId="0" fillId="0" borderId="1" xfId="0" applyNumberFormat="1" applyFont="1" applyFill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543D-585D-4547-9BDE-8AC9ABD12C54}">
  <dimension ref="A1:G19"/>
  <sheetViews>
    <sheetView workbookViewId="0">
      <selection activeCell="J29" sqref="J29"/>
    </sheetView>
  </sheetViews>
  <sheetFormatPr defaultRowHeight="15" x14ac:dyDescent="0.25"/>
  <cols>
    <col min="2" max="5" width="7.7109375" bestFit="1" customWidth="1"/>
    <col min="6" max="6" width="11.28515625" bestFit="1" customWidth="1"/>
    <col min="7" max="7" width="13.140625" bestFit="1" customWidth="1"/>
  </cols>
  <sheetData>
    <row r="1" spans="1:7" x14ac:dyDescent="0.25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25">
      <c r="A2" t="s">
        <v>18</v>
      </c>
      <c r="B2">
        <v>0.61</v>
      </c>
      <c r="C2">
        <v>0.82</v>
      </c>
      <c r="D2">
        <v>1.2</v>
      </c>
      <c r="E2">
        <v>0.88</v>
      </c>
      <c r="F2">
        <v>0.94</v>
      </c>
      <c r="G2">
        <v>1.0900000000000001</v>
      </c>
    </row>
    <row r="3" spans="1:7" x14ac:dyDescent="0.25">
      <c r="A3" t="s">
        <v>19</v>
      </c>
      <c r="B3">
        <v>0.62</v>
      </c>
      <c r="C3">
        <v>0.81</v>
      </c>
      <c r="D3">
        <v>1.18</v>
      </c>
      <c r="E3">
        <v>0.88</v>
      </c>
      <c r="F3">
        <v>0.94</v>
      </c>
      <c r="G3">
        <v>1.1100000000000001</v>
      </c>
    </row>
    <row r="4" spans="1:7" x14ac:dyDescent="0.25">
      <c r="A4" t="s">
        <v>20</v>
      </c>
      <c r="B4">
        <v>0.61</v>
      </c>
      <c r="C4">
        <v>0.85</v>
      </c>
      <c r="D4">
        <v>1.21</v>
      </c>
      <c r="E4">
        <v>0.9</v>
      </c>
      <c r="F4">
        <v>0.95</v>
      </c>
      <c r="G4">
        <v>1.1200000000000001</v>
      </c>
    </row>
    <row r="5" spans="1:7" x14ac:dyDescent="0.25">
      <c r="A5" t="s">
        <v>21</v>
      </c>
      <c r="B5">
        <v>0.63</v>
      </c>
      <c r="C5">
        <v>0.89</v>
      </c>
      <c r="D5">
        <v>1.23</v>
      </c>
      <c r="E5">
        <v>0.91</v>
      </c>
      <c r="F5">
        <v>0.96</v>
      </c>
      <c r="G5">
        <v>1.1599999999999999</v>
      </c>
    </row>
    <row r="6" spans="1:7" x14ac:dyDescent="0.25">
      <c r="A6" t="s">
        <v>22</v>
      </c>
      <c r="B6">
        <v>0.62</v>
      </c>
      <c r="C6">
        <v>0.84</v>
      </c>
      <c r="D6">
        <v>1.2</v>
      </c>
      <c r="E6">
        <v>0.89</v>
      </c>
      <c r="F6">
        <v>0.96</v>
      </c>
      <c r="G6">
        <v>1.19</v>
      </c>
    </row>
    <row r="7" spans="1:7" x14ac:dyDescent="0.25">
      <c r="A7" t="s">
        <v>23</v>
      </c>
      <c r="B7">
        <v>0.59</v>
      </c>
      <c r="C7">
        <v>0.74</v>
      </c>
      <c r="D7">
        <v>1.1599999999999999</v>
      </c>
      <c r="E7">
        <v>0.88</v>
      </c>
      <c r="F7">
        <v>0.92</v>
      </c>
      <c r="G7">
        <v>1.1299999999999999</v>
      </c>
    </row>
    <row r="8" spans="1:7" x14ac:dyDescent="0.25">
      <c r="A8" t="s">
        <v>24</v>
      </c>
      <c r="B8">
        <v>0.57999999999999996</v>
      </c>
      <c r="C8">
        <v>0.72</v>
      </c>
      <c r="D8">
        <v>1.1499999999999999</v>
      </c>
      <c r="E8">
        <v>0.85</v>
      </c>
      <c r="F8">
        <v>0.91</v>
      </c>
      <c r="G8">
        <v>1.07</v>
      </c>
    </row>
    <row r="9" spans="1:7" x14ac:dyDescent="0.25">
      <c r="A9" t="s">
        <v>25</v>
      </c>
      <c r="B9">
        <v>0.55000000000000004</v>
      </c>
      <c r="C9">
        <v>0.75</v>
      </c>
      <c r="D9">
        <v>1.1100000000000001</v>
      </c>
      <c r="E9">
        <v>0.82</v>
      </c>
      <c r="F9">
        <v>0.89</v>
      </c>
      <c r="G9">
        <v>1.04</v>
      </c>
    </row>
    <row r="10" spans="1:7" x14ac:dyDescent="0.25">
      <c r="A10" t="s">
        <v>26</v>
      </c>
      <c r="B10">
        <v>0.55000000000000004</v>
      </c>
      <c r="C10">
        <v>0.79</v>
      </c>
      <c r="D10">
        <v>1.1000000000000001</v>
      </c>
      <c r="E10">
        <v>0.83</v>
      </c>
      <c r="F10">
        <v>0.87</v>
      </c>
      <c r="G10">
        <v>1.05</v>
      </c>
    </row>
    <row r="11" spans="1:7" x14ac:dyDescent="0.25">
      <c r="A11" t="s">
        <v>27</v>
      </c>
      <c r="B11">
        <v>0.55000000000000004</v>
      </c>
      <c r="C11">
        <v>0.83</v>
      </c>
      <c r="D11">
        <v>1.1200000000000001</v>
      </c>
      <c r="E11">
        <v>0.89</v>
      </c>
      <c r="F11">
        <v>0.9</v>
      </c>
      <c r="G11">
        <v>1.0900000000000001</v>
      </c>
    </row>
    <row r="12" spans="1:7" x14ac:dyDescent="0.25">
      <c r="A12" t="s">
        <v>28</v>
      </c>
      <c r="B12">
        <v>0.56000000000000005</v>
      </c>
      <c r="C12">
        <v>0.85</v>
      </c>
      <c r="D12">
        <v>1.1599999999999999</v>
      </c>
      <c r="E12">
        <v>0.87</v>
      </c>
      <c r="F12">
        <v>0.91</v>
      </c>
      <c r="G12">
        <v>1.08</v>
      </c>
    </row>
    <row r="13" spans="1:7" x14ac:dyDescent="0.25">
      <c r="A13" t="s">
        <v>29</v>
      </c>
      <c r="B13">
        <v>0.55000000000000004</v>
      </c>
      <c r="C13">
        <v>0.84</v>
      </c>
      <c r="D13">
        <v>1.1499999999999999</v>
      </c>
      <c r="E13">
        <v>0.85</v>
      </c>
      <c r="F13">
        <v>0.9</v>
      </c>
      <c r="G13">
        <v>1.05</v>
      </c>
    </row>
    <row r="14" spans="1:7" x14ac:dyDescent="0.25">
      <c r="B14" s="5">
        <f t="shared" ref="B14:G14" si="0">AVERAGE(B2:B13)</f>
        <v>0.58499999999999985</v>
      </c>
      <c r="C14" s="5">
        <f t="shared" si="0"/>
        <v>0.81083333333333318</v>
      </c>
      <c r="D14" s="5">
        <f t="shared" si="0"/>
        <v>1.1641666666666668</v>
      </c>
      <c r="E14" s="5">
        <f t="shared" si="0"/>
        <v>0.87083333333333324</v>
      </c>
      <c r="F14" s="5">
        <f t="shared" si="0"/>
        <v>0.92083333333333339</v>
      </c>
      <c r="G14" s="5">
        <f t="shared" si="0"/>
        <v>1.0983333333333334</v>
      </c>
    </row>
    <row r="17" spans="3:4" x14ac:dyDescent="0.25">
      <c r="C17" t="s">
        <v>10</v>
      </c>
      <c r="D17" s="3">
        <f>AVERAGE(B14:G14)</f>
        <v>0.90833333333333333</v>
      </c>
    </row>
    <row r="18" spans="3:4" x14ac:dyDescent="0.25">
      <c r="C18" t="s">
        <v>8</v>
      </c>
      <c r="D18">
        <f>MIN(B14:G14)</f>
        <v>0.58499999999999985</v>
      </c>
    </row>
    <row r="19" spans="3:4" x14ac:dyDescent="0.25">
      <c r="C19" t="s">
        <v>9</v>
      </c>
      <c r="D19" s="3">
        <f>MAX(B14:G14)</f>
        <v>1.1641666666666668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8B93-DDCF-4CD9-9A47-E816EF977427}">
  <dimension ref="A1:N6"/>
  <sheetViews>
    <sheetView zoomScale="175" zoomScaleNormal="175" workbookViewId="0">
      <selection activeCell="H13" sqref="H13"/>
    </sheetView>
  </sheetViews>
  <sheetFormatPr defaultRowHeight="15" x14ac:dyDescent="0.25"/>
  <cols>
    <col min="1" max="1" width="2" bestFit="1" customWidth="1"/>
    <col min="2" max="2" width="30.140625" bestFit="1" customWidth="1"/>
    <col min="3" max="3" width="7.28515625" bestFit="1" customWidth="1"/>
    <col min="4" max="4" width="12" customWidth="1"/>
    <col min="5" max="5" width="12" bestFit="1" customWidth="1"/>
    <col min="6" max="6" width="14.5703125" bestFit="1" customWidth="1"/>
    <col min="7" max="7" width="12" customWidth="1"/>
    <col min="8" max="8" width="10.140625" customWidth="1"/>
    <col min="9" max="9" width="7.85546875" customWidth="1"/>
    <col min="10" max="10" width="7.7109375" customWidth="1"/>
    <col min="11" max="14" width="7.28515625" bestFit="1" customWidth="1"/>
  </cols>
  <sheetData>
    <row r="1" spans="1:14" x14ac:dyDescent="0.25">
      <c r="B1" s="8" t="s">
        <v>0</v>
      </c>
      <c r="C1" s="8" t="s">
        <v>7</v>
      </c>
      <c r="D1" s="8" t="s">
        <v>33</v>
      </c>
      <c r="E1" s="8" t="s">
        <v>31</v>
      </c>
      <c r="F1" s="8" t="s">
        <v>30</v>
      </c>
      <c r="G1" s="8" t="s">
        <v>32</v>
      </c>
      <c r="H1" s="8" t="s">
        <v>1</v>
      </c>
      <c r="I1" s="8" t="s">
        <v>2</v>
      </c>
      <c r="J1" s="8" t="s">
        <v>3</v>
      </c>
      <c r="K1" s="8" t="s">
        <v>5</v>
      </c>
      <c r="L1" s="8" t="s">
        <v>6</v>
      </c>
      <c r="M1" s="9" t="s">
        <v>8</v>
      </c>
      <c r="N1" s="9" t="s">
        <v>9</v>
      </c>
    </row>
    <row r="2" spans="1:14" x14ac:dyDescent="0.25">
      <c r="A2" s="10">
        <v>0</v>
      </c>
      <c r="B2" s="4" t="s">
        <v>7</v>
      </c>
      <c r="C2" s="6">
        <v>1.34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7">
        <f>SUM(C2:K2)</f>
        <v>1.34</v>
      </c>
      <c r="M2" s="6">
        <v>0.89</v>
      </c>
      <c r="N2" s="6">
        <v>1.53</v>
      </c>
    </row>
    <row r="3" spans="1:14" ht="18" x14ac:dyDescent="0.35">
      <c r="A3" s="10">
        <f>A2+1</f>
        <v>1</v>
      </c>
      <c r="B3" s="4" t="s">
        <v>34</v>
      </c>
      <c r="C3" s="6">
        <v>0</v>
      </c>
      <c r="D3" s="6">
        <v>0.42663853823268816</v>
      </c>
      <c r="E3" s="6">
        <v>0.61514914700521084</v>
      </c>
      <c r="F3" s="6">
        <v>0.27037360839299723</v>
      </c>
      <c r="G3" s="6">
        <v>0</v>
      </c>
      <c r="H3" s="6">
        <v>9.1188191860892918E-3</v>
      </c>
      <c r="I3" s="6">
        <v>8.1810696479627396E-2</v>
      </c>
      <c r="J3" s="6">
        <v>5.3424017576256958E-3</v>
      </c>
      <c r="K3" s="6">
        <v>8.3311571761674988E-2</v>
      </c>
      <c r="L3" s="7">
        <f>SUM(C3:K3)</f>
        <v>1.491744782815914</v>
      </c>
      <c r="M3" s="6">
        <v>1.169</v>
      </c>
      <c r="N3" s="6">
        <v>1.9139999999999999</v>
      </c>
    </row>
    <row r="4" spans="1:14" ht="18" x14ac:dyDescent="0.35">
      <c r="A4" s="10">
        <f>A3+1</f>
        <v>2</v>
      </c>
      <c r="B4" s="4" t="s">
        <v>35</v>
      </c>
      <c r="C4" s="6">
        <v>0</v>
      </c>
      <c r="D4" s="6">
        <v>0.4259399743590177</v>
      </c>
      <c r="E4" s="6">
        <v>0.20892440281210944</v>
      </c>
      <c r="F4" s="6">
        <v>3.0434166029256481E-2</v>
      </c>
      <c r="G4" s="6">
        <v>0.12286268912140355</v>
      </c>
      <c r="H4" s="6">
        <v>1.6197818440271149E-2</v>
      </c>
      <c r="I4" s="6">
        <v>4.1170503589144099E-2</v>
      </c>
      <c r="J4" s="6">
        <v>2.0423401864472436E-3</v>
      </c>
      <c r="K4" s="6">
        <v>9.180946649275018E-2</v>
      </c>
      <c r="L4" s="7">
        <f>SUM(C4:K4)</f>
        <v>0.93938136103039982</v>
      </c>
      <c r="M4" s="6">
        <v>0.70899999999999996</v>
      </c>
      <c r="N4" s="6">
        <v>1.147</v>
      </c>
    </row>
    <row r="5" spans="1:14" ht="18" x14ac:dyDescent="0.35">
      <c r="A5" s="10">
        <f>A4+1</f>
        <v>3</v>
      </c>
      <c r="B5" s="4" t="s">
        <v>36</v>
      </c>
      <c r="C5" s="6">
        <f t="shared" ref="C5:F6" si="0">C3</f>
        <v>0</v>
      </c>
      <c r="D5" s="6">
        <v>1.989571458507448</v>
      </c>
      <c r="E5" s="6">
        <f>E3</f>
        <v>0.61514914700521084</v>
      </c>
      <c r="F5" s="6">
        <f t="shared" si="0"/>
        <v>0.27037360839299723</v>
      </c>
      <c r="G5" s="6">
        <f>G3</f>
        <v>0</v>
      </c>
      <c r="H5" s="6">
        <f>H3</f>
        <v>9.1188191860892918E-3</v>
      </c>
      <c r="I5" s="6">
        <f>I3</f>
        <v>8.1810696479627396E-2</v>
      </c>
      <c r="J5" s="6">
        <f>J3</f>
        <v>5.3424017576256958E-3</v>
      </c>
      <c r="K5" s="6">
        <f>K3</f>
        <v>8.3311571761674988E-2</v>
      </c>
      <c r="L5" s="7">
        <f>SUM(C5:K5)</f>
        <v>3.0546777030906731</v>
      </c>
      <c r="M5" s="6">
        <v>2.863</v>
      </c>
      <c r="N5" s="6">
        <v>3.3780000000000001</v>
      </c>
    </row>
    <row r="6" spans="1:14" ht="18" x14ac:dyDescent="0.35">
      <c r="A6" s="10">
        <f>A5+1</f>
        <v>4</v>
      </c>
      <c r="B6" s="4" t="s">
        <v>37</v>
      </c>
      <c r="C6" s="11">
        <f t="shared" si="0"/>
        <v>0</v>
      </c>
      <c r="D6" s="11">
        <v>1.9863137998093929</v>
      </c>
      <c r="E6" s="11">
        <f>E4</f>
        <v>0.20892440281210944</v>
      </c>
      <c r="F6" s="11">
        <f t="shared" si="0"/>
        <v>3.0434166029256481E-2</v>
      </c>
      <c r="G6" s="11">
        <f>G4</f>
        <v>0.12286268912140355</v>
      </c>
      <c r="H6" s="11">
        <f t="shared" ref="H6:K6" si="1">H4</f>
        <v>1.6197818440271149E-2</v>
      </c>
      <c r="I6" s="11">
        <f t="shared" si="1"/>
        <v>4.1170503589144099E-2</v>
      </c>
      <c r="J6" s="11">
        <f t="shared" si="1"/>
        <v>2.0423401864472436E-3</v>
      </c>
      <c r="K6" s="11">
        <f t="shared" si="1"/>
        <v>9.180946649275018E-2</v>
      </c>
      <c r="L6" s="7">
        <f>SUM(C6:K6)</f>
        <v>2.4997551864807757</v>
      </c>
      <c r="M6" s="6">
        <v>2.4</v>
      </c>
      <c r="N6" s="6">
        <v>2.609</v>
      </c>
    </row>
  </sheetData>
  <conditionalFormatting sqref="L2:L5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N5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N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N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N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:N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N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N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AD7A-8360-4613-A9EB-77E8A26A223D}">
  <dimension ref="A1:P6"/>
  <sheetViews>
    <sheetView zoomScale="160" zoomScaleNormal="160" workbookViewId="0">
      <selection activeCell="D16" sqref="D16"/>
    </sheetView>
  </sheetViews>
  <sheetFormatPr defaultRowHeight="15" x14ac:dyDescent="0.25"/>
  <cols>
    <col min="1" max="1" width="2" bestFit="1" customWidth="1"/>
    <col min="2" max="2" width="30.140625" bestFit="1" customWidth="1"/>
    <col min="3" max="3" width="7.28515625" bestFit="1" customWidth="1"/>
    <col min="4" max="4" width="12" customWidth="1"/>
    <col min="5" max="5" width="12" bestFit="1" customWidth="1"/>
    <col min="6" max="6" width="14.5703125" bestFit="1" customWidth="1"/>
    <col min="7" max="7" width="12" customWidth="1"/>
    <col min="8" max="8" width="10.140625" customWidth="1"/>
    <col min="9" max="9" width="7.85546875" customWidth="1"/>
    <col min="10" max="10" width="7.7109375" customWidth="1"/>
    <col min="11" max="11" width="15.85546875" bestFit="1" customWidth="1"/>
    <col min="12" max="13" width="7.85546875" bestFit="1" customWidth="1"/>
    <col min="14" max="14" width="8.28515625" bestFit="1" customWidth="1"/>
    <col min="15" max="15" width="7.28515625" bestFit="1" customWidth="1"/>
    <col min="16" max="16" width="12.140625" bestFit="1" customWidth="1"/>
  </cols>
  <sheetData>
    <row r="1" spans="1:16" x14ac:dyDescent="0.25">
      <c r="B1" s="8" t="s">
        <v>0</v>
      </c>
      <c r="C1" s="8" t="s">
        <v>7</v>
      </c>
      <c r="D1" s="8" t="s">
        <v>33</v>
      </c>
      <c r="E1" s="8" t="s">
        <v>31</v>
      </c>
      <c r="F1" s="8" t="s">
        <v>30</v>
      </c>
      <c r="G1" s="8" t="s">
        <v>32</v>
      </c>
      <c r="H1" s="8" t="s">
        <v>1</v>
      </c>
      <c r="I1" s="8" t="s">
        <v>2</v>
      </c>
      <c r="J1" s="8" t="s">
        <v>3</v>
      </c>
      <c r="K1" s="8" t="s">
        <v>4</v>
      </c>
      <c r="L1" s="8" t="s">
        <v>6</v>
      </c>
      <c r="M1" s="9" t="s">
        <v>8</v>
      </c>
      <c r="N1" s="9" t="s">
        <v>9</v>
      </c>
      <c r="O1" s="2" t="s">
        <v>11</v>
      </c>
      <c r="P1" s="2" t="s">
        <v>38</v>
      </c>
    </row>
    <row r="2" spans="1:16" x14ac:dyDescent="0.25">
      <c r="A2" s="10">
        <v>0</v>
      </c>
      <c r="B2" s="4" t="s">
        <v>7</v>
      </c>
      <c r="C2" s="6">
        <v>4.4213916053382913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7">
        <f>SUM(C2:K2)</f>
        <v>4.4213916053382913</v>
      </c>
      <c r="M2" s="6">
        <f>L2-2*O2</f>
        <v>2.2852004237309016</v>
      </c>
      <c r="N2" s="6">
        <f>L2+2*O2</f>
        <v>6.5575827869456811</v>
      </c>
      <c r="O2" s="11">
        <v>1.0680955908036949</v>
      </c>
      <c r="P2" s="11">
        <v>3.2331069958939929</v>
      </c>
    </row>
    <row r="3" spans="1:16" ht="18" x14ac:dyDescent="0.35">
      <c r="A3" s="10">
        <f>A2+1</f>
        <v>1</v>
      </c>
      <c r="B3" s="4" t="s">
        <v>34</v>
      </c>
      <c r="C3" s="6">
        <v>0</v>
      </c>
      <c r="D3" s="6">
        <v>1.1583484050323041</v>
      </c>
      <c r="E3" s="6">
        <v>0.21325796749021059</v>
      </c>
      <c r="F3" s="6">
        <v>-0.68500138679815004</v>
      </c>
      <c r="G3" s="6">
        <v>0</v>
      </c>
      <c r="H3" s="6">
        <v>7.1343613477379886E-2</v>
      </c>
      <c r="I3" s="6">
        <v>0.61397627125817167</v>
      </c>
      <c r="J3" s="6">
        <v>0.25568828392292481</v>
      </c>
      <c r="K3" s="6">
        <v>2.2671574703618136E-2</v>
      </c>
      <c r="L3" s="7">
        <f>SUM(C3:K3)</f>
        <v>1.6502847290864591</v>
      </c>
      <c r="M3" s="6">
        <f>L3-2*O3</f>
        <v>1.12228380581751</v>
      </c>
      <c r="N3" s="6">
        <f>L3+2*O3</f>
        <v>2.1782856523554082</v>
      </c>
      <c r="O3" s="11">
        <v>0.2640004616344746</v>
      </c>
      <c r="P3" s="11">
        <v>1.1321582862716879</v>
      </c>
    </row>
    <row r="4" spans="1:16" ht="18" x14ac:dyDescent="0.35">
      <c r="A4" s="10">
        <f>A3+1</f>
        <v>2</v>
      </c>
      <c r="B4" s="4" t="s">
        <v>35</v>
      </c>
      <c r="C4" s="6">
        <v>0</v>
      </c>
      <c r="D4" s="6">
        <v>1.1564365072492551</v>
      </c>
      <c r="E4" s="6">
        <v>7.2432768227601391E-2</v>
      </c>
      <c r="F4" s="6">
        <v>-7.7104873018738349E-2</v>
      </c>
      <c r="G4" s="6">
        <v>-0.47283242190776892</v>
      </c>
      <c r="H4" s="6">
        <v>0.1267281294207869</v>
      </c>
      <c r="I4" s="6">
        <v>0.3089780843728494</v>
      </c>
      <c r="J4" s="6">
        <v>3.4980541169895969E-2</v>
      </c>
      <c r="K4" s="6">
        <v>0.20057932180770943</v>
      </c>
      <c r="L4" s="7">
        <f>SUM(C4:K4)</f>
        <v>1.350198057321591</v>
      </c>
      <c r="M4" s="6">
        <f>L4-2*O4</f>
        <v>1.0091634386917319</v>
      </c>
      <c r="N4" s="6">
        <f>L4+2*O4</f>
        <v>1.6912326759514502</v>
      </c>
      <c r="O4" s="11">
        <v>0.17051730931492953</v>
      </c>
      <c r="P4" s="11">
        <v>0.88804715699672654</v>
      </c>
    </row>
    <row r="5" spans="1:16" ht="18" x14ac:dyDescent="0.35">
      <c r="A5" s="10">
        <f>A4+1</f>
        <v>3</v>
      </c>
      <c r="B5" s="4" t="s">
        <v>36</v>
      </c>
      <c r="C5" s="6">
        <f>C3</f>
        <v>0</v>
      </c>
      <c r="D5" s="6">
        <v>-0.66173363243731953</v>
      </c>
      <c r="E5" s="6">
        <f>E3</f>
        <v>0.21325796749021059</v>
      </c>
      <c r="F5" s="6">
        <f>F3</f>
        <v>-0.68500138679815004</v>
      </c>
      <c r="G5" s="6">
        <f>G3</f>
        <v>0</v>
      </c>
      <c r="H5" s="6">
        <f>H3</f>
        <v>7.1343613477379886E-2</v>
      </c>
      <c r="I5" s="6">
        <f>I3</f>
        <v>0.61397627125817167</v>
      </c>
      <c r="J5" s="6">
        <f>J3</f>
        <v>0.25568828392292481</v>
      </c>
      <c r="K5" s="6">
        <f>K3</f>
        <v>2.2671574703618136E-2</v>
      </c>
      <c r="L5" s="7">
        <f>SUM(C5:K5)</f>
        <v>-0.16979730838316448</v>
      </c>
      <c r="M5" s="6">
        <f>L5-2*O5</f>
        <v>-1.146974763171573</v>
      </c>
      <c r="N5" s="6">
        <f>L5+2*O5</f>
        <v>0.80738014640524414</v>
      </c>
      <c r="O5" s="11">
        <v>0.48858872739420428</v>
      </c>
      <c r="P5" s="11">
        <v>-0.95412607160617768</v>
      </c>
    </row>
    <row r="6" spans="1:16" ht="18" x14ac:dyDescent="0.35">
      <c r="A6" s="10">
        <f>A5+1</f>
        <v>4</v>
      </c>
      <c r="B6" s="4" t="s">
        <v>37</v>
      </c>
      <c r="C6" s="11">
        <f>C4</f>
        <v>0</v>
      </c>
      <c r="D6" s="11">
        <v>-0.66064141608917282</v>
      </c>
      <c r="E6" s="11">
        <f>E4</f>
        <v>7.2432768227601391E-2</v>
      </c>
      <c r="F6" s="11">
        <f>F4</f>
        <v>-7.7104873018738349E-2</v>
      </c>
      <c r="G6" s="11">
        <f>G4</f>
        <v>-0.47283242190776892</v>
      </c>
      <c r="H6" s="11">
        <f>H4</f>
        <v>0.1267281294207869</v>
      </c>
      <c r="I6" s="11">
        <f>I4</f>
        <v>0.3089780843728494</v>
      </c>
      <c r="J6" s="11">
        <f>J4</f>
        <v>3.4980541169895969E-2</v>
      </c>
      <c r="K6" s="11">
        <f>K4</f>
        <v>0.20057932180770943</v>
      </c>
      <c r="L6" s="7">
        <f>SUM(C6:K6)</f>
        <v>-0.46687986601683695</v>
      </c>
      <c r="M6" s="6">
        <f>L6-2*O6</f>
        <v>-1.2167980998471526</v>
      </c>
      <c r="N6" s="6">
        <f>L6+2*O6</f>
        <v>0.28303836781347858</v>
      </c>
      <c r="O6" s="11">
        <v>0.37495911691515776</v>
      </c>
      <c r="P6" s="11">
        <v>-1.1947936208713059</v>
      </c>
    </row>
  </sheetData>
  <conditionalFormatting sqref="L2:L5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N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N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N3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N5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:N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N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:N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N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N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N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F4EA-B4D3-46B3-B28B-C35CCD48CF08}">
  <dimension ref="A1:L6"/>
  <sheetViews>
    <sheetView zoomScale="115" zoomScaleNormal="115" workbookViewId="0">
      <selection activeCell="E12" sqref="E12"/>
    </sheetView>
  </sheetViews>
  <sheetFormatPr defaultRowHeight="15" x14ac:dyDescent="0.25"/>
  <cols>
    <col min="1" max="1" width="2" bestFit="1" customWidth="1"/>
    <col min="2" max="2" width="30.140625" bestFit="1" customWidth="1"/>
    <col min="3" max="3" width="7.28515625" bestFit="1" customWidth="1"/>
    <col min="4" max="4" width="12" customWidth="1"/>
    <col min="5" max="5" width="12" bestFit="1" customWidth="1"/>
    <col min="6" max="6" width="14.5703125" bestFit="1" customWidth="1"/>
    <col min="7" max="7" width="12" customWidth="1"/>
    <col min="8" max="8" width="10.140625" customWidth="1"/>
    <col min="9" max="9" width="7.85546875" customWidth="1"/>
    <col min="10" max="10" width="7.7109375" customWidth="1"/>
    <col min="11" max="11" width="15.85546875" bestFit="1" customWidth="1"/>
    <col min="12" max="12" width="7.85546875" bestFit="1" customWidth="1"/>
  </cols>
  <sheetData>
    <row r="1" spans="1:12" x14ac:dyDescent="0.25">
      <c r="B1" s="8" t="s">
        <v>0</v>
      </c>
      <c r="C1" s="8" t="s">
        <v>7</v>
      </c>
      <c r="D1" s="8" t="s">
        <v>33</v>
      </c>
      <c r="E1" s="8" t="s">
        <v>31</v>
      </c>
      <c r="F1" s="8" t="s">
        <v>30</v>
      </c>
      <c r="G1" s="8" t="s">
        <v>32</v>
      </c>
      <c r="H1" s="8" t="s">
        <v>1</v>
      </c>
      <c r="I1" s="8" t="s">
        <v>2</v>
      </c>
      <c r="J1" s="8" t="s">
        <v>3</v>
      </c>
      <c r="K1" s="8" t="s">
        <v>4</v>
      </c>
      <c r="L1" s="8" t="s">
        <v>6</v>
      </c>
    </row>
    <row r="2" spans="1:12" x14ac:dyDescent="0.25">
      <c r="A2" s="10">
        <v>0</v>
      </c>
      <c r="B2" s="4" t="s">
        <v>7</v>
      </c>
      <c r="C2" s="6">
        <v>3.2331069958939929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7">
        <f>SUM(C2:K2)</f>
        <v>3.2331069958939929</v>
      </c>
    </row>
    <row r="3" spans="1:12" ht="18" x14ac:dyDescent="0.35">
      <c r="A3" s="10">
        <f>A2+1</f>
        <v>1</v>
      </c>
      <c r="B3" s="4" t="s">
        <v>34</v>
      </c>
      <c r="C3" s="6">
        <v>0</v>
      </c>
      <c r="D3" s="6">
        <v>0.91140279880549546</v>
      </c>
      <c r="E3" s="6">
        <v>0.12972260375805139</v>
      </c>
      <c r="F3" s="6">
        <v>-0.70399289001025001</v>
      </c>
      <c r="G3" s="6">
        <v>0</v>
      </c>
      <c r="H3" s="6">
        <v>6.3446274363491886E-4</v>
      </c>
      <c r="I3" s="6">
        <v>0.59729056892953447</v>
      </c>
      <c r="J3" s="6">
        <v>0.17442917385875611</v>
      </c>
      <c r="K3" s="6">
        <v>2.2671568186465541E-2</v>
      </c>
      <c r="L3" s="7">
        <f>SUM(C3:K3)</f>
        <v>1.1321582862716879</v>
      </c>
    </row>
    <row r="4" spans="1:12" ht="18" x14ac:dyDescent="0.35">
      <c r="A4" s="10">
        <f>A3+1</f>
        <v>2</v>
      </c>
      <c r="B4" s="4" t="s">
        <v>35</v>
      </c>
      <c r="C4" s="6">
        <v>0</v>
      </c>
      <c r="D4" s="6">
        <v>0.90989849407046919</v>
      </c>
      <c r="E4" s="6">
        <v>4.4060099617704622E-2</v>
      </c>
      <c r="F4" s="6">
        <v>-7.9242587586658531E-2</v>
      </c>
      <c r="G4" s="6">
        <v>-0.51214916554530754</v>
      </c>
      <c r="H4" s="6">
        <v>1.127000340591491E-3</v>
      </c>
      <c r="I4" s="6">
        <v>0.30058115344365721</v>
      </c>
      <c r="J4" s="6">
        <v>2.3192835452465258E-2</v>
      </c>
      <c r="K4" s="6">
        <v>0.20057932720380489</v>
      </c>
      <c r="L4" s="7">
        <f>SUM(C4:K4)</f>
        <v>0.88804715699672665</v>
      </c>
    </row>
    <row r="5" spans="1:12" ht="18" x14ac:dyDescent="0.35">
      <c r="A5" s="10">
        <f>A4+1</f>
        <v>3</v>
      </c>
      <c r="B5" s="4" t="s">
        <v>36</v>
      </c>
      <c r="C5" s="6">
        <f>C3</f>
        <v>0</v>
      </c>
      <c r="D5" s="6">
        <v>-1.1748815207368279</v>
      </c>
      <c r="E5" s="6">
        <f>E3</f>
        <v>0.12972260375805139</v>
      </c>
      <c r="F5" s="6">
        <f>F3</f>
        <v>-0.70399289001025001</v>
      </c>
      <c r="G5" s="6">
        <f>G3</f>
        <v>0</v>
      </c>
      <c r="H5" s="6">
        <f>H3</f>
        <v>6.3446274363491886E-4</v>
      </c>
      <c r="I5" s="6">
        <f>I3</f>
        <v>0.59729056892953447</v>
      </c>
      <c r="J5" s="6">
        <f>J3</f>
        <v>0.17442917385875611</v>
      </c>
      <c r="K5" s="6">
        <f>K3</f>
        <v>2.2671568186465541E-2</v>
      </c>
      <c r="L5" s="7">
        <f>SUM(C5:K5)</f>
        <v>-0.9541260332706355</v>
      </c>
    </row>
    <row r="6" spans="1:12" ht="18" x14ac:dyDescent="0.35">
      <c r="A6" s="10">
        <f>A5+1</f>
        <v>4</v>
      </c>
      <c r="B6" s="4" t="s">
        <v>37</v>
      </c>
      <c r="C6" s="11">
        <f>C4</f>
        <v>0</v>
      </c>
      <c r="D6" s="11">
        <v>-1.1729423344219989</v>
      </c>
      <c r="E6" s="11">
        <f>E4</f>
        <v>4.4060099617704622E-2</v>
      </c>
      <c r="F6" s="11">
        <f>F4</f>
        <v>-7.9242587586658531E-2</v>
      </c>
      <c r="G6" s="11">
        <f>G4</f>
        <v>-0.51214916554530754</v>
      </c>
      <c r="H6" s="11">
        <f>H4</f>
        <v>1.127000340591491E-3</v>
      </c>
      <c r="I6" s="11">
        <f>I4</f>
        <v>0.30058115344365721</v>
      </c>
      <c r="J6" s="11">
        <f>J4</f>
        <v>2.3192835452465258E-2</v>
      </c>
      <c r="K6" s="11">
        <f>K4</f>
        <v>0.20057932720380489</v>
      </c>
      <c r="L6" s="7">
        <f>SUM(C6:K6)</f>
        <v>-1.1947936714957419</v>
      </c>
    </row>
  </sheetData>
  <conditionalFormatting sqref="L2:L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34B7-C8EC-45F5-9EAA-2EC71A9D1A45}">
  <dimension ref="A1:M6"/>
  <sheetViews>
    <sheetView zoomScale="175" zoomScaleNormal="175" workbookViewId="0">
      <selection activeCell="C13" sqref="C13"/>
    </sheetView>
  </sheetViews>
  <sheetFormatPr defaultRowHeight="15" x14ac:dyDescent="0.25"/>
  <cols>
    <col min="1" max="1" width="2" bestFit="1" customWidth="1"/>
    <col min="2" max="2" width="30.140625" bestFit="1" customWidth="1"/>
    <col min="3" max="3" width="9" customWidth="1"/>
    <col min="4" max="4" width="8.85546875" bestFit="1" customWidth="1"/>
    <col min="5" max="5" width="9.7109375" bestFit="1" customWidth="1"/>
    <col min="6" max="6" width="14.5703125" bestFit="1" customWidth="1"/>
    <col min="7" max="7" width="8.140625" bestFit="1" customWidth="1"/>
    <col min="8" max="8" width="10.140625" customWidth="1"/>
    <col min="9" max="10" width="8.140625" bestFit="1" customWidth="1"/>
    <col min="11" max="11" width="15.85546875" bestFit="1" customWidth="1"/>
    <col min="12" max="12" width="8.5703125" customWidth="1"/>
    <col min="13" max="13" width="12.140625" bestFit="1" customWidth="1"/>
  </cols>
  <sheetData>
    <row r="1" spans="1:13" x14ac:dyDescent="0.25">
      <c r="B1" s="8" t="s">
        <v>0</v>
      </c>
      <c r="C1" s="8" t="s">
        <v>7</v>
      </c>
      <c r="D1" s="8" t="s">
        <v>33</v>
      </c>
      <c r="E1" s="8" t="s">
        <v>31</v>
      </c>
      <c r="F1" s="8" t="s">
        <v>30</v>
      </c>
      <c r="G1" s="8" t="s">
        <v>32</v>
      </c>
      <c r="H1" s="8" t="s">
        <v>1</v>
      </c>
      <c r="I1" s="8" t="s">
        <v>2</v>
      </c>
      <c r="J1" s="8" t="s">
        <v>3</v>
      </c>
      <c r="K1" s="8" t="s">
        <v>4</v>
      </c>
      <c r="L1" s="8" t="s">
        <v>6</v>
      </c>
      <c r="M1" s="2" t="s">
        <v>38</v>
      </c>
    </row>
    <row r="2" spans="1:13" x14ac:dyDescent="0.25">
      <c r="A2" s="10">
        <v>0</v>
      </c>
      <c r="B2" s="4" t="s">
        <v>7</v>
      </c>
      <c r="C2" s="13">
        <v>6.6943200000000001E-6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4">
        <f>SUM(C2:K2)</f>
        <v>6.6943200000000001E-6</v>
      </c>
      <c r="M2" s="15">
        <v>5.340856486040915E-6</v>
      </c>
    </row>
    <row r="3" spans="1:13" ht="18" x14ac:dyDescent="0.35">
      <c r="A3" s="10">
        <f>A2+1</f>
        <v>1</v>
      </c>
      <c r="B3" s="4" t="s">
        <v>34</v>
      </c>
      <c r="C3" s="13">
        <v>0</v>
      </c>
      <c r="D3" s="13">
        <v>1.6705777396042129E-6</v>
      </c>
      <c r="E3" s="13">
        <v>6.8854121140152585E-7</v>
      </c>
      <c r="F3" s="13">
        <v>1.4083096299393821E-7</v>
      </c>
      <c r="G3" s="13">
        <v>0</v>
      </c>
      <c r="H3" s="13">
        <v>1.3597213122752501E-7</v>
      </c>
      <c r="I3" s="13">
        <v>6.4847120676158042E-7</v>
      </c>
      <c r="J3" s="13">
        <v>5.2076616628304309E-7</v>
      </c>
      <c r="K3" s="13">
        <v>1.8345972858115317E-10</v>
      </c>
      <c r="L3" s="14">
        <f>SUM(C3:K3)</f>
        <v>3.8053428780004071E-6</v>
      </c>
      <c r="M3" s="15">
        <v>3.049052100672147E-6</v>
      </c>
    </row>
    <row r="4" spans="1:13" ht="18" x14ac:dyDescent="0.35">
      <c r="A4" s="10">
        <f>A3+1</f>
        <v>2</v>
      </c>
      <c r="B4" s="4" t="s">
        <v>35</v>
      </c>
      <c r="C4" s="13">
        <v>0</v>
      </c>
      <c r="D4" s="13">
        <v>1.667820387962094E-6</v>
      </c>
      <c r="E4" s="13">
        <v>2.338620524594841E-7</v>
      </c>
      <c r="F4" s="13">
        <v>1.5852162824823598E-8</v>
      </c>
      <c r="G4" s="13">
        <v>2.949847520785111E-7</v>
      </c>
      <c r="H4" s="13">
        <v>2.4152819017620209E-7</v>
      </c>
      <c r="I4" s="13">
        <v>3.2633735311228648E-7</v>
      </c>
      <c r="J4" s="13">
        <v>1.0765083664155599E-7</v>
      </c>
      <c r="K4" s="13">
        <v>2.1938660002412398E-7</v>
      </c>
      <c r="L4" s="14">
        <f>SUM(C4:K4)</f>
        <v>3.1074223352790812E-6</v>
      </c>
      <c r="M4" s="15">
        <v>2.4092596606779111E-6</v>
      </c>
    </row>
    <row r="5" spans="1:13" ht="18" x14ac:dyDescent="0.35">
      <c r="A5" s="10">
        <f>A4+1</f>
        <v>3</v>
      </c>
      <c r="B5" s="4" t="s">
        <v>36</v>
      </c>
      <c r="C5" s="13">
        <f>C3</f>
        <v>0</v>
      </c>
      <c r="D5" s="13">
        <v>2.6371141232212291E-6</v>
      </c>
      <c r="E5" s="13">
        <f>E3</f>
        <v>6.8854121140152585E-7</v>
      </c>
      <c r="F5" s="13">
        <f>F3</f>
        <v>1.4083096299393821E-7</v>
      </c>
      <c r="G5" s="13">
        <f>G3</f>
        <v>0</v>
      </c>
      <c r="H5" s="13">
        <f>H3</f>
        <v>1.3597213122752501E-7</v>
      </c>
      <c r="I5" s="13">
        <f>I3</f>
        <v>6.4847120676158042E-7</v>
      </c>
      <c r="J5" s="13">
        <f>J3</f>
        <v>5.2076616628304309E-7</v>
      </c>
      <c r="K5" s="13">
        <f>K3</f>
        <v>1.8345972858115317E-10</v>
      </c>
      <c r="L5" s="14">
        <f>SUM(C5:K5)</f>
        <v>4.7718792616174235E-6</v>
      </c>
      <c r="M5" s="15">
        <v>3.5343076788616052E-6</v>
      </c>
    </row>
    <row r="6" spans="1:13" ht="18" x14ac:dyDescent="0.35">
      <c r="A6" s="10">
        <f>A5+1</f>
        <v>4</v>
      </c>
      <c r="B6" s="4" t="s">
        <v>37</v>
      </c>
      <c r="C6" s="15">
        <f>C4</f>
        <v>0</v>
      </c>
      <c r="D6" s="15">
        <v>2.6327614667804462E-6</v>
      </c>
      <c r="E6" s="15">
        <f>E4</f>
        <v>2.338620524594841E-7</v>
      </c>
      <c r="F6" s="15">
        <f>F4</f>
        <v>1.5852162824823598E-8</v>
      </c>
      <c r="G6" s="15">
        <f>G4</f>
        <v>2.949847520785111E-7</v>
      </c>
      <c r="H6" s="15">
        <f>H4</f>
        <v>2.4152819017620209E-7</v>
      </c>
      <c r="I6" s="15">
        <f>I4</f>
        <v>3.2633735311228648E-7</v>
      </c>
      <c r="J6" s="15">
        <f>J4</f>
        <v>1.0765083664155599E-7</v>
      </c>
      <c r="K6" s="15">
        <f>K4</f>
        <v>2.1938660002412398E-7</v>
      </c>
      <c r="L6" s="14">
        <f>SUM(C6:K6)</f>
        <v>4.0723634140974332E-6</v>
      </c>
      <c r="M6" s="15">
        <v>2.8937142855349961E-6</v>
      </c>
    </row>
  </sheetData>
  <conditionalFormatting sqref="L2:L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BCCA-56A8-4B7C-81FA-A2D0485D6B71}">
  <dimension ref="A1:M6"/>
  <sheetViews>
    <sheetView zoomScale="115" zoomScaleNormal="115" workbookViewId="0">
      <selection activeCell="F25" sqref="F25"/>
    </sheetView>
  </sheetViews>
  <sheetFormatPr defaultRowHeight="15" x14ac:dyDescent="0.25"/>
  <cols>
    <col min="1" max="1" width="2" bestFit="1" customWidth="1"/>
    <col min="2" max="2" width="30.140625" bestFit="1" customWidth="1"/>
    <col min="3" max="3" width="8.140625" bestFit="1" customWidth="1"/>
    <col min="4" max="4" width="12" customWidth="1"/>
    <col min="5" max="5" width="12" bestFit="1" customWidth="1"/>
    <col min="6" max="6" width="14.5703125" bestFit="1" customWidth="1"/>
    <col min="7" max="7" width="12" customWidth="1"/>
    <col min="8" max="8" width="10.140625" customWidth="1"/>
    <col min="9" max="9" width="7.85546875" customWidth="1"/>
    <col min="10" max="10" width="8.140625" bestFit="1" customWidth="1"/>
    <col min="11" max="11" width="15.85546875" bestFit="1" customWidth="1"/>
    <col min="12" max="12" width="7.85546875" bestFit="1" customWidth="1"/>
    <col min="13" max="13" width="12.140625" bestFit="1" customWidth="1"/>
  </cols>
  <sheetData>
    <row r="1" spans="1:13" x14ac:dyDescent="0.25">
      <c r="B1" s="8" t="s">
        <v>0</v>
      </c>
      <c r="C1" s="8" t="s">
        <v>7</v>
      </c>
      <c r="D1" s="8" t="s">
        <v>33</v>
      </c>
      <c r="E1" s="8" t="s">
        <v>31</v>
      </c>
      <c r="F1" s="8" t="s">
        <v>30</v>
      </c>
      <c r="G1" s="8" t="s">
        <v>32</v>
      </c>
      <c r="H1" s="8" t="s">
        <v>1</v>
      </c>
      <c r="I1" s="8" t="s">
        <v>2</v>
      </c>
      <c r="J1" s="8" t="s">
        <v>3</v>
      </c>
      <c r="K1" s="8" t="s">
        <v>4</v>
      </c>
      <c r="L1" s="8" t="s">
        <v>6</v>
      </c>
      <c r="M1" s="2" t="s">
        <v>38</v>
      </c>
    </row>
    <row r="2" spans="1:13" x14ac:dyDescent="0.25">
      <c r="A2" s="10">
        <v>0</v>
      </c>
      <c r="B2" s="4" t="s">
        <v>7</v>
      </c>
      <c r="C2" s="13">
        <v>1.9274003125793851E-8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4">
        <f>SUM(C2:K2)</f>
        <v>1.9274003125793851E-8</v>
      </c>
      <c r="M2" s="15">
        <v>1.58341E-8</v>
      </c>
    </row>
    <row r="3" spans="1:13" ht="18" x14ac:dyDescent="0.35">
      <c r="A3" s="10">
        <f>A2+1</f>
        <v>1</v>
      </c>
      <c r="B3" s="4" t="s">
        <v>34</v>
      </c>
      <c r="C3" s="13">
        <v>0</v>
      </c>
      <c r="D3" s="13">
        <v>4.4285359439005749E-9</v>
      </c>
      <c r="E3" s="13">
        <v>1.380053423922337E-9</v>
      </c>
      <c r="F3" s="13">
        <v>3.0933345017520101E-10</v>
      </c>
      <c r="G3" s="13">
        <v>0</v>
      </c>
      <c r="H3" s="13">
        <v>3.0052424408147249E-10</v>
      </c>
      <c r="I3" s="13">
        <v>1.9136792050493451E-9</v>
      </c>
      <c r="J3" s="13">
        <v>1.8990939669705317E-9</v>
      </c>
      <c r="K3" s="13">
        <v>4.19399642895777E-11</v>
      </c>
      <c r="L3" s="14">
        <f>SUM(C3:K3)</f>
        <v>1.0273160198389039E-8</v>
      </c>
      <c r="M3" s="15">
        <v>8.6097164623507582E-9</v>
      </c>
    </row>
    <row r="4" spans="1:13" ht="18" x14ac:dyDescent="0.35">
      <c r="A4" s="10">
        <f>A3+1</f>
        <v>2</v>
      </c>
      <c r="B4" s="4" t="s">
        <v>35</v>
      </c>
      <c r="C4" s="13">
        <v>0</v>
      </c>
      <c r="D4" s="13">
        <v>4.4212264780986477E-9</v>
      </c>
      <c r="E4" s="13">
        <v>4.6873320126368959E-10</v>
      </c>
      <c r="F4" s="13">
        <v>3.481907753164202E-11</v>
      </c>
      <c r="G4" s="13">
        <v>8.7822156157162725E-10</v>
      </c>
      <c r="H4" s="13">
        <v>5.3382318951529239E-10</v>
      </c>
      <c r="I4" s="13">
        <v>9.6304199780983525E-10</v>
      </c>
      <c r="J4" s="13">
        <v>4.7879907555940297E-10</v>
      </c>
      <c r="K4" s="13">
        <v>6.8590604716979093E-10</v>
      </c>
      <c r="L4" s="14">
        <f>SUM(C4:K4)</f>
        <v>8.4645706285199274E-9</v>
      </c>
      <c r="M4" s="15">
        <v>6.9713182258218446E-9</v>
      </c>
    </row>
    <row r="5" spans="1:13" ht="18" x14ac:dyDescent="0.35">
      <c r="A5" s="10">
        <f>A4+1</f>
        <v>3</v>
      </c>
      <c r="B5" s="4" t="s">
        <v>36</v>
      </c>
      <c r="C5" s="13">
        <f>C3</f>
        <v>0</v>
      </c>
      <c r="D5" s="13">
        <v>6.0608703807353247E-9</v>
      </c>
      <c r="E5" s="13">
        <f>E3</f>
        <v>1.380053423922337E-9</v>
      </c>
      <c r="F5" s="13">
        <f>F3</f>
        <v>3.0933345017520101E-10</v>
      </c>
      <c r="G5" s="13">
        <f>G3</f>
        <v>0</v>
      </c>
      <c r="H5" s="13">
        <f>H3</f>
        <v>3.0052424408147249E-10</v>
      </c>
      <c r="I5" s="13">
        <f>I3</f>
        <v>1.9136792050493451E-9</v>
      </c>
      <c r="J5" s="13">
        <f>J3</f>
        <v>1.8990939669705317E-9</v>
      </c>
      <c r="K5" s="13">
        <f>K3</f>
        <v>4.19399642895777E-11</v>
      </c>
      <c r="L5" s="14">
        <f>SUM(C5:K5)</f>
        <v>1.1905494635223789E-8</v>
      </c>
      <c r="M5" s="15">
        <v>9.1363840198889638E-9</v>
      </c>
    </row>
    <row r="6" spans="1:13" ht="18" x14ac:dyDescent="0.35">
      <c r="A6" s="10">
        <f>A5+1</f>
        <v>4</v>
      </c>
      <c r="B6" s="4" t="s">
        <v>37</v>
      </c>
      <c r="C6" s="15">
        <f>C4</f>
        <v>0</v>
      </c>
      <c r="D6" s="15">
        <v>6.0508666853066051E-9</v>
      </c>
      <c r="E6" s="15">
        <f>E4</f>
        <v>4.6873320126368959E-10</v>
      </c>
      <c r="F6" s="15">
        <f>F4</f>
        <v>3.481907753164202E-11</v>
      </c>
      <c r="G6" s="15">
        <f>G4</f>
        <v>8.7822156157162725E-10</v>
      </c>
      <c r="H6" s="15">
        <f>H4</f>
        <v>5.3382318951529239E-10</v>
      </c>
      <c r="I6" s="15">
        <f>I4</f>
        <v>9.6304199780983525E-10</v>
      </c>
      <c r="J6" s="15">
        <f>J4</f>
        <v>4.7879907555940297E-10</v>
      </c>
      <c r="K6" s="15">
        <f>K4</f>
        <v>6.8590604716979093E-10</v>
      </c>
      <c r="L6" s="14">
        <f>SUM(C6:K6)</f>
        <v>1.0094210835727885E-8</v>
      </c>
      <c r="M6" s="15">
        <v>7.4971164762274396E-9</v>
      </c>
    </row>
  </sheetData>
  <conditionalFormatting sqref="L2:L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A9E5-ED34-43ED-A319-50E4D514D12C}">
  <dimension ref="A1:M6"/>
  <sheetViews>
    <sheetView tabSelected="1" zoomScale="115" zoomScaleNormal="115" workbookViewId="0">
      <selection activeCell="K31" sqref="K31"/>
    </sheetView>
  </sheetViews>
  <sheetFormatPr defaultRowHeight="15" x14ac:dyDescent="0.25"/>
  <cols>
    <col min="1" max="1" width="2" bestFit="1" customWidth="1"/>
    <col min="2" max="2" width="30.140625" bestFit="1" customWidth="1"/>
    <col min="3" max="3" width="7.28515625" bestFit="1" customWidth="1"/>
    <col min="4" max="4" width="12" customWidth="1"/>
    <col min="5" max="5" width="12" bestFit="1" customWidth="1"/>
    <col min="6" max="6" width="14.5703125" bestFit="1" customWidth="1"/>
    <col min="7" max="7" width="12" customWidth="1"/>
    <col min="8" max="8" width="10.140625" customWidth="1"/>
    <col min="9" max="9" width="7.85546875" customWidth="1"/>
    <col min="10" max="10" width="7.7109375" customWidth="1"/>
    <col min="11" max="11" width="15.85546875" bestFit="1" customWidth="1"/>
    <col min="12" max="12" width="7.85546875" bestFit="1" customWidth="1"/>
    <col min="13" max="13" width="12.140625" bestFit="1" customWidth="1"/>
  </cols>
  <sheetData>
    <row r="1" spans="1:13" x14ac:dyDescent="0.25">
      <c r="B1" s="8" t="s">
        <v>0</v>
      </c>
      <c r="C1" s="8" t="s">
        <v>7</v>
      </c>
      <c r="D1" s="8" t="s">
        <v>33</v>
      </c>
      <c r="E1" s="8" t="s">
        <v>31</v>
      </c>
      <c r="F1" s="8" t="s">
        <v>30</v>
      </c>
      <c r="G1" s="8" t="s">
        <v>32</v>
      </c>
      <c r="H1" s="8" t="s">
        <v>1</v>
      </c>
      <c r="I1" s="8" t="s">
        <v>2</v>
      </c>
      <c r="J1" s="8" t="s">
        <v>3</v>
      </c>
      <c r="K1" s="8" t="s">
        <v>4</v>
      </c>
      <c r="L1" s="8" t="s">
        <v>6</v>
      </c>
      <c r="M1" s="2" t="s">
        <v>38</v>
      </c>
    </row>
    <row r="2" spans="1:13" x14ac:dyDescent="0.25">
      <c r="A2" s="10">
        <v>0</v>
      </c>
      <c r="B2" s="4" t="s">
        <v>7</v>
      </c>
      <c r="C2" s="6">
        <v>0.73646654921186183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7">
        <f>SUM(C2:K2)</f>
        <v>0.73646654921186183</v>
      </c>
      <c r="M2" s="11">
        <v>0.72195031700000001</v>
      </c>
    </row>
    <row r="3" spans="1:13" ht="18" x14ac:dyDescent="0.35">
      <c r="A3" s="10">
        <f>A2+1</f>
        <v>1</v>
      </c>
      <c r="B3" s="4" t="s">
        <v>34</v>
      </c>
      <c r="C3" s="6">
        <v>0</v>
      </c>
      <c r="D3" s="6">
        <v>0.29577328979759743</v>
      </c>
      <c r="E3" s="6">
        <v>1.9636354245024312E-2</v>
      </c>
      <c r="F3" s="6">
        <v>4.3339197941756622E-3</v>
      </c>
      <c r="G3" s="6">
        <v>0</v>
      </c>
      <c r="H3" s="6">
        <v>2.7756242534642361E-3</v>
      </c>
      <c r="I3" s="6">
        <v>8.0695353716333934E-2</v>
      </c>
      <c r="J3" s="6">
        <v>3.2660923476139865E-2</v>
      </c>
      <c r="K3" s="6">
        <v>2.3198355458831088E-9</v>
      </c>
      <c r="L3" s="7">
        <f>SUM(C3:K3)</f>
        <v>0.43587546760257095</v>
      </c>
      <c r="M3" s="11">
        <v>0.42713724240403489</v>
      </c>
    </row>
    <row r="4" spans="1:13" ht="18" x14ac:dyDescent="0.35">
      <c r="A4" s="10">
        <f>A3+1</f>
        <v>2</v>
      </c>
      <c r="B4" s="4" t="s">
        <v>35</v>
      </c>
      <c r="C4" s="6">
        <v>0</v>
      </c>
      <c r="D4" s="6">
        <v>0.29528510481405268</v>
      </c>
      <c r="E4" s="6">
        <v>6.6694600563058102E-3</v>
      </c>
      <c r="F4" s="6">
        <v>4.8783307865299272E-4</v>
      </c>
      <c r="G4" s="6">
        <v>5.4994808234209028E-3</v>
      </c>
      <c r="H4" s="6">
        <v>4.9303596001345918E-3</v>
      </c>
      <c r="I4" s="6">
        <v>4.0609217287777263E-2</v>
      </c>
      <c r="J4" s="6">
        <v>4.3809458844088984E-3</v>
      </c>
      <c r="K4" s="6">
        <v>-2.5984348006602431E-10</v>
      </c>
      <c r="L4" s="7">
        <f>SUM(C4:K4)</f>
        <v>0.35786240128490965</v>
      </c>
      <c r="M4" s="11">
        <v>0.34992349406760842</v>
      </c>
    </row>
    <row r="5" spans="1:13" ht="18" x14ac:dyDescent="0.35">
      <c r="A5" s="10">
        <f>A4+1</f>
        <v>3</v>
      </c>
      <c r="B5" s="4" t="s">
        <v>36</v>
      </c>
      <c r="C5" s="6">
        <f>C3</f>
        <v>0</v>
      </c>
      <c r="D5" s="6">
        <v>6.5049028467564357E-2</v>
      </c>
      <c r="E5" s="6">
        <f>E3</f>
        <v>1.9636354245024312E-2</v>
      </c>
      <c r="F5" s="6">
        <f>F3</f>
        <v>4.3339197941756622E-3</v>
      </c>
      <c r="G5" s="6">
        <f>G3</f>
        <v>0</v>
      </c>
      <c r="H5" s="6">
        <f>H3</f>
        <v>2.7756242534642361E-3</v>
      </c>
      <c r="I5" s="6">
        <f>I3</f>
        <v>8.0695353716333934E-2</v>
      </c>
      <c r="J5" s="6">
        <f>J3</f>
        <v>3.2660923476139865E-2</v>
      </c>
      <c r="K5" s="6">
        <f>K3</f>
        <v>2.3198355458831088E-9</v>
      </c>
      <c r="L5" s="7">
        <f>SUM(C5:K5)</f>
        <v>0.20515120627253791</v>
      </c>
      <c r="M5" s="11">
        <v>0.19123644528940659</v>
      </c>
    </row>
    <row r="6" spans="1:13" ht="18" x14ac:dyDescent="0.35">
      <c r="A6" s="10">
        <f>A5+1</f>
        <v>4</v>
      </c>
      <c r="B6" s="4" t="s">
        <v>37</v>
      </c>
      <c r="C6" s="11">
        <f>C4</f>
        <v>0</v>
      </c>
      <c r="D6" s="11">
        <v>6.4941662589753826E-2</v>
      </c>
      <c r="E6" s="11">
        <f>E4</f>
        <v>6.6694600563058102E-3</v>
      </c>
      <c r="F6" s="11">
        <f>F4</f>
        <v>4.8783307865299272E-4</v>
      </c>
      <c r="G6" s="11">
        <f>G4</f>
        <v>5.4994808234209028E-3</v>
      </c>
      <c r="H6" s="11">
        <f>H4</f>
        <v>4.9303596001345918E-3</v>
      </c>
      <c r="I6" s="11">
        <f>I4</f>
        <v>4.0609217287777263E-2</v>
      </c>
      <c r="J6" s="11">
        <f>J4</f>
        <v>4.3809458844088984E-3</v>
      </c>
      <c r="K6" s="11">
        <f>K4</f>
        <v>-2.5984348006602431E-10</v>
      </c>
      <c r="L6" s="7">
        <f>SUM(C6:K6)</f>
        <v>0.12751895906061081</v>
      </c>
      <c r="M6" s="11">
        <v>0.1144120701782454</v>
      </c>
    </row>
  </sheetData>
  <conditionalFormatting sqref="L2:L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6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1B8A9-7C5F-46CD-A739-FC1B7E2AD275}">
  <dimension ref="A1:E27"/>
  <sheetViews>
    <sheetView zoomScale="180" zoomScaleNormal="180" workbookViewId="0">
      <selection activeCell="D7" sqref="D7"/>
    </sheetView>
  </sheetViews>
  <sheetFormatPr defaultRowHeight="15" x14ac:dyDescent="0.25"/>
  <cols>
    <col min="1" max="1" width="4.5703125" customWidth="1"/>
    <col min="2" max="2" width="20.5703125" bestFit="1" customWidth="1"/>
    <col min="3" max="3" width="21" bestFit="1" customWidth="1"/>
    <col min="4" max="4" width="18.5703125" bestFit="1" customWidth="1"/>
    <col min="5" max="5" width="19" bestFit="1" customWidth="1"/>
  </cols>
  <sheetData>
    <row r="1" spans="1:5" x14ac:dyDescent="0.25">
      <c r="A1" s="12"/>
      <c r="B1" s="1" t="s">
        <v>65</v>
      </c>
      <c r="C1" t="s">
        <v>66</v>
      </c>
      <c r="D1" s="1" t="s">
        <v>67</v>
      </c>
      <c r="E1" s="1" t="s">
        <v>68</v>
      </c>
    </row>
    <row r="2" spans="1:5" x14ac:dyDescent="0.25">
      <c r="A2" s="18" t="s">
        <v>39</v>
      </c>
      <c r="B2" s="16">
        <v>0.86412212387251541</v>
      </c>
      <c r="C2" s="17">
        <v>-1.35680745975247</v>
      </c>
      <c r="D2" s="16">
        <v>1.0722815465243241</v>
      </c>
      <c r="E2" s="16">
        <v>-1.152319920616043</v>
      </c>
    </row>
    <row r="3" spans="1:5" x14ac:dyDescent="0.25">
      <c r="A3" s="18" t="s">
        <v>40</v>
      </c>
      <c r="B3" s="16">
        <v>0.89052265488195181</v>
      </c>
      <c r="C3" s="17">
        <v>-1.1873047431432511</v>
      </c>
      <c r="D3" s="16">
        <v>1.133563820889822</v>
      </c>
      <c r="E3" s="16">
        <v>-0.94769886847774265</v>
      </c>
    </row>
    <row r="4" spans="1:5" x14ac:dyDescent="0.25">
      <c r="A4" s="18" t="s">
        <v>41</v>
      </c>
      <c r="B4" s="16">
        <v>0.9065528367625808</v>
      </c>
      <c r="C4" s="17">
        <v>-1.1421818162666471</v>
      </c>
      <c r="D4" s="16">
        <v>1.1413674331773069</v>
      </c>
      <c r="E4" s="16">
        <v>-0.91075441188867734</v>
      </c>
    </row>
    <row r="5" spans="1:5" x14ac:dyDescent="0.25">
      <c r="A5" s="18" t="s">
        <v>42</v>
      </c>
      <c r="B5" s="16">
        <v>0.8832605975815252</v>
      </c>
      <c r="C5" s="17">
        <v>-1.2085780855127819</v>
      </c>
      <c r="D5" s="16">
        <v>1.129728955137471</v>
      </c>
      <c r="E5" s="16">
        <v>-0.96556818428697788</v>
      </c>
    </row>
    <row r="6" spans="1:5" x14ac:dyDescent="0.25">
      <c r="A6" s="18" t="s">
        <v>43</v>
      </c>
      <c r="B6" s="16">
        <v>0.83742501596129149</v>
      </c>
      <c r="C6" s="17">
        <v>-1.4181587284544761</v>
      </c>
      <c r="D6" s="16">
        <v>1.0664437991981659</v>
      </c>
      <c r="E6" s="16">
        <v>-1.1928691227789929</v>
      </c>
    </row>
    <row r="7" spans="1:5" x14ac:dyDescent="0.25">
      <c r="A7" s="18" t="s">
        <v>44</v>
      </c>
      <c r="B7" s="16">
        <v>0.89131913290144216</v>
      </c>
      <c r="C7" s="17">
        <v>-1.1854147410900739</v>
      </c>
      <c r="D7" s="16">
        <v>1.133807845491714</v>
      </c>
      <c r="E7" s="16">
        <v>-0.94635951190871659</v>
      </c>
    </row>
    <row r="8" spans="1:5" x14ac:dyDescent="0.25">
      <c r="A8" s="18" t="s">
        <v>45</v>
      </c>
      <c r="B8" s="16">
        <v>0.91385667690488248</v>
      </c>
      <c r="C8" s="17">
        <v>-1.1219064286131899</v>
      </c>
      <c r="D8" s="16">
        <v>1.144869938583239</v>
      </c>
      <c r="E8" s="16">
        <v>-0.89425891299156801</v>
      </c>
    </row>
    <row r="9" spans="1:5" x14ac:dyDescent="0.25">
      <c r="A9" s="18" t="s">
        <v>46</v>
      </c>
      <c r="B9" s="16">
        <v>0.88725422616685101</v>
      </c>
      <c r="C9" s="17">
        <v>-1.197244204829222</v>
      </c>
      <c r="D9" s="16">
        <v>1.131710695956256</v>
      </c>
      <c r="E9" s="16">
        <v>-0.95623405566296404</v>
      </c>
    </row>
    <row r="10" spans="1:5" x14ac:dyDescent="0.25">
      <c r="A10" s="18" t="s">
        <v>47</v>
      </c>
      <c r="B10" s="16">
        <v>0.89216263169928989</v>
      </c>
      <c r="C10" s="17">
        <v>-1.1831528049616651</v>
      </c>
      <c r="D10" s="16">
        <v>1.1341902372194581</v>
      </c>
      <c r="E10" s="16">
        <v>-0.9445563377348003</v>
      </c>
    </row>
    <row r="11" spans="1:5" x14ac:dyDescent="0.25">
      <c r="A11" s="18" t="s">
        <v>48</v>
      </c>
      <c r="B11" s="16">
        <v>0.82135422618195641</v>
      </c>
      <c r="C11" s="17">
        <v>-1.387393163070306</v>
      </c>
      <c r="D11" s="16">
        <v>1.098161680497622</v>
      </c>
      <c r="E11" s="16">
        <v>-1.1142374513348769</v>
      </c>
    </row>
    <row r="12" spans="1:5" x14ac:dyDescent="0.25">
      <c r="A12" s="18" t="s">
        <v>49</v>
      </c>
      <c r="B12" s="16">
        <v>0.88745009877223735</v>
      </c>
      <c r="C12" s="17">
        <v>-1.196642937546655</v>
      </c>
      <c r="D12" s="16">
        <v>1.131691877268449</v>
      </c>
      <c r="E12" s="16">
        <v>-0.95584680943081146</v>
      </c>
    </row>
    <row r="13" spans="1:5" x14ac:dyDescent="0.25">
      <c r="A13" s="18" t="s">
        <v>50</v>
      </c>
      <c r="B13" s="16">
        <v>0.87938954609493103</v>
      </c>
      <c r="C13" s="17">
        <v>-1.2921773681813451</v>
      </c>
      <c r="D13" s="16">
        <v>1.090689323908407</v>
      </c>
      <c r="E13" s="16">
        <v>-1.084467862123389</v>
      </c>
    </row>
    <row r="14" spans="1:5" x14ac:dyDescent="0.25">
      <c r="A14" s="18" t="s">
        <v>51</v>
      </c>
      <c r="B14" s="16">
        <v>0.85402670047945528</v>
      </c>
      <c r="C14" s="17">
        <v>-1.345441155938623</v>
      </c>
      <c r="D14" s="16">
        <v>1.0879680119610819</v>
      </c>
      <c r="E14" s="16">
        <v>-1.115136245099386</v>
      </c>
    </row>
    <row r="15" spans="1:5" x14ac:dyDescent="0.25">
      <c r="A15" s="18" t="s">
        <v>52</v>
      </c>
      <c r="B15" s="16">
        <v>0.88080965688634461</v>
      </c>
      <c r="C15" s="17">
        <v>-1.2728235350227151</v>
      </c>
      <c r="D15" s="16">
        <v>1.099164411919745</v>
      </c>
      <c r="E15" s="16">
        <v>-1.0580294017550189</v>
      </c>
    </row>
    <row r="16" spans="1:5" x14ac:dyDescent="0.25">
      <c r="A16" s="18" t="s">
        <v>53</v>
      </c>
      <c r="B16" s="16">
        <v>0.87211961182609599</v>
      </c>
      <c r="C16" s="17">
        <v>-1.352165476286102</v>
      </c>
      <c r="D16" s="16">
        <v>1.06693591079954</v>
      </c>
      <c r="E16" s="16">
        <v>-1.1610266085147849</v>
      </c>
    </row>
    <row r="17" spans="1:5" x14ac:dyDescent="0.25">
      <c r="A17" s="18" t="s">
        <v>54</v>
      </c>
      <c r="B17" s="16">
        <v>0.78631882474409653</v>
      </c>
      <c r="C17" s="17">
        <v>-1.482830064745164</v>
      </c>
      <c r="D17" s="16">
        <v>1.081852401984414</v>
      </c>
      <c r="E17" s="16">
        <v>-1.19104809244662</v>
      </c>
    </row>
    <row r="18" spans="1:5" x14ac:dyDescent="0.25">
      <c r="A18" s="18" t="s">
        <v>55</v>
      </c>
      <c r="B18" s="16">
        <v>0.86634392454785691</v>
      </c>
      <c r="C18" s="17">
        <v>-1.2575242903949999</v>
      </c>
      <c r="D18" s="16">
        <v>1.12108028497518</v>
      </c>
      <c r="E18" s="16">
        <v>-1.006299341020408</v>
      </c>
    </row>
    <row r="19" spans="1:5" x14ac:dyDescent="0.25">
      <c r="A19" s="18" t="s">
        <v>56</v>
      </c>
      <c r="B19" s="16">
        <v>0.87314841273738286</v>
      </c>
      <c r="C19" s="17">
        <v>-1.2371095418417579</v>
      </c>
      <c r="D19" s="16">
        <v>1.124755252087559</v>
      </c>
      <c r="E19" s="16">
        <v>-0.98899161157440674</v>
      </c>
    </row>
    <row r="20" spans="1:5" x14ac:dyDescent="0.25">
      <c r="A20" s="18" t="s">
        <v>57</v>
      </c>
      <c r="B20" s="16">
        <v>0.89559952525545272</v>
      </c>
      <c r="C20" s="17">
        <v>-1.2303139218328389</v>
      </c>
      <c r="D20" s="16">
        <v>1.106585892067385</v>
      </c>
      <c r="E20" s="16">
        <v>-1.0228423474749511</v>
      </c>
    </row>
    <row r="21" spans="1:5" x14ac:dyDescent="0.25">
      <c r="A21" s="18" t="s">
        <v>58</v>
      </c>
      <c r="B21" s="16">
        <v>0.77361024076586715</v>
      </c>
      <c r="C21" s="17">
        <v>-1.194263615994702</v>
      </c>
      <c r="D21" s="16">
        <v>1.0182729999721121</v>
      </c>
      <c r="E21" s="16">
        <v>-0.95285436091945785</v>
      </c>
    </row>
    <row r="22" spans="1:5" x14ac:dyDescent="0.25">
      <c r="A22" s="18" t="s">
        <v>59</v>
      </c>
      <c r="B22" s="16">
        <v>0.90727025962421526</v>
      </c>
      <c r="C22" s="17">
        <v>-1.140028231681248</v>
      </c>
      <c r="D22" s="16">
        <v>1.1417570573665929</v>
      </c>
      <c r="E22" s="16">
        <v>-0.90892625155611129</v>
      </c>
    </row>
    <row r="23" spans="1:5" x14ac:dyDescent="0.25">
      <c r="A23" s="18" t="s">
        <v>60</v>
      </c>
      <c r="B23" s="16">
        <v>0.93742020982682372</v>
      </c>
      <c r="C23" s="17">
        <v>-1.155484596969115</v>
      </c>
      <c r="D23" s="16">
        <v>1.10448097512498</v>
      </c>
      <c r="E23" s="16">
        <v>-0.99188405063332785</v>
      </c>
    </row>
    <row r="24" spans="1:5" x14ac:dyDescent="0.25">
      <c r="A24" s="18" t="s">
        <v>61</v>
      </c>
      <c r="B24" s="16">
        <v>0.91411410474928811</v>
      </c>
      <c r="C24" s="17">
        <v>-1.027909183749542</v>
      </c>
      <c r="D24" s="16">
        <v>1.192567886639188</v>
      </c>
      <c r="E24" s="16">
        <v>-0.75266616700596289</v>
      </c>
    </row>
    <row r="25" spans="1:5" x14ac:dyDescent="0.25">
      <c r="A25" s="18" t="s">
        <v>62</v>
      </c>
      <c r="B25" s="16">
        <v>0.90840328527748881</v>
      </c>
      <c r="C25" s="17">
        <v>-1.135701739974508</v>
      </c>
      <c r="D25" s="16">
        <v>1.142617769750238</v>
      </c>
      <c r="E25" s="16">
        <v>-0.9048667933318979</v>
      </c>
    </row>
    <row r="26" spans="1:5" x14ac:dyDescent="0.25">
      <c r="A26" s="18" t="s">
        <v>63</v>
      </c>
      <c r="B26" s="16">
        <v>0.9141588163109764</v>
      </c>
      <c r="C26" s="17">
        <v>-1.1207017559100241</v>
      </c>
      <c r="D26" s="16">
        <v>1.145113635624734</v>
      </c>
      <c r="E26" s="16">
        <v>-0.89311119048632037</v>
      </c>
    </row>
    <row r="27" spans="1:5" x14ac:dyDescent="0.25">
      <c r="A27" s="18" t="s">
        <v>64</v>
      </c>
      <c r="B27" s="16">
        <v>5.804153390273302</v>
      </c>
      <c r="C27" s="17">
        <v>-1.0235959765384051</v>
      </c>
      <c r="D27" s="16">
        <v>6.0940173695435007</v>
      </c>
      <c r="E27" s="16">
        <v>-0.74502037873333971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ethylene_prices_naphtha</vt:lpstr>
      <vt:lpstr>economics</vt:lpstr>
      <vt:lpstr>climate_change_impacts</vt:lpstr>
      <vt:lpstr>climate_change_impacts_2050</vt:lpstr>
      <vt:lpstr>human_health_impacts</vt:lpstr>
      <vt:lpstr>ecosystem_quality_impacts</vt:lpstr>
      <vt:lpstr>natural_resources_impacts</vt:lpstr>
      <vt:lpstr>regionalization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2025-02-26T07:22:30Z</dcterms:created>
  <dcterms:modified xsi:type="dcterms:W3CDTF">2025-06-24T08:23:07Z</dcterms:modified>
</cp:coreProperties>
</file>