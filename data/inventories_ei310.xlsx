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data\"/>
    </mc:Choice>
  </mc:AlternateContent>
  <xr:revisionPtr revIDLastSave="0" documentId="13_ncr:1_{490F9F66-A8F4-45EE-8510-9B51642ADE36}" xr6:coauthVersionLast="36" xr6:coauthVersionMax="47" xr10:uidLastSave="{00000000-0000-0000-0000-000000000000}"/>
  <bookViews>
    <workbookView xWindow="0" yWindow="495" windowWidth="14400" windowHeight="4110" activeTab="5" xr2:uid="{79F87D26-5407-4579-9D8D-FA563FE5FD90}"/>
  </bookViews>
  <sheets>
    <sheet name="hydrogen" sheetId="14" r:id="rId1"/>
    <sheet name="carbon dioxide" sheetId="16" r:id="rId2"/>
    <sheet name="methanol" sheetId="24" r:id="rId3"/>
    <sheet name="methanol-to-olefins" sheetId="17" r:id="rId4"/>
    <sheet name="biogas" sheetId="21" r:id="rId5"/>
    <sheet name="propanol" sheetId="2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4" i="23" l="1"/>
  <c r="C69" i="23"/>
  <c r="C179" i="14" l="1"/>
  <c r="C178" i="14"/>
  <c r="C177" i="14"/>
  <c r="C176" i="14"/>
  <c r="C17" i="17" l="1"/>
  <c r="C10" i="17"/>
  <c r="C18" i="17"/>
  <c r="C15" i="17"/>
  <c r="C14" i="17"/>
  <c r="C13" i="17"/>
  <c r="C12" i="17"/>
  <c r="C11" i="17"/>
  <c r="C16" i="17"/>
</calcChain>
</file>

<file path=xl/sharedStrings.xml><?xml version="1.0" encoding="utf-8"?>
<sst xmlns="http://schemas.openxmlformats.org/spreadsheetml/2006/main" count="1999" uniqueCount="251">
  <si>
    <t>Activity</t>
  </si>
  <si>
    <t>comment</t>
  </si>
  <si>
    <t>location</t>
  </si>
  <si>
    <t>GLO</t>
  </si>
  <si>
    <t>production amount</t>
  </si>
  <si>
    <t>reference product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</si>
  <si>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</si>
  <si>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</si>
  <si>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</si>
  <si>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</si>
  <si>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</si>
  <si>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</si>
  <si>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</si>
  <si>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</si>
  <si>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production</t>
  </si>
  <si>
    <t>RoW</t>
  </si>
  <si>
    <t>technosphere</t>
  </si>
  <si>
    <t>cubic meter</t>
  </si>
  <si>
    <t>Carbon dioxide, fossil</t>
  </si>
  <si>
    <t>biosphere</t>
  </si>
  <si>
    <t>Nitrogen oxides</t>
  </si>
  <si>
    <t>air</t>
  </si>
  <si>
    <t>Database</t>
  </si>
  <si>
    <t xml:space="preserve">electricity, high voltage </t>
  </si>
  <si>
    <t xml:space="preserve">kilowatt hour </t>
  </si>
  <si>
    <t>natural resource::in water</t>
  </si>
  <si>
    <t>pipeline, supercritical carbon dioxide per km</t>
  </si>
  <si>
    <t>kilometer</t>
  </si>
  <si>
    <t>square meter-year</t>
  </si>
  <si>
    <t>square meter</t>
  </si>
  <si>
    <t>megajoule</t>
  </si>
  <si>
    <t>ton kilometer</t>
  </si>
  <si>
    <t>hour</t>
  </si>
  <si>
    <t>natural resource::land</t>
  </si>
  <si>
    <t>Occupation, construction site</t>
  </si>
  <si>
    <t>Transformation, from forest, unspecified</t>
  </si>
  <si>
    <t>Transformation, to heterogeneous, agricultural</t>
  </si>
  <si>
    <t>Water, unspecified natural origin</t>
  </si>
  <si>
    <t>drawing of pipe, steel</t>
  </si>
  <si>
    <t>gravel and sand quarry operation</t>
  </si>
  <si>
    <t>market for diesel, burned in building machine</t>
  </si>
  <si>
    <t>market for steel, low-alloyed</t>
  </si>
  <si>
    <t>market for stone wool, packed</t>
  </si>
  <si>
    <t>market for transport, freight train</t>
  </si>
  <si>
    <t>market for transport, freight, lorry, unspecified</t>
  </si>
  <si>
    <t>transport, helicopter</t>
  </si>
  <si>
    <t>transport, helicopter, LTO cycle</t>
  </si>
  <si>
    <t>treatment of inert waste, inert material landfill</t>
  </si>
  <si>
    <t>treatment of scrap steel, inert material landfill</t>
  </si>
  <si>
    <t>treatment of waste mineral wool, inert material landfill</t>
  </si>
  <si>
    <t>sand</t>
  </si>
  <si>
    <t>diesel, burned in building machine</t>
  </si>
  <si>
    <t>steel, low-alloyed</t>
  </si>
  <si>
    <t>stone wool, packed</t>
  </si>
  <si>
    <t>transport, freight train</t>
  </si>
  <si>
    <t xml:space="preserve">transport, freight, lorry, unspecified </t>
  </si>
  <si>
    <t>inert waste, for final disposal</t>
  </si>
  <si>
    <t>scrap steel</t>
  </si>
  <si>
    <t>waste mineral wool, for final disposal</t>
  </si>
  <si>
    <t>market for drawing of pipe, steel</t>
  </si>
  <si>
    <t>air::urban air close to ground</t>
  </si>
  <si>
    <t>drilling, deep borehole per meter</t>
  </si>
  <si>
    <t>meter</t>
  </si>
  <si>
    <t>activated bentonite</t>
  </si>
  <si>
    <t>barite</t>
  </si>
  <si>
    <t>cement, Portland</t>
  </si>
  <si>
    <t>diesel, burned in diesel-electric generating set, 18.5kW</t>
  </si>
  <si>
    <t>lignite</t>
  </si>
  <si>
    <t>chemical, organic</t>
  </si>
  <si>
    <t>chemical, inorganic</t>
  </si>
  <si>
    <t>lubricating oil</t>
  </si>
  <si>
    <t>drilling waste</t>
  </si>
  <si>
    <t>hazardous waste, for incineration</t>
  </si>
  <si>
    <t>cement production, Portland</t>
  </si>
  <si>
    <t>lignite mine operation</t>
  </si>
  <si>
    <t>market for chemical, organic</t>
  </si>
  <si>
    <t>market for lubricating oil</t>
  </si>
  <si>
    <t>treatment of drilling waste, landfarming</t>
  </si>
  <si>
    <t>treatment of drilling waste, residual material landfill</t>
  </si>
  <si>
    <t>treatment of hazardous waste, hazardous waste incineration</t>
  </si>
  <si>
    <t>market for activated bentonite</t>
  </si>
  <si>
    <t>market for barite</t>
  </si>
  <si>
    <t>market for chemical, inorganic</t>
  </si>
  <si>
    <t xml:space="preserve">gas turbine, 10MW electrical </t>
  </si>
  <si>
    <t>electricity, high voltage</t>
  </si>
  <si>
    <t>market for gas turbine, 10MW electrical</t>
  </si>
  <si>
    <t>market group for electricity, high voltage</t>
  </si>
  <si>
    <t>kilowatt hour</t>
  </si>
  <si>
    <t>BOD5, Biological Oxygen Demand</t>
  </si>
  <si>
    <t>Boron</t>
  </si>
  <si>
    <t>COD, Chemical Oxygen Demand</t>
  </si>
  <si>
    <t>Chloride</t>
  </si>
  <si>
    <t>DOC, Dissolved Organic Carbon</t>
  </si>
  <si>
    <t>Fluoride</t>
  </si>
  <si>
    <t>Hydrocarbons, aromatic</t>
  </si>
  <si>
    <t>Magnesium</t>
  </si>
  <si>
    <t>Phosphorus</t>
  </si>
  <si>
    <t>Silicon</t>
  </si>
  <si>
    <t>Sulfur</t>
  </si>
  <si>
    <t>TOC, Total Organic Carbon</t>
  </si>
  <si>
    <t>Water, well, in ground</t>
  </si>
  <si>
    <t>water::surface water</t>
  </si>
  <si>
    <t>air::non-urban air or from high stacks</t>
  </si>
  <si>
    <t>Aluminium III</t>
  </si>
  <si>
    <t>Arsenic ion</t>
  </si>
  <si>
    <t>Barium II</t>
  </si>
  <si>
    <t>Calcium II</t>
  </si>
  <si>
    <t>Chromium VI</t>
  </si>
  <si>
    <t>Iron ion</t>
  </si>
  <si>
    <t>Particulate Matter, &gt; 10 um</t>
  </si>
  <si>
    <t>Potassium I</t>
  </si>
  <si>
    <t>Sodium I</t>
  </si>
  <si>
    <t>Zinc II</t>
  </si>
  <si>
    <t>heat production, natural gas, at boiler condensing modulating &gt;100kW</t>
  </si>
  <si>
    <t>heat, district or industrial, natural gas</t>
  </si>
  <si>
    <t>activated carbon, granular</t>
  </si>
  <si>
    <t>transport, pipeline, supercritical carbon dioxide, 200 km without recompression</t>
  </si>
  <si>
    <t>carbon dioxide storage and transport 200 km pipeline, storage 1000 m</t>
  </si>
  <si>
    <t>D'Angelo et al. (2021), DOI: https://doi.org/10.1021/acssuschemeng.1c01915</t>
  </si>
  <si>
    <t>materials for gasket construction, cell stack, PEM electrolyser</t>
  </si>
  <si>
    <t>tetrafluoroethylene production</t>
  </si>
  <si>
    <t>tetrafluoroethylene</t>
  </si>
  <si>
    <t>acrylonitrile-butadiene-styrene copolymer</t>
  </si>
  <si>
    <t>aniline</t>
  </si>
  <si>
    <t>acetic anhydride</t>
  </si>
  <si>
    <t>purified terephthalic acid</t>
  </si>
  <si>
    <t>nitric acid, without water, in 50% solution state</t>
  </si>
  <si>
    <t>hydrochloric acid, without water, in 30% solution state</t>
  </si>
  <si>
    <t>graphite</t>
  </si>
  <si>
    <t>acrylonitrile-butadiene-styrene copolymer production</t>
  </si>
  <si>
    <t>aniline production</t>
  </si>
  <si>
    <t>purified terephthalic acid production</t>
  </si>
  <si>
    <t>nitric acid production, product in 50% solution state</t>
  </si>
  <si>
    <t>hydrochloric acid production, from the reaction of hydrogen with chlorine</t>
  </si>
  <si>
    <t>graphite production</t>
  </si>
  <si>
    <t>lubricating oil production</t>
  </si>
  <si>
    <t>cell stack construction, PEM electrolyser</t>
  </si>
  <si>
    <t>copper production, cathode, solvent extraction and electrowinning process</t>
  </si>
  <si>
    <t>steel production, converter, unalloyed</t>
  </si>
  <si>
    <t>titanium production</t>
  </si>
  <si>
    <t>aluminium production, primary, ingot</t>
  </si>
  <si>
    <t>activated carbon production, granular from hard coal</t>
  </si>
  <si>
    <t>treatment of metal part of electronics scrap, in copper, anode, by electrolytic refining</t>
  </si>
  <si>
    <t>water production, decarbonised</t>
  </si>
  <si>
    <t>water production, deionised</t>
  </si>
  <si>
    <t>steam production, as energy carrier, in chemical industry</t>
  </si>
  <si>
    <t>industrial machine production, heavy, unspecified</t>
  </si>
  <si>
    <t>plaster mixing</t>
  </si>
  <si>
    <t>calendering, rigid sheets</t>
  </si>
  <si>
    <t>copper, cathode</t>
  </si>
  <si>
    <t>natural resource::in ground</t>
  </si>
  <si>
    <t>steel, unalloyed</t>
  </si>
  <si>
    <t>titanium</t>
  </si>
  <si>
    <t>aluminium, primary, ingot</t>
  </si>
  <si>
    <t>precious metal from electronics scrap, in anode slime</t>
  </si>
  <si>
    <t>water, decarbonised</t>
  </si>
  <si>
    <t>water, deionised</t>
  </si>
  <si>
    <t>heat, from steam, in chemical industry</t>
  </si>
  <si>
    <t>industrial machine, heavy, unspecified</t>
  </si>
  <si>
    <t>Iridium</t>
  </si>
  <si>
    <t>Platinum</t>
  </si>
  <si>
    <t>Carbon dioxide, in air</t>
  </si>
  <si>
    <t>natural resource::in air</t>
  </si>
  <si>
    <t>Water</t>
  </si>
  <si>
    <t>market for wastewater, average</t>
  </si>
  <si>
    <t>wastewater, average</t>
  </si>
  <si>
    <t>Antonini et al. (2020), DOI: https://doi.org/10.1039/D0SE00222D</t>
  </si>
  <si>
    <t>gas turbine, 10MW electrical</t>
  </si>
  <si>
    <t>carbon dioxide capture, from atmosphere, solid sorbents with heat pumps, with transport and storage, 200 km pipeline storage 1000 m</t>
  </si>
  <si>
    <t>Terlouw et al. (2021), DOI: https://doi.org/10.1021/acs.est.1c03263</t>
  </si>
  <si>
    <t>market for heat pump, brine-water, 10kW</t>
  </si>
  <si>
    <t>market for air compressor, screw-type compressor, 300kW</t>
  </si>
  <si>
    <t>treatment of spent anion exchange resin from potable water production, municipal incineration</t>
  </si>
  <si>
    <t>heat pump, brine-water, 10kW</t>
  </si>
  <si>
    <t>air compressor, screw-type compressor, 300kW</t>
  </si>
  <si>
    <t>spent anion exchange resin from potable water production</t>
  </si>
  <si>
    <t>Methanol</t>
  </si>
  <si>
    <t>González-Garay et al. (2019), DOI: https://doi.org/10.1039/C9EE01673B</t>
  </si>
  <si>
    <t>electricity production, wind, &gt;3MW turbine, onshore</t>
  </si>
  <si>
    <t>Manganese II</t>
  </si>
  <si>
    <t>Ioannou et al. (2020), DOI: https://doi.org/10.1002/cssc.202001312</t>
  </si>
  <si>
    <t>market for steam, in chemical industry</t>
  </si>
  <si>
    <t>steam, in chemical industry</t>
  </si>
  <si>
    <t>market for monoethanolamine</t>
  </si>
  <si>
    <t>monoethanolamine</t>
  </si>
  <si>
    <t>Monoethanolamine</t>
  </si>
  <si>
    <t>cooling water</t>
  </si>
  <si>
    <t>Ioannou et al. (2023), DOI: https://doi.org/10.1021/acssuschemeng.2c06724</t>
  </si>
  <si>
    <t>methanol production, from carbon dioxide and hydrogen</t>
  </si>
  <si>
    <t>ecoinvent-3.10-biosphere</t>
  </si>
  <si>
    <t>AOX, Adsorbable Organic Halides</t>
  </si>
  <si>
    <t>Dichloromethane</t>
  </si>
  <si>
    <t>Strontium II</t>
  </si>
  <si>
    <t>acetic anhydride production, acetic acid pyrolysis, via ketene intermediate</t>
  </si>
  <si>
    <t>hydrogen production, PEM electrolysis, green</t>
  </si>
  <si>
    <t>water</t>
  </si>
  <si>
    <t>Water, cooling, unspecified natural origin</t>
  </si>
  <si>
    <t>inventories-ei310-Base-2025</t>
  </si>
  <si>
    <t>nc-inventories-ei310-Base-2025</t>
  </si>
  <si>
    <t>Carbon dioxide, non-fossil</t>
  </si>
  <si>
    <t>NMVOC, non-methane volatile organic compounds</t>
  </si>
  <si>
    <t>Carbon monoxide, non-fossil</t>
  </si>
  <si>
    <t>treatment of biowaste by anaerobic digestion, cut-off with biogenic carbon uptake</t>
  </si>
  <si>
    <t xml:space="preserve">Istrate et al. (2024), DOI: </t>
  </si>
  <si>
    <t>biogas</t>
  </si>
  <si>
    <t>treatment of industrial wastewater by anaerobic digestion, cut-off with biogenic carbon uptake</t>
  </si>
  <si>
    <t>treatment of sewage sludge by anaerobic digestion, cut-off with biogenic carbon uptake</t>
  </si>
  <si>
    <t>anaerobic digestion of animal manure, with biogenic carbon uptake</t>
  </si>
  <si>
    <t>animal manure</t>
  </si>
  <si>
    <t>animal manure collection</t>
  </si>
  <si>
    <t>electricity, low voltage</t>
  </si>
  <si>
    <t>market group for electricity, low voltage</t>
  </si>
  <si>
    <t>anaerobic digestion plant, agriculture, with methane recovery</t>
  </si>
  <si>
    <t>anaerobic digestion plant construction, agriculture, with methane recovery</t>
  </si>
  <si>
    <t>gas boiler</t>
  </si>
  <si>
    <t>market for gas boiler</t>
  </si>
  <si>
    <t>Methane, non-fossil</t>
  </si>
  <si>
    <t>Dinitrogen monoxide</t>
  </si>
  <si>
    <t>Sulfur dioxide</t>
  </si>
  <si>
    <t>anaerobic digestion of agricultural residues, with biogenic carbon uptake</t>
  </si>
  <si>
    <t>agricultural residues</t>
  </si>
  <si>
    <t>agricultural residues collection</t>
  </si>
  <si>
    <t>anaerobic digestion of sequential crop, with biogenic carbon uptake</t>
  </si>
  <si>
    <t>oat forage, sequential crop</t>
  </si>
  <si>
    <t>oat forage production, sequential crop for anaerobic digestion</t>
  </si>
  <si>
    <t>transport, freight, lorry, unspecified</t>
  </si>
  <si>
    <t>inorganic nitrogen fertiliser, as N</t>
  </si>
  <si>
    <t>market group for inorganic nitrogen fertiliser, as N</t>
  </si>
  <si>
    <t>RER</t>
  </si>
  <si>
    <t>combine harvesting</t>
  </si>
  <si>
    <t>market for combine harvesting</t>
  </si>
  <si>
    <t>hectare</t>
  </si>
  <si>
    <t>Nitrate</t>
  </si>
  <si>
    <t>water::ground-</t>
  </si>
  <si>
    <t>market for biogas, sustainable feedstocks</t>
  </si>
  <si>
    <t>tap water</t>
  </si>
  <si>
    <t>market for tap water</t>
  </si>
  <si>
    <t>Ethane</t>
  </si>
  <si>
    <t>ecoinvent-3.10-cutoff-image-SSP2-Base-2025</t>
  </si>
  <si>
    <t>Hydrogen</t>
  </si>
  <si>
    <t>ethylene production, green methanol-to-olefins</t>
  </si>
  <si>
    <t>propanol production, fossil</t>
  </si>
  <si>
    <t>1-propanol</t>
  </si>
  <si>
    <t>1-propanol production</t>
  </si>
  <si>
    <t>propanol production, DAC carbon dioxide, wind hydrogen, fossil ethylene</t>
  </si>
  <si>
    <t>ethylene</t>
  </si>
  <si>
    <t>market for ethylene</t>
  </si>
  <si>
    <t>Isopropanol</t>
  </si>
  <si>
    <t>propanol production, DAC carbon dioxide, wind hydrogen, green ethylene</t>
  </si>
  <si>
    <t>propanol production, biogas, fossil ethylene</t>
  </si>
  <si>
    <t>propanol production, biogas, green 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</si>
</sst>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E+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7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3" borderId="0" xfId="1" applyFont="1" applyFill="1"/>
    <xf numFmtId="0" fontId="3" fillId="3" borderId="0" xfId="1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" fillId="0" borderId="0" xfId="0" applyFont="1"/>
    <xf numFmtId="166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center"/>
    </xf>
    <xf numFmtId="0" fontId="3" fillId="0" borderId="0" xfId="1" applyFont="1"/>
    <xf numFmtId="0" fontId="4" fillId="0" borderId="0" xfId="0" applyFont="1"/>
    <xf numFmtId="0" fontId="3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0" fillId="0" borderId="0" xfId="0" applyFill="1"/>
    <xf numFmtId="0" fontId="1" fillId="0" borderId="0" xfId="0" applyFont="1" applyFill="1"/>
    <xf numFmtId="165" fontId="0" fillId="0" borderId="0" xfId="0" applyNumberFormat="1" applyFill="1" applyAlignment="1">
      <alignment horizontal="center"/>
    </xf>
    <xf numFmtId="164" fontId="0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11" fontId="0" fillId="0" borderId="0" xfId="0" applyNumberFormat="1"/>
    <xf numFmtId="165" fontId="3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left"/>
    </xf>
    <xf numFmtId="0" fontId="0" fillId="0" borderId="0" xfId="0" applyFont="1"/>
    <xf numFmtId="165" fontId="1" fillId="0" borderId="0" xfId="0" applyNumberFormat="1" applyFont="1" applyAlignment="1">
      <alignment horizontal="left"/>
    </xf>
    <xf numFmtId="165" fontId="0" fillId="0" borderId="0" xfId="0" applyNumberFormat="1" applyFont="1" applyAlignment="1">
      <alignment horizontal="left"/>
    </xf>
  </cellXfs>
  <cellStyles count="3">
    <cellStyle name="Normal" xfId="0" builtinId="0"/>
    <cellStyle name="Normal 11" xfId="1" xr:uid="{D5C3E5E0-2437-4066-8988-DB8BCB10E055}"/>
    <cellStyle name="Normal 2" xfId="2" xr:uid="{A1DF0082-2011-4488-98FF-AECE10E3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2C32-C4F6-41C6-855E-97A9929F367E}">
  <dimension ref="A1:H179"/>
  <sheetViews>
    <sheetView zoomScale="85" zoomScaleNormal="85" workbookViewId="0">
      <selection activeCell="B29" sqref="B29"/>
    </sheetView>
  </sheetViews>
  <sheetFormatPr defaultRowHeight="15" x14ac:dyDescent="0.25"/>
  <cols>
    <col min="1" max="1" width="73.28515625" bestFit="1" customWidth="1"/>
    <col min="2" max="2" width="88.42578125" bestFit="1" customWidth="1"/>
    <col min="3" max="3" width="8.7109375" bestFit="1" customWidth="1"/>
    <col min="4" max="4" width="17.7109375" bestFit="1" customWidth="1"/>
    <col min="5" max="5" width="8.140625" bestFit="1" customWidth="1"/>
    <col min="6" max="6" width="34.28515625" bestFit="1" customWidth="1"/>
    <col min="7" max="7" width="44.5703125" bestFit="1" customWidth="1"/>
    <col min="8" max="8" width="13.42578125" bestFit="1" customWidth="1"/>
  </cols>
  <sheetData>
    <row r="1" spans="1:8" x14ac:dyDescent="0.25">
      <c r="A1" s="4" t="s">
        <v>22</v>
      </c>
      <c r="B1" s="4" t="s">
        <v>197</v>
      </c>
      <c r="C1" s="19"/>
      <c r="D1" s="5"/>
      <c r="E1" s="5"/>
      <c r="F1" s="5"/>
      <c r="G1" s="5"/>
      <c r="H1" s="5"/>
    </row>
    <row r="2" spans="1:8" x14ac:dyDescent="0.25">
      <c r="A2" s="2"/>
      <c r="B2" s="2"/>
      <c r="C2" s="18"/>
      <c r="D2" s="2"/>
      <c r="E2" s="2"/>
      <c r="F2" s="2"/>
      <c r="G2" s="2"/>
      <c r="H2" s="2"/>
    </row>
    <row r="3" spans="1:8" x14ac:dyDescent="0.25">
      <c r="A3" s="1" t="s">
        <v>0</v>
      </c>
      <c r="B3" s="8" t="s">
        <v>194</v>
      </c>
      <c r="C3" s="17"/>
      <c r="D3" s="3"/>
      <c r="E3" s="3"/>
      <c r="F3" s="3"/>
      <c r="G3" s="3"/>
      <c r="H3" s="3"/>
    </row>
    <row r="4" spans="1:8" x14ac:dyDescent="0.25">
      <c r="A4" s="3" t="s">
        <v>1</v>
      </c>
      <c r="B4" s="6" t="s">
        <v>118</v>
      </c>
      <c r="C4" s="17"/>
      <c r="D4" s="3"/>
      <c r="E4" s="3"/>
      <c r="F4" s="3"/>
      <c r="G4" s="3"/>
      <c r="H4" s="3"/>
    </row>
    <row r="5" spans="1:8" x14ac:dyDescent="0.25">
      <c r="A5" s="3" t="s">
        <v>2</v>
      </c>
      <c r="B5" t="s">
        <v>3</v>
      </c>
      <c r="C5" s="17"/>
      <c r="D5" s="3"/>
      <c r="E5" s="3"/>
      <c r="F5" s="3"/>
      <c r="G5" s="3"/>
      <c r="H5" s="3"/>
    </row>
    <row r="6" spans="1:8" x14ac:dyDescent="0.25">
      <c r="A6" s="3" t="s">
        <v>4</v>
      </c>
      <c r="B6" s="9">
        <v>1</v>
      </c>
      <c r="C6" s="17"/>
      <c r="D6" s="3"/>
      <c r="E6" s="3"/>
      <c r="F6" s="3"/>
      <c r="G6" s="3"/>
      <c r="H6" s="3"/>
    </row>
    <row r="7" spans="1:8" x14ac:dyDescent="0.25">
      <c r="A7" s="3" t="s">
        <v>5</v>
      </c>
      <c r="B7" t="s">
        <v>194</v>
      </c>
      <c r="C7" s="17"/>
      <c r="D7" s="3"/>
      <c r="E7" s="3"/>
      <c r="F7" s="3"/>
      <c r="G7" s="3"/>
      <c r="H7" s="3"/>
    </row>
    <row r="8" spans="1:8" x14ac:dyDescent="0.25">
      <c r="A8" s="3" t="s">
        <v>6</v>
      </c>
      <c r="B8" t="s">
        <v>7</v>
      </c>
      <c r="C8" s="17"/>
      <c r="D8" s="3"/>
      <c r="E8" s="3"/>
      <c r="F8" s="3"/>
      <c r="G8" s="3"/>
      <c r="H8" s="3"/>
    </row>
    <row r="9" spans="1:8" x14ac:dyDescent="0.25">
      <c r="A9" s="1" t="s">
        <v>8</v>
      </c>
      <c r="B9" s="3"/>
      <c r="C9" s="17"/>
      <c r="D9" s="3"/>
      <c r="E9" s="3"/>
      <c r="F9" s="3"/>
      <c r="G9" s="3"/>
      <c r="H9" s="3"/>
    </row>
    <row r="10" spans="1:8" x14ac:dyDescent="0.25">
      <c r="A10" s="7" t="s">
        <v>5</v>
      </c>
      <c r="B10" s="6" t="s">
        <v>9</v>
      </c>
      <c r="C10" s="10" t="s">
        <v>10</v>
      </c>
      <c r="D10" s="6" t="s">
        <v>6</v>
      </c>
      <c r="E10" s="6" t="s">
        <v>2</v>
      </c>
      <c r="F10" s="6" t="s">
        <v>12</v>
      </c>
      <c r="G10" s="6" t="s">
        <v>11</v>
      </c>
      <c r="H10" s="7" t="s">
        <v>13</v>
      </c>
    </row>
    <row r="11" spans="1:8" x14ac:dyDescent="0.25">
      <c r="A11" t="s">
        <v>194</v>
      </c>
      <c r="B11" t="s">
        <v>194</v>
      </c>
      <c r="C11" s="11">
        <v>1</v>
      </c>
      <c r="D11" t="s">
        <v>7</v>
      </c>
      <c r="E11" t="s">
        <v>3</v>
      </c>
      <c r="G11" s="29" t="s">
        <v>197</v>
      </c>
      <c r="H11" t="s">
        <v>14</v>
      </c>
    </row>
    <row r="12" spans="1:8" x14ac:dyDescent="0.25">
      <c r="A12" t="s">
        <v>136</v>
      </c>
      <c r="B12" t="s">
        <v>136</v>
      </c>
      <c r="C12" s="11">
        <v>1</v>
      </c>
      <c r="D12" t="s">
        <v>7</v>
      </c>
      <c r="E12" t="s">
        <v>3</v>
      </c>
      <c r="G12" s="29" t="s">
        <v>197</v>
      </c>
      <c r="H12" t="s">
        <v>16</v>
      </c>
    </row>
    <row r="13" spans="1:8" x14ac:dyDescent="0.25">
      <c r="A13" s="3" t="s">
        <v>156</v>
      </c>
      <c r="B13" t="s">
        <v>144</v>
      </c>
      <c r="C13" s="11">
        <v>9</v>
      </c>
      <c r="D13" s="3" t="s">
        <v>7</v>
      </c>
      <c r="E13" s="3" t="s">
        <v>15</v>
      </c>
      <c r="G13" t="s">
        <v>238</v>
      </c>
      <c r="H13" t="s">
        <v>16</v>
      </c>
    </row>
    <row r="14" spans="1:8" x14ac:dyDescent="0.25">
      <c r="A14" s="3" t="s">
        <v>114</v>
      </c>
      <c r="B14" t="s">
        <v>113</v>
      </c>
      <c r="C14" s="11">
        <v>0.18</v>
      </c>
      <c r="D14" s="3" t="s">
        <v>30</v>
      </c>
      <c r="E14" s="3" t="s">
        <v>15</v>
      </c>
      <c r="G14" t="s">
        <v>238</v>
      </c>
      <c r="H14" t="s">
        <v>16</v>
      </c>
    </row>
    <row r="15" spans="1:8" x14ac:dyDescent="0.25">
      <c r="A15" t="s">
        <v>23</v>
      </c>
      <c r="B15" t="s">
        <v>178</v>
      </c>
      <c r="C15" s="11">
        <v>55.05681818181818</v>
      </c>
      <c r="D15" t="s">
        <v>24</v>
      </c>
      <c r="E15" t="s">
        <v>15</v>
      </c>
      <c r="G15" t="s">
        <v>238</v>
      </c>
      <c r="H15" t="s">
        <v>16</v>
      </c>
    </row>
    <row r="16" spans="1:8" x14ac:dyDescent="0.25">
      <c r="A16" s="2"/>
      <c r="B16" s="2"/>
      <c r="C16" s="18"/>
      <c r="D16" s="2"/>
      <c r="E16" s="2"/>
      <c r="F16" s="2"/>
      <c r="G16" s="2"/>
      <c r="H16" s="2"/>
    </row>
    <row r="17" spans="1:8" x14ac:dyDescent="0.25">
      <c r="A17" s="1" t="s">
        <v>0</v>
      </c>
      <c r="B17" s="8" t="s">
        <v>117</v>
      </c>
      <c r="C17" s="17"/>
      <c r="D17" s="3"/>
      <c r="E17" s="3"/>
      <c r="F17" s="3"/>
      <c r="G17" s="3"/>
      <c r="H17" s="3"/>
    </row>
    <row r="18" spans="1:8" x14ac:dyDescent="0.25">
      <c r="A18" s="3" t="s">
        <v>1</v>
      </c>
      <c r="B18" s="6" t="s">
        <v>166</v>
      </c>
      <c r="C18" s="17"/>
      <c r="D18" s="3"/>
      <c r="E18" s="3"/>
      <c r="F18" s="3"/>
      <c r="G18" s="3"/>
      <c r="H18" s="3"/>
    </row>
    <row r="19" spans="1:8" x14ac:dyDescent="0.25">
      <c r="A19" s="3" t="s">
        <v>2</v>
      </c>
      <c r="B19" t="s">
        <v>3</v>
      </c>
      <c r="C19" s="17"/>
      <c r="D19" s="3"/>
      <c r="E19" s="3"/>
      <c r="F19" s="3"/>
      <c r="G19" s="3"/>
      <c r="H19" s="3"/>
    </row>
    <row r="20" spans="1:8" x14ac:dyDescent="0.25">
      <c r="A20" s="3" t="s">
        <v>4</v>
      </c>
      <c r="B20" s="9">
        <v>1</v>
      </c>
      <c r="C20" s="17"/>
      <c r="D20" s="3"/>
      <c r="E20" s="3"/>
      <c r="F20" s="3"/>
      <c r="G20" s="3"/>
      <c r="H20" s="3"/>
    </row>
    <row r="21" spans="1:8" x14ac:dyDescent="0.25">
      <c r="A21" s="3" t="s">
        <v>5</v>
      </c>
      <c r="B21" t="s">
        <v>117</v>
      </c>
      <c r="C21" s="17"/>
      <c r="D21" s="3"/>
      <c r="E21" s="3"/>
      <c r="F21" s="3"/>
      <c r="G21" s="3"/>
      <c r="H21" s="3"/>
    </row>
    <row r="22" spans="1:8" x14ac:dyDescent="0.25">
      <c r="A22" s="3" t="s">
        <v>6</v>
      </c>
      <c r="B22" t="s">
        <v>7</v>
      </c>
      <c r="C22" s="17"/>
      <c r="D22" s="3"/>
      <c r="E22" s="3"/>
      <c r="F22" s="3"/>
      <c r="G22" s="3"/>
      <c r="H22" s="3"/>
    </row>
    <row r="23" spans="1:8" x14ac:dyDescent="0.25">
      <c r="A23" s="1" t="s">
        <v>8</v>
      </c>
      <c r="B23" s="3"/>
      <c r="C23" s="17"/>
      <c r="D23" s="3"/>
      <c r="E23" s="3"/>
      <c r="F23" s="3"/>
      <c r="G23" s="3"/>
      <c r="H23" s="3"/>
    </row>
    <row r="24" spans="1:8" x14ac:dyDescent="0.25">
      <c r="A24" s="6" t="s">
        <v>5</v>
      </c>
      <c r="B24" s="6" t="s">
        <v>9</v>
      </c>
      <c r="C24" s="10" t="s">
        <v>10</v>
      </c>
      <c r="D24" s="6" t="s">
        <v>6</v>
      </c>
      <c r="E24" s="6" t="s">
        <v>2</v>
      </c>
      <c r="F24" s="6" t="s">
        <v>12</v>
      </c>
      <c r="G24" s="6" t="s">
        <v>11</v>
      </c>
      <c r="H24" s="7" t="s">
        <v>13</v>
      </c>
    </row>
    <row r="25" spans="1:8" x14ac:dyDescent="0.25">
      <c r="A25" t="s">
        <v>117</v>
      </c>
      <c r="B25" t="s">
        <v>117</v>
      </c>
      <c r="C25" s="11">
        <v>1</v>
      </c>
      <c r="D25" t="s">
        <v>7</v>
      </c>
      <c r="E25" t="s">
        <v>3</v>
      </c>
      <c r="F25" s="3"/>
      <c r="G25" s="29" t="s">
        <v>197</v>
      </c>
      <c r="H25" t="s">
        <v>14</v>
      </c>
    </row>
    <row r="26" spans="1:8" x14ac:dyDescent="0.25">
      <c r="A26" t="s">
        <v>61</v>
      </c>
      <c r="B26" t="s">
        <v>61</v>
      </c>
      <c r="C26" s="13">
        <v>1.6899999999999999E-8</v>
      </c>
      <c r="D26" t="s">
        <v>62</v>
      </c>
      <c r="E26" t="s">
        <v>3</v>
      </c>
      <c r="F26" s="3"/>
      <c r="G26" s="29" t="s">
        <v>197</v>
      </c>
      <c r="H26" t="s">
        <v>16</v>
      </c>
    </row>
    <row r="27" spans="1:8" x14ac:dyDescent="0.25">
      <c r="A27" s="6" t="s">
        <v>116</v>
      </c>
      <c r="B27" s="6" t="s">
        <v>116</v>
      </c>
      <c r="C27" s="12">
        <v>2.9700000000000001E-2</v>
      </c>
      <c r="D27" t="s">
        <v>31</v>
      </c>
      <c r="E27" t="s">
        <v>3</v>
      </c>
      <c r="F27" s="3"/>
      <c r="G27" s="29" t="s">
        <v>197</v>
      </c>
      <c r="H27" t="s">
        <v>16</v>
      </c>
    </row>
    <row r="28" spans="1:8" x14ac:dyDescent="0.25">
      <c r="A28" t="s">
        <v>83</v>
      </c>
      <c r="B28" t="s">
        <v>85</v>
      </c>
      <c r="C28" s="13">
        <v>2.5400000000000001E-11</v>
      </c>
      <c r="D28" t="s">
        <v>6</v>
      </c>
      <c r="E28" t="s">
        <v>3</v>
      </c>
      <c r="G28" t="s">
        <v>238</v>
      </c>
      <c r="H28" t="s">
        <v>16</v>
      </c>
    </row>
    <row r="29" spans="1:8" x14ac:dyDescent="0.25">
      <c r="A29" t="s">
        <v>84</v>
      </c>
      <c r="B29" t="s">
        <v>86</v>
      </c>
      <c r="C29" s="12">
        <v>9.4800000000000006E-3</v>
      </c>
      <c r="D29" t="s">
        <v>87</v>
      </c>
      <c r="E29" t="s">
        <v>3</v>
      </c>
      <c r="G29" t="s">
        <v>238</v>
      </c>
      <c r="H29" t="s">
        <v>16</v>
      </c>
    </row>
    <row r="30" spans="1:8" x14ac:dyDescent="0.25">
      <c r="A30" s="2"/>
      <c r="B30" s="2"/>
      <c r="C30" s="18"/>
      <c r="D30" s="2"/>
      <c r="E30" s="2"/>
      <c r="F30" s="2"/>
      <c r="G30" s="2"/>
      <c r="H30" s="2"/>
    </row>
    <row r="31" spans="1:8" x14ac:dyDescent="0.25">
      <c r="A31" s="1" t="s">
        <v>0</v>
      </c>
      <c r="B31" s="30" t="s">
        <v>61</v>
      </c>
      <c r="C31" s="17"/>
      <c r="D31" s="3"/>
      <c r="E31" s="3"/>
      <c r="F31" s="3"/>
      <c r="G31" s="3"/>
      <c r="H31" s="3"/>
    </row>
    <row r="32" spans="1:8" x14ac:dyDescent="0.25">
      <c r="A32" s="3" t="s">
        <v>1</v>
      </c>
      <c r="B32" s="6" t="s">
        <v>166</v>
      </c>
      <c r="C32" s="17"/>
      <c r="D32" s="3"/>
      <c r="E32" s="3"/>
      <c r="F32" s="3"/>
      <c r="G32" s="3"/>
      <c r="H32" s="3"/>
    </row>
    <row r="33" spans="1:8" x14ac:dyDescent="0.25">
      <c r="A33" s="3" t="s">
        <v>2</v>
      </c>
      <c r="B33" t="s">
        <v>3</v>
      </c>
      <c r="C33" s="17"/>
      <c r="D33" s="3"/>
      <c r="E33" s="3"/>
      <c r="F33" s="3"/>
      <c r="G33" s="3"/>
      <c r="H33" s="3"/>
    </row>
    <row r="34" spans="1:8" x14ac:dyDescent="0.25">
      <c r="A34" s="3" t="s">
        <v>4</v>
      </c>
      <c r="B34" s="9">
        <v>1</v>
      </c>
      <c r="C34" s="17"/>
      <c r="D34" s="3"/>
      <c r="E34" s="3"/>
      <c r="F34" s="3"/>
      <c r="G34" s="3"/>
      <c r="H34" s="3"/>
    </row>
    <row r="35" spans="1:8" x14ac:dyDescent="0.25">
      <c r="A35" s="3" t="s">
        <v>5</v>
      </c>
      <c r="B35" t="s">
        <v>61</v>
      </c>
      <c r="C35" s="17"/>
      <c r="D35" s="3"/>
      <c r="E35" s="3"/>
      <c r="F35" s="3"/>
      <c r="G35" s="3"/>
      <c r="H35" s="3"/>
    </row>
    <row r="36" spans="1:8" x14ac:dyDescent="0.25">
      <c r="A36" s="3" t="s">
        <v>6</v>
      </c>
      <c r="B36" t="s">
        <v>62</v>
      </c>
      <c r="C36" s="17"/>
      <c r="D36" s="3"/>
      <c r="E36" s="3"/>
      <c r="F36" s="3"/>
      <c r="G36" s="3"/>
      <c r="H36" s="3"/>
    </row>
    <row r="37" spans="1:8" x14ac:dyDescent="0.25">
      <c r="A37" s="1" t="s">
        <v>8</v>
      </c>
      <c r="B37" s="3"/>
      <c r="C37" s="17"/>
      <c r="D37" s="3"/>
      <c r="E37" s="3"/>
      <c r="F37" s="3"/>
      <c r="G37" s="3"/>
      <c r="H37" s="3"/>
    </row>
    <row r="38" spans="1:8" x14ac:dyDescent="0.25">
      <c r="A38" s="6" t="s">
        <v>5</v>
      </c>
      <c r="B38" s="6" t="s">
        <v>9</v>
      </c>
      <c r="C38" s="10" t="s">
        <v>10</v>
      </c>
      <c r="D38" s="6" t="s">
        <v>6</v>
      </c>
      <c r="E38" s="6" t="s">
        <v>2</v>
      </c>
      <c r="F38" s="6" t="s">
        <v>12</v>
      </c>
      <c r="G38" s="6" t="s">
        <v>11</v>
      </c>
      <c r="H38" s="7" t="s">
        <v>13</v>
      </c>
    </row>
    <row r="39" spans="1:8" x14ac:dyDescent="0.25">
      <c r="A39" t="s">
        <v>61</v>
      </c>
      <c r="B39" t="s">
        <v>61</v>
      </c>
      <c r="C39" s="11">
        <v>1</v>
      </c>
      <c r="D39" t="s">
        <v>62</v>
      </c>
      <c r="E39" t="s">
        <v>3</v>
      </c>
      <c r="F39" s="3"/>
      <c r="G39" s="29" t="s">
        <v>197</v>
      </c>
      <c r="H39" t="s">
        <v>14</v>
      </c>
    </row>
    <row r="40" spans="1:8" x14ac:dyDescent="0.25">
      <c r="A40" t="s">
        <v>63</v>
      </c>
      <c r="B40" t="s">
        <v>80</v>
      </c>
      <c r="C40" s="16">
        <v>20</v>
      </c>
      <c r="D40" t="s">
        <v>7</v>
      </c>
      <c r="E40" t="s">
        <v>3</v>
      </c>
      <c r="F40" s="3"/>
      <c r="G40" t="s">
        <v>238</v>
      </c>
      <c r="H40" t="s">
        <v>16</v>
      </c>
    </row>
    <row r="41" spans="1:8" x14ac:dyDescent="0.25">
      <c r="A41" t="s">
        <v>64</v>
      </c>
      <c r="B41" t="s">
        <v>81</v>
      </c>
      <c r="C41" s="16">
        <v>270</v>
      </c>
      <c r="D41" t="s">
        <v>7</v>
      </c>
      <c r="E41" t="s">
        <v>3</v>
      </c>
      <c r="F41" s="14"/>
      <c r="G41" t="s">
        <v>238</v>
      </c>
      <c r="H41" t="s">
        <v>16</v>
      </c>
    </row>
    <row r="42" spans="1:8" x14ac:dyDescent="0.25">
      <c r="A42" t="s">
        <v>65</v>
      </c>
      <c r="B42" t="s">
        <v>73</v>
      </c>
      <c r="C42" s="16">
        <v>200</v>
      </c>
      <c r="D42" t="s">
        <v>7</v>
      </c>
      <c r="E42" t="s">
        <v>15</v>
      </c>
      <c r="G42" t="s">
        <v>238</v>
      </c>
      <c r="H42" t="s">
        <v>16</v>
      </c>
    </row>
    <row r="43" spans="1:8" x14ac:dyDescent="0.25">
      <c r="A43" t="s">
        <v>66</v>
      </c>
      <c r="B43" t="s">
        <v>66</v>
      </c>
      <c r="C43" s="16">
        <v>6300</v>
      </c>
      <c r="D43" t="s">
        <v>30</v>
      </c>
      <c r="E43" t="s">
        <v>3</v>
      </c>
      <c r="G43" t="s">
        <v>238</v>
      </c>
      <c r="H43" t="s">
        <v>16</v>
      </c>
    </row>
    <row r="44" spans="1:8" x14ac:dyDescent="0.25">
      <c r="A44" t="s">
        <v>67</v>
      </c>
      <c r="B44" t="s">
        <v>74</v>
      </c>
      <c r="C44" s="11">
        <v>0.2</v>
      </c>
      <c r="D44" t="s">
        <v>7</v>
      </c>
      <c r="E44" t="s">
        <v>15</v>
      </c>
      <c r="G44" t="s">
        <v>238</v>
      </c>
      <c r="H44" t="s">
        <v>16</v>
      </c>
    </row>
    <row r="45" spans="1:8" x14ac:dyDescent="0.25">
      <c r="A45" t="s">
        <v>68</v>
      </c>
      <c r="B45" t="s">
        <v>75</v>
      </c>
      <c r="C45" s="11">
        <v>9.0500000000000007</v>
      </c>
      <c r="D45" t="s">
        <v>7</v>
      </c>
      <c r="E45" t="s">
        <v>3</v>
      </c>
      <c r="G45" t="s">
        <v>238</v>
      </c>
      <c r="H45" t="s">
        <v>16</v>
      </c>
    </row>
    <row r="46" spans="1:8" x14ac:dyDescent="0.25">
      <c r="A46" t="s">
        <v>69</v>
      </c>
      <c r="B46" t="s">
        <v>82</v>
      </c>
      <c r="C46" s="11">
        <v>42.2</v>
      </c>
      <c r="D46" t="s">
        <v>7</v>
      </c>
      <c r="E46" t="s">
        <v>3</v>
      </c>
      <c r="G46" t="s">
        <v>238</v>
      </c>
      <c r="H46" t="s">
        <v>16</v>
      </c>
    </row>
    <row r="47" spans="1:8" x14ac:dyDescent="0.25">
      <c r="A47" t="s">
        <v>70</v>
      </c>
      <c r="B47" t="s">
        <v>76</v>
      </c>
      <c r="C47" s="11">
        <v>60</v>
      </c>
      <c r="D47" t="s">
        <v>7</v>
      </c>
      <c r="E47" t="s">
        <v>15</v>
      </c>
      <c r="G47" t="s">
        <v>238</v>
      </c>
      <c r="H47" t="s">
        <v>16</v>
      </c>
    </row>
    <row r="48" spans="1:8" x14ac:dyDescent="0.25">
      <c r="A48" t="s">
        <v>52</v>
      </c>
      <c r="B48" t="s">
        <v>41</v>
      </c>
      <c r="C48" s="16">
        <v>210</v>
      </c>
      <c r="D48" t="s">
        <v>7</v>
      </c>
      <c r="E48" t="s">
        <v>3</v>
      </c>
      <c r="G48" t="s">
        <v>238</v>
      </c>
      <c r="H48" t="s">
        <v>16</v>
      </c>
    </row>
    <row r="49" spans="1:8" x14ac:dyDescent="0.25">
      <c r="A49" t="s">
        <v>54</v>
      </c>
      <c r="B49" t="s">
        <v>43</v>
      </c>
      <c r="C49" s="16">
        <v>487</v>
      </c>
      <c r="D49" t="s">
        <v>31</v>
      </c>
      <c r="E49" t="s">
        <v>15</v>
      </c>
      <c r="G49" t="s">
        <v>238</v>
      </c>
      <c r="H49" t="s">
        <v>16</v>
      </c>
    </row>
    <row r="50" spans="1:8" x14ac:dyDescent="0.25">
      <c r="A50" t="s">
        <v>55</v>
      </c>
      <c r="B50" t="s">
        <v>44</v>
      </c>
      <c r="C50" s="11">
        <v>81.099999999999994</v>
      </c>
      <c r="D50" t="s">
        <v>31</v>
      </c>
      <c r="E50" t="s">
        <v>15</v>
      </c>
      <c r="G50" t="s">
        <v>238</v>
      </c>
      <c r="H50" t="s">
        <v>16</v>
      </c>
    </row>
    <row r="51" spans="1:8" x14ac:dyDescent="0.25">
      <c r="A51" t="s">
        <v>71</v>
      </c>
      <c r="B51" t="s">
        <v>77</v>
      </c>
      <c r="C51" s="16">
        <v>-237</v>
      </c>
      <c r="D51" t="s">
        <v>7</v>
      </c>
      <c r="E51" t="s">
        <v>15</v>
      </c>
      <c r="G51" t="s">
        <v>238</v>
      </c>
      <c r="H51" t="s">
        <v>16</v>
      </c>
    </row>
    <row r="52" spans="1:8" x14ac:dyDescent="0.25">
      <c r="A52" t="s">
        <v>71</v>
      </c>
      <c r="B52" t="s">
        <v>78</v>
      </c>
      <c r="C52" s="16">
        <v>-158</v>
      </c>
      <c r="D52" t="s">
        <v>7</v>
      </c>
      <c r="E52" t="s">
        <v>15</v>
      </c>
      <c r="G52" t="s">
        <v>238</v>
      </c>
      <c r="H52" t="s">
        <v>16</v>
      </c>
    </row>
    <row r="53" spans="1:8" x14ac:dyDescent="0.25">
      <c r="A53" t="s">
        <v>72</v>
      </c>
      <c r="B53" t="s">
        <v>79</v>
      </c>
      <c r="C53" s="11">
        <v>-5</v>
      </c>
      <c r="D53" t="s">
        <v>7</v>
      </c>
      <c r="E53" t="s">
        <v>15</v>
      </c>
      <c r="G53" t="s">
        <v>238</v>
      </c>
      <c r="H53" t="s">
        <v>16</v>
      </c>
    </row>
    <row r="54" spans="1:8" x14ac:dyDescent="0.25">
      <c r="B54" t="s">
        <v>190</v>
      </c>
      <c r="C54" s="13">
        <v>4.7800000000000002E-7</v>
      </c>
      <c r="D54" t="s">
        <v>7</v>
      </c>
      <c r="F54" s="14" t="s">
        <v>101</v>
      </c>
      <c r="G54" t="s">
        <v>189</v>
      </c>
      <c r="H54" s="14" t="s">
        <v>19</v>
      </c>
    </row>
    <row r="55" spans="1:8" x14ac:dyDescent="0.25">
      <c r="B55" t="s">
        <v>103</v>
      </c>
      <c r="C55" s="12">
        <v>0.06</v>
      </c>
      <c r="D55" t="s">
        <v>7</v>
      </c>
      <c r="F55" s="14" t="s">
        <v>101</v>
      </c>
      <c r="G55" t="s">
        <v>189</v>
      </c>
      <c r="H55" s="14" t="s">
        <v>19</v>
      </c>
    </row>
    <row r="56" spans="1:8" x14ac:dyDescent="0.25">
      <c r="B56" t="s">
        <v>104</v>
      </c>
      <c r="C56" s="13">
        <v>4.2000000000000002E-4</v>
      </c>
      <c r="D56" t="s">
        <v>7</v>
      </c>
      <c r="F56" s="14" t="s">
        <v>101</v>
      </c>
      <c r="G56" t="s">
        <v>189</v>
      </c>
      <c r="H56" s="14" t="s">
        <v>19</v>
      </c>
    </row>
    <row r="57" spans="1:8" x14ac:dyDescent="0.25">
      <c r="B57" t="s">
        <v>88</v>
      </c>
      <c r="C57" s="12">
        <v>0.3</v>
      </c>
      <c r="D57" t="s">
        <v>7</v>
      </c>
      <c r="F57" s="14" t="s">
        <v>101</v>
      </c>
      <c r="G57" t="s">
        <v>189</v>
      </c>
      <c r="H57" s="14" t="s">
        <v>19</v>
      </c>
    </row>
    <row r="58" spans="1:8" x14ac:dyDescent="0.25">
      <c r="B58" t="s">
        <v>105</v>
      </c>
      <c r="C58" s="12">
        <v>6.0000000000000001E-3</v>
      </c>
      <c r="D58" t="s">
        <v>7</v>
      </c>
      <c r="F58" s="14" t="s">
        <v>101</v>
      </c>
      <c r="G58" t="s">
        <v>189</v>
      </c>
      <c r="H58" s="14" t="s">
        <v>19</v>
      </c>
    </row>
    <row r="59" spans="1:8" x14ac:dyDescent="0.25">
      <c r="B59" t="s">
        <v>89</v>
      </c>
      <c r="C59" s="12">
        <v>8.9999999999999993E-3</v>
      </c>
      <c r="D59" t="s">
        <v>7</v>
      </c>
      <c r="F59" s="14" t="s">
        <v>101</v>
      </c>
      <c r="G59" t="s">
        <v>189</v>
      </c>
      <c r="H59" s="14" t="s">
        <v>19</v>
      </c>
    </row>
    <row r="60" spans="1:8" x14ac:dyDescent="0.25">
      <c r="B60" t="s">
        <v>90</v>
      </c>
      <c r="C60" s="11">
        <v>3</v>
      </c>
      <c r="D60" t="s">
        <v>7</v>
      </c>
      <c r="F60" s="14" t="s">
        <v>101</v>
      </c>
      <c r="G60" t="s">
        <v>189</v>
      </c>
      <c r="H60" s="14" t="s">
        <v>19</v>
      </c>
    </row>
    <row r="61" spans="1:8" x14ac:dyDescent="0.25">
      <c r="B61" t="s">
        <v>106</v>
      </c>
      <c r="C61" s="11">
        <v>0.6</v>
      </c>
      <c r="D61" t="s">
        <v>7</v>
      </c>
      <c r="F61" s="14" t="s">
        <v>101</v>
      </c>
      <c r="G61" t="s">
        <v>189</v>
      </c>
      <c r="H61" s="14" t="s">
        <v>19</v>
      </c>
    </row>
    <row r="62" spans="1:8" x14ac:dyDescent="0.25">
      <c r="B62" t="s">
        <v>91</v>
      </c>
      <c r="C62" s="11">
        <v>6</v>
      </c>
      <c r="D62" t="s">
        <v>7</v>
      </c>
      <c r="F62" s="14" t="s">
        <v>101</v>
      </c>
      <c r="G62" t="s">
        <v>189</v>
      </c>
      <c r="H62" s="14" t="s">
        <v>19</v>
      </c>
    </row>
    <row r="63" spans="1:8" x14ac:dyDescent="0.25">
      <c r="B63" t="s">
        <v>107</v>
      </c>
      <c r="C63" s="13">
        <v>5.9999999999999995E-4</v>
      </c>
      <c r="D63" t="s">
        <v>7</v>
      </c>
      <c r="F63" s="14" t="s">
        <v>101</v>
      </c>
      <c r="G63" t="s">
        <v>189</v>
      </c>
      <c r="H63" s="14" t="s">
        <v>19</v>
      </c>
    </row>
    <row r="64" spans="1:8" x14ac:dyDescent="0.25">
      <c r="B64" t="s">
        <v>92</v>
      </c>
      <c r="C64" s="11">
        <v>0.3</v>
      </c>
      <c r="D64" t="s">
        <v>7</v>
      </c>
      <c r="F64" s="14" t="s">
        <v>101</v>
      </c>
      <c r="G64" t="s">
        <v>189</v>
      </c>
      <c r="H64" s="14" t="s">
        <v>19</v>
      </c>
    </row>
    <row r="65" spans="2:8" x14ac:dyDescent="0.25">
      <c r="B65" t="s">
        <v>93</v>
      </c>
      <c r="C65" s="12">
        <v>3.0000000000000001E-3</v>
      </c>
      <c r="D65" t="s">
        <v>7</v>
      </c>
      <c r="F65" s="14" t="s">
        <v>101</v>
      </c>
      <c r="G65" t="s">
        <v>189</v>
      </c>
      <c r="H65" s="14" t="s">
        <v>19</v>
      </c>
    </row>
    <row r="66" spans="2:8" x14ac:dyDescent="0.25">
      <c r="B66" t="s">
        <v>94</v>
      </c>
      <c r="C66" s="12">
        <v>3.0000000000000001E-3</v>
      </c>
      <c r="D66" t="s">
        <v>7</v>
      </c>
      <c r="F66" s="14" t="s">
        <v>101</v>
      </c>
      <c r="G66" t="s">
        <v>189</v>
      </c>
      <c r="H66" s="14" t="s">
        <v>19</v>
      </c>
    </row>
    <row r="67" spans="2:8" x14ac:dyDescent="0.25">
      <c r="B67" t="s">
        <v>108</v>
      </c>
      <c r="C67" s="11">
        <v>0.18</v>
      </c>
      <c r="D67" t="s">
        <v>7</v>
      </c>
      <c r="F67" s="14" t="s">
        <v>101</v>
      </c>
      <c r="G67" t="s">
        <v>189</v>
      </c>
      <c r="H67" s="14" t="s">
        <v>19</v>
      </c>
    </row>
    <row r="68" spans="2:8" x14ac:dyDescent="0.25">
      <c r="B68" t="s">
        <v>95</v>
      </c>
      <c r="C68" s="11">
        <v>0.12</v>
      </c>
      <c r="D68" t="s">
        <v>7</v>
      </c>
      <c r="F68" s="14" t="s">
        <v>101</v>
      </c>
      <c r="G68" t="s">
        <v>189</v>
      </c>
      <c r="H68" s="14" t="s">
        <v>19</v>
      </c>
    </row>
    <row r="69" spans="2:8" x14ac:dyDescent="0.25">
      <c r="B69" t="s">
        <v>179</v>
      </c>
      <c r="C69" s="12">
        <v>3.0000000000000001E-3</v>
      </c>
      <c r="D69" t="s">
        <v>7</v>
      </c>
      <c r="F69" s="14" t="s">
        <v>101</v>
      </c>
      <c r="G69" t="s">
        <v>189</v>
      </c>
      <c r="H69" s="14" t="s">
        <v>19</v>
      </c>
    </row>
    <row r="70" spans="2:8" x14ac:dyDescent="0.25">
      <c r="B70" t="s">
        <v>191</v>
      </c>
      <c r="C70" s="12">
        <v>0.06</v>
      </c>
      <c r="D70" t="s">
        <v>7</v>
      </c>
      <c r="F70" s="14" t="s">
        <v>101</v>
      </c>
      <c r="G70" t="s">
        <v>189</v>
      </c>
      <c r="H70" s="14" t="s">
        <v>19</v>
      </c>
    </row>
    <row r="71" spans="2:8" x14ac:dyDescent="0.25">
      <c r="B71" t="s">
        <v>109</v>
      </c>
      <c r="C71" s="12">
        <v>1.4800000000000001E-2</v>
      </c>
      <c r="D71" t="s">
        <v>7</v>
      </c>
      <c r="F71" s="14" t="s">
        <v>102</v>
      </c>
      <c r="G71" t="s">
        <v>189</v>
      </c>
      <c r="H71" s="14" t="s">
        <v>19</v>
      </c>
    </row>
    <row r="72" spans="2:8" x14ac:dyDescent="0.25">
      <c r="B72" t="s">
        <v>96</v>
      </c>
      <c r="C72" s="12">
        <v>1.1999999999999999E-3</v>
      </c>
      <c r="D72" t="s">
        <v>7</v>
      </c>
      <c r="F72" s="14" t="s">
        <v>101</v>
      </c>
      <c r="G72" t="s">
        <v>189</v>
      </c>
      <c r="H72" s="14" t="s">
        <v>19</v>
      </c>
    </row>
    <row r="73" spans="2:8" x14ac:dyDescent="0.25">
      <c r="B73" t="s">
        <v>110</v>
      </c>
      <c r="C73" s="11">
        <v>0.9</v>
      </c>
      <c r="D73" t="s">
        <v>7</v>
      </c>
      <c r="F73" s="14" t="s">
        <v>101</v>
      </c>
      <c r="G73" t="s">
        <v>189</v>
      </c>
      <c r="H73" s="14" t="s">
        <v>19</v>
      </c>
    </row>
    <row r="74" spans="2:8" x14ac:dyDescent="0.25">
      <c r="B74" t="s">
        <v>97</v>
      </c>
      <c r="C74" s="12">
        <v>0.03</v>
      </c>
      <c r="D74" t="s">
        <v>7</v>
      </c>
      <c r="F74" s="14" t="s">
        <v>101</v>
      </c>
      <c r="G74" t="s">
        <v>189</v>
      </c>
      <c r="H74" s="14" t="s">
        <v>19</v>
      </c>
    </row>
    <row r="75" spans="2:8" x14ac:dyDescent="0.25">
      <c r="B75" t="s">
        <v>111</v>
      </c>
      <c r="C75" s="11">
        <v>6</v>
      </c>
      <c r="D75" t="s">
        <v>7</v>
      </c>
      <c r="F75" s="14" t="s">
        <v>101</v>
      </c>
      <c r="G75" t="s">
        <v>189</v>
      </c>
      <c r="H75" s="14" t="s">
        <v>19</v>
      </c>
    </row>
    <row r="76" spans="2:8" x14ac:dyDescent="0.25">
      <c r="B76" t="s">
        <v>192</v>
      </c>
      <c r="C76" s="12">
        <v>1.7999999999999999E-2</v>
      </c>
      <c r="D76" t="s">
        <v>7</v>
      </c>
      <c r="F76" s="14" t="s">
        <v>101</v>
      </c>
      <c r="G76" t="s">
        <v>189</v>
      </c>
      <c r="H76" s="14" t="s">
        <v>19</v>
      </c>
    </row>
    <row r="77" spans="2:8" x14ac:dyDescent="0.25">
      <c r="B77" t="s">
        <v>98</v>
      </c>
      <c r="C77" s="11">
        <v>0.12</v>
      </c>
      <c r="D77" t="s">
        <v>7</v>
      </c>
      <c r="F77" s="14" t="s">
        <v>101</v>
      </c>
      <c r="G77" t="s">
        <v>189</v>
      </c>
      <c r="H77" s="14" t="s">
        <v>19</v>
      </c>
    </row>
    <row r="78" spans="2:8" x14ac:dyDescent="0.25">
      <c r="B78" t="s">
        <v>99</v>
      </c>
      <c r="C78" s="11">
        <v>0.3</v>
      </c>
      <c r="D78" t="s">
        <v>7</v>
      </c>
      <c r="F78" s="14" t="s">
        <v>101</v>
      </c>
      <c r="G78" t="s">
        <v>189</v>
      </c>
      <c r="H78" s="14" t="s">
        <v>19</v>
      </c>
    </row>
    <row r="79" spans="2:8" x14ac:dyDescent="0.25">
      <c r="B79" t="s">
        <v>100</v>
      </c>
      <c r="C79" s="11">
        <v>3.34</v>
      </c>
      <c r="D79" t="s">
        <v>17</v>
      </c>
      <c r="F79" s="14" t="s">
        <v>25</v>
      </c>
      <c r="G79" t="s">
        <v>189</v>
      </c>
      <c r="H79" s="14" t="s">
        <v>19</v>
      </c>
    </row>
    <row r="80" spans="2:8" x14ac:dyDescent="0.25">
      <c r="B80" t="s">
        <v>112</v>
      </c>
      <c r="C80" s="11">
        <v>1.1999999999999999E-3</v>
      </c>
      <c r="D80" t="s">
        <v>7</v>
      </c>
      <c r="F80" s="14" t="s">
        <v>101</v>
      </c>
      <c r="G80" t="s">
        <v>189</v>
      </c>
      <c r="H80" s="14" t="s">
        <v>19</v>
      </c>
    </row>
    <row r="81" spans="1:8" x14ac:dyDescent="0.25">
      <c r="A81" s="2"/>
      <c r="B81" s="2"/>
      <c r="C81" s="18"/>
      <c r="D81" s="2"/>
      <c r="E81" s="2"/>
      <c r="F81" s="2"/>
      <c r="G81" s="2"/>
      <c r="H81" s="2"/>
    </row>
    <row r="82" spans="1:8" x14ac:dyDescent="0.25">
      <c r="A82" s="1" t="s">
        <v>0</v>
      </c>
      <c r="B82" s="8" t="s">
        <v>116</v>
      </c>
      <c r="C82" s="17"/>
      <c r="D82" s="3"/>
      <c r="E82" s="3"/>
      <c r="F82" s="3"/>
      <c r="G82" s="3"/>
      <c r="H82" s="3"/>
    </row>
    <row r="83" spans="1:8" x14ac:dyDescent="0.25">
      <c r="A83" s="3" t="s">
        <v>1</v>
      </c>
      <c r="B83" s="6" t="s">
        <v>166</v>
      </c>
      <c r="C83" s="17"/>
      <c r="D83" s="3"/>
      <c r="E83" s="3"/>
      <c r="F83" s="3"/>
      <c r="G83" s="3"/>
      <c r="H83" s="3"/>
    </row>
    <row r="84" spans="1:8" x14ac:dyDescent="0.25">
      <c r="A84" s="3" t="s">
        <v>2</v>
      </c>
      <c r="B84" t="s">
        <v>3</v>
      </c>
      <c r="C84" s="17"/>
      <c r="D84" s="3"/>
      <c r="E84" s="3"/>
      <c r="F84" s="3"/>
      <c r="G84" s="3"/>
      <c r="H84" s="3"/>
    </row>
    <row r="85" spans="1:8" x14ac:dyDescent="0.25">
      <c r="A85" s="3" t="s">
        <v>4</v>
      </c>
      <c r="B85" s="9">
        <v>1</v>
      </c>
      <c r="C85" s="17"/>
      <c r="D85" s="3"/>
      <c r="E85" s="3"/>
      <c r="F85" s="3"/>
      <c r="G85" s="3"/>
      <c r="H85" s="3"/>
    </row>
    <row r="86" spans="1:8" x14ac:dyDescent="0.25">
      <c r="A86" s="3" t="s">
        <v>5</v>
      </c>
      <c r="B86" t="s">
        <v>116</v>
      </c>
      <c r="C86" s="17"/>
      <c r="D86" s="3"/>
      <c r="E86" s="3"/>
      <c r="F86" s="3"/>
      <c r="G86" s="3"/>
      <c r="H86" s="3"/>
    </row>
    <row r="87" spans="1:8" x14ac:dyDescent="0.25">
      <c r="A87" s="3" t="s">
        <v>6</v>
      </c>
      <c r="B87" t="s">
        <v>31</v>
      </c>
      <c r="C87" s="17"/>
      <c r="D87" s="3"/>
      <c r="E87" s="3"/>
      <c r="F87" s="3"/>
      <c r="G87" s="3"/>
      <c r="H87" s="3"/>
    </row>
    <row r="88" spans="1:8" x14ac:dyDescent="0.25">
      <c r="A88" s="1" t="s">
        <v>8</v>
      </c>
      <c r="B88" s="3"/>
      <c r="C88" s="17"/>
      <c r="D88" s="3"/>
      <c r="E88" s="3"/>
      <c r="F88" s="3"/>
      <c r="G88" s="3"/>
      <c r="H88" s="3"/>
    </row>
    <row r="89" spans="1:8" x14ac:dyDescent="0.25">
      <c r="A89" s="6" t="s">
        <v>5</v>
      </c>
      <c r="B89" s="6" t="s">
        <v>9</v>
      </c>
      <c r="C89" s="10" t="s">
        <v>10</v>
      </c>
      <c r="D89" s="6" t="s">
        <v>6</v>
      </c>
      <c r="E89" s="6" t="s">
        <v>2</v>
      </c>
      <c r="F89" s="6" t="s">
        <v>12</v>
      </c>
      <c r="G89" s="6" t="s">
        <v>11</v>
      </c>
      <c r="H89" s="7" t="s">
        <v>13</v>
      </c>
    </row>
    <row r="90" spans="1:8" x14ac:dyDescent="0.25">
      <c r="A90" s="6" t="s">
        <v>116</v>
      </c>
      <c r="B90" s="6" t="s">
        <v>116</v>
      </c>
      <c r="C90" s="11">
        <v>1</v>
      </c>
      <c r="D90" t="s">
        <v>31</v>
      </c>
      <c r="E90" t="s">
        <v>3</v>
      </c>
      <c r="F90" s="3"/>
      <c r="G90" s="29" t="s">
        <v>197</v>
      </c>
      <c r="H90" t="s">
        <v>14</v>
      </c>
    </row>
    <row r="91" spans="1:8" x14ac:dyDescent="0.25">
      <c r="A91" s="6" t="s">
        <v>26</v>
      </c>
      <c r="B91" s="6" t="s">
        <v>26</v>
      </c>
      <c r="C91" s="15">
        <v>4.2199999999999999E-9</v>
      </c>
      <c r="D91" t="s">
        <v>27</v>
      </c>
      <c r="E91" t="s">
        <v>3</v>
      </c>
      <c r="F91" s="3"/>
      <c r="G91" s="29" t="s">
        <v>197</v>
      </c>
      <c r="H91" t="s">
        <v>16</v>
      </c>
    </row>
    <row r="92" spans="1:8" x14ac:dyDescent="0.25">
      <c r="B92" s="14" t="s">
        <v>18</v>
      </c>
      <c r="C92" s="13">
        <v>2.5999999999999998E-4</v>
      </c>
      <c r="D92" t="s">
        <v>7</v>
      </c>
      <c r="F92" s="14" t="s">
        <v>60</v>
      </c>
      <c r="G92" t="s">
        <v>189</v>
      </c>
      <c r="H92" t="s">
        <v>19</v>
      </c>
    </row>
    <row r="93" spans="1:8" x14ac:dyDescent="0.25">
      <c r="A93" s="2"/>
      <c r="B93" s="2"/>
      <c r="C93" s="18"/>
      <c r="D93" s="2"/>
      <c r="E93" s="2"/>
      <c r="F93" s="2"/>
      <c r="G93" s="2"/>
      <c r="H93" s="2"/>
    </row>
    <row r="94" spans="1:8" x14ac:dyDescent="0.25">
      <c r="A94" s="1" t="s">
        <v>0</v>
      </c>
      <c r="B94" s="8" t="s">
        <v>26</v>
      </c>
      <c r="C94" s="17"/>
      <c r="D94" s="3"/>
      <c r="E94" s="3"/>
      <c r="F94" s="3"/>
      <c r="G94" s="3"/>
      <c r="H94" s="3"/>
    </row>
    <row r="95" spans="1:8" x14ac:dyDescent="0.25">
      <c r="A95" s="3" t="s">
        <v>1</v>
      </c>
      <c r="B95" s="6" t="s">
        <v>166</v>
      </c>
      <c r="C95" s="17"/>
      <c r="D95" s="3"/>
      <c r="E95" s="3"/>
      <c r="F95" s="3"/>
      <c r="G95" s="3"/>
      <c r="H95" s="3"/>
    </row>
    <row r="96" spans="1:8" x14ac:dyDescent="0.25">
      <c r="A96" s="3" t="s">
        <v>2</v>
      </c>
      <c r="B96" t="s">
        <v>3</v>
      </c>
      <c r="C96" s="17"/>
      <c r="D96" s="3"/>
      <c r="E96" s="3"/>
      <c r="F96" s="3"/>
      <c r="G96" s="3"/>
      <c r="H96" s="3"/>
    </row>
    <row r="97" spans="1:8" x14ac:dyDescent="0.25">
      <c r="A97" s="3" t="s">
        <v>4</v>
      </c>
      <c r="B97" s="9">
        <v>1</v>
      </c>
      <c r="C97" s="17"/>
      <c r="D97" s="3"/>
      <c r="E97" s="3"/>
      <c r="F97" s="3"/>
      <c r="G97" s="3"/>
      <c r="H97" s="3"/>
    </row>
    <row r="98" spans="1:8" x14ac:dyDescent="0.25">
      <c r="A98" s="3" t="s">
        <v>5</v>
      </c>
      <c r="B98" t="s">
        <v>26</v>
      </c>
      <c r="C98" s="17"/>
      <c r="D98" s="3"/>
      <c r="E98" s="3"/>
      <c r="F98" s="3"/>
      <c r="G98" s="3"/>
      <c r="H98" s="3"/>
    </row>
    <row r="99" spans="1:8" x14ac:dyDescent="0.25">
      <c r="A99" s="3" t="s">
        <v>6</v>
      </c>
      <c r="B99" t="s">
        <v>27</v>
      </c>
      <c r="C99" s="17"/>
      <c r="D99" s="3"/>
      <c r="E99" s="3"/>
      <c r="F99" s="3"/>
      <c r="G99" s="3"/>
      <c r="H99" s="3"/>
    </row>
    <row r="100" spans="1:8" x14ac:dyDescent="0.25">
      <c r="A100" s="1" t="s">
        <v>8</v>
      </c>
      <c r="B100" s="3"/>
      <c r="C100" s="17"/>
      <c r="D100" s="3"/>
      <c r="E100" s="3"/>
      <c r="F100" s="3"/>
      <c r="G100" s="3"/>
      <c r="H100" s="3"/>
    </row>
    <row r="101" spans="1:8" x14ac:dyDescent="0.25">
      <c r="A101" s="6" t="s">
        <v>5</v>
      </c>
      <c r="B101" s="6" t="s">
        <v>9</v>
      </c>
      <c r="C101" s="10" t="s">
        <v>10</v>
      </c>
      <c r="D101" s="6" t="s">
        <v>6</v>
      </c>
      <c r="E101" s="6" t="s">
        <v>2</v>
      </c>
      <c r="F101" s="6" t="s">
        <v>12</v>
      </c>
      <c r="G101" s="6" t="s">
        <v>11</v>
      </c>
      <c r="H101" s="7" t="s">
        <v>13</v>
      </c>
    </row>
    <row r="102" spans="1:8" x14ac:dyDescent="0.25">
      <c r="A102" s="6" t="s">
        <v>26</v>
      </c>
      <c r="B102" s="6" t="s">
        <v>26</v>
      </c>
      <c r="C102" s="11">
        <v>1</v>
      </c>
      <c r="D102" t="s">
        <v>27</v>
      </c>
      <c r="E102" t="s">
        <v>3</v>
      </c>
      <c r="F102" s="3"/>
      <c r="G102" s="29" t="s">
        <v>197</v>
      </c>
      <c r="H102" t="s">
        <v>14</v>
      </c>
    </row>
    <row r="103" spans="1:8" x14ac:dyDescent="0.25">
      <c r="A103" s="6" t="s">
        <v>38</v>
      </c>
      <c r="B103" s="6" t="s">
        <v>59</v>
      </c>
      <c r="C103" s="10">
        <v>270000</v>
      </c>
      <c r="D103" t="s">
        <v>7</v>
      </c>
      <c r="E103" t="s">
        <v>3</v>
      </c>
      <c r="F103" s="3"/>
      <c r="G103" t="s">
        <v>238</v>
      </c>
      <c r="H103" t="s">
        <v>16</v>
      </c>
    </row>
    <row r="104" spans="1:8" x14ac:dyDescent="0.25">
      <c r="A104" s="6" t="s">
        <v>50</v>
      </c>
      <c r="B104" s="6" t="s">
        <v>39</v>
      </c>
      <c r="C104" s="10">
        <v>4400000</v>
      </c>
      <c r="D104" t="s">
        <v>7</v>
      </c>
      <c r="E104" t="s">
        <v>15</v>
      </c>
      <c r="G104" t="s">
        <v>238</v>
      </c>
      <c r="H104" t="s">
        <v>16</v>
      </c>
    </row>
    <row r="105" spans="1:8" x14ac:dyDescent="0.25">
      <c r="A105" s="6" t="s">
        <v>51</v>
      </c>
      <c r="B105" s="6" t="s">
        <v>40</v>
      </c>
      <c r="C105" s="10">
        <v>3310000</v>
      </c>
      <c r="D105" t="s">
        <v>30</v>
      </c>
      <c r="E105" t="s">
        <v>3</v>
      </c>
      <c r="G105" t="s">
        <v>238</v>
      </c>
      <c r="H105" t="s">
        <v>16</v>
      </c>
    </row>
    <row r="106" spans="1:8" x14ac:dyDescent="0.25">
      <c r="A106" s="6" t="s">
        <v>52</v>
      </c>
      <c r="B106" s="6" t="s">
        <v>41</v>
      </c>
      <c r="C106" s="10">
        <v>270000</v>
      </c>
      <c r="D106" t="s">
        <v>7</v>
      </c>
      <c r="E106" t="s">
        <v>3</v>
      </c>
      <c r="G106" t="s">
        <v>238</v>
      </c>
      <c r="H106" t="s">
        <v>16</v>
      </c>
    </row>
    <row r="107" spans="1:8" x14ac:dyDescent="0.25">
      <c r="A107" s="6" t="s">
        <v>53</v>
      </c>
      <c r="B107" s="6" t="s">
        <v>42</v>
      </c>
      <c r="C107" s="10">
        <v>5120</v>
      </c>
      <c r="D107" t="s">
        <v>7</v>
      </c>
      <c r="E107" t="s">
        <v>3</v>
      </c>
      <c r="G107" t="s">
        <v>238</v>
      </c>
      <c r="H107" t="s">
        <v>16</v>
      </c>
    </row>
    <row r="108" spans="1:8" x14ac:dyDescent="0.25">
      <c r="A108" s="6" t="s">
        <v>54</v>
      </c>
      <c r="B108" s="6" t="s">
        <v>43</v>
      </c>
      <c r="C108" s="10">
        <v>55100</v>
      </c>
      <c r="D108" t="s">
        <v>31</v>
      </c>
      <c r="E108" t="s">
        <v>15</v>
      </c>
      <c r="G108" t="s">
        <v>238</v>
      </c>
      <c r="H108" t="s">
        <v>16</v>
      </c>
    </row>
    <row r="109" spans="1:8" x14ac:dyDescent="0.25">
      <c r="A109" s="6" t="s">
        <v>55</v>
      </c>
      <c r="B109" s="6" t="s">
        <v>44</v>
      </c>
      <c r="C109" s="10">
        <v>315000</v>
      </c>
      <c r="D109" t="s">
        <v>31</v>
      </c>
      <c r="E109" t="s">
        <v>15</v>
      </c>
      <c r="G109" t="s">
        <v>238</v>
      </c>
      <c r="H109" t="s">
        <v>16</v>
      </c>
    </row>
    <row r="110" spans="1:8" x14ac:dyDescent="0.25">
      <c r="A110" s="6" t="s">
        <v>45</v>
      </c>
      <c r="B110" s="6" t="s">
        <v>45</v>
      </c>
      <c r="C110" s="12">
        <v>26</v>
      </c>
      <c r="D110" t="s">
        <v>32</v>
      </c>
      <c r="E110" t="s">
        <v>3</v>
      </c>
      <c r="G110" t="s">
        <v>238</v>
      </c>
      <c r="H110" t="s">
        <v>16</v>
      </c>
    </row>
    <row r="111" spans="1:8" x14ac:dyDescent="0.25">
      <c r="A111" s="6" t="s">
        <v>46</v>
      </c>
      <c r="B111" s="6" t="s">
        <v>46</v>
      </c>
      <c r="C111" s="12">
        <v>10.4</v>
      </c>
      <c r="D111" t="s">
        <v>6</v>
      </c>
      <c r="E111" t="s">
        <v>3</v>
      </c>
      <c r="G111" t="s">
        <v>238</v>
      </c>
      <c r="H111" t="s">
        <v>16</v>
      </c>
    </row>
    <row r="112" spans="1:8" x14ac:dyDescent="0.25">
      <c r="A112" s="6" t="s">
        <v>56</v>
      </c>
      <c r="B112" s="6" t="s">
        <v>47</v>
      </c>
      <c r="C112" s="10">
        <v>-4400000</v>
      </c>
      <c r="D112" t="s">
        <v>7</v>
      </c>
      <c r="E112" t="s">
        <v>15</v>
      </c>
      <c r="G112" t="s">
        <v>238</v>
      </c>
      <c r="H112" t="s">
        <v>16</v>
      </c>
    </row>
    <row r="113" spans="1:8" x14ac:dyDescent="0.25">
      <c r="A113" s="6" t="s">
        <v>57</v>
      </c>
      <c r="B113" s="6" t="s">
        <v>48</v>
      </c>
      <c r="C113" s="10">
        <v>-135000</v>
      </c>
      <c r="D113" t="s">
        <v>7</v>
      </c>
      <c r="E113" t="s">
        <v>15</v>
      </c>
      <c r="G113" t="s">
        <v>238</v>
      </c>
      <c r="H113" t="s">
        <v>16</v>
      </c>
    </row>
    <row r="114" spans="1:8" x14ac:dyDescent="0.25">
      <c r="A114" t="s">
        <v>58</v>
      </c>
      <c r="B114" s="6" t="s">
        <v>49</v>
      </c>
      <c r="C114" s="10">
        <v>-5120</v>
      </c>
      <c r="D114" t="s">
        <v>7</v>
      </c>
      <c r="E114" t="s">
        <v>15</v>
      </c>
      <c r="G114" t="s">
        <v>238</v>
      </c>
      <c r="H114" t="s">
        <v>16</v>
      </c>
    </row>
    <row r="115" spans="1:8" x14ac:dyDescent="0.25">
      <c r="B115" t="s">
        <v>34</v>
      </c>
      <c r="C115" s="10">
        <v>3330</v>
      </c>
      <c r="D115" t="s">
        <v>28</v>
      </c>
      <c r="F115" s="14" t="s">
        <v>33</v>
      </c>
      <c r="G115" t="s">
        <v>189</v>
      </c>
      <c r="H115" t="s">
        <v>19</v>
      </c>
    </row>
    <row r="116" spans="1:8" x14ac:dyDescent="0.25">
      <c r="B116" t="s">
        <v>35</v>
      </c>
      <c r="C116" s="10">
        <v>2000</v>
      </c>
      <c r="D116" t="s">
        <v>29</v>
      </c>
      <c r="F116" s="14" t="s">
        <v>33</v>
      </c>
      <c r="G116" t="s">
        <v>189</v>
      </c>
      <c r="H116" t="s">
        <v>19</v>
      </c>
    </row>
    <row r="117" spans="1:8" x14ac:dyDescent="0.25">
      <c r="B117" t="s">
        <v>36</v>
      </c>
      <c r="C117" s="10">
        <v>2000</v>
      </c>
      <c r="D117" t="s">
        <v>29</v>
      </c>
      <c r="F117" s="14" t="s">
        <v>33</v>
      </c>
      <c r="G117" t="s">
        <v>189</v>
      </c>
      <c r="H117" t="s">
        <v>19</v>
      </c>
    </row>
    <row r="118" spans="1:8" x14ac:dyDescent="0.25">
      <c r="B118" t="s">
        <v>37</v>
      </c>
      <c r="C118" s="10">
        <v>187</v>
      </c>
      <c r="D118" t="s">
        <v>17</v>
      </c>
      <c r="F118" s="14" t="s">
        <v>25</v>
      </c>
      <c r="G118" t="s">
        <v>189</v>
      </c>
      <c r="H118" t="s">
        <v>19</v>
      </c>
    </row>
    <row r="119" spans="1:8" x14ac:dyDescent="0.25">
      <c r="A119" s="2"/>
      <c r="B119" s="2"/>
      <c r="C119" s="18"/>
      <c r="D119" s="2"/>
      <c r="E119" s="2"/>
      <c r="F119" s="2"/>
      <c r="G119" s="2"/>
      <c r="H119" s="2"/>
    </row>
    <row r="120" spans="1:8" x14ac:dyDescent="0.25">
      <c r="A120" s="1" t="s">
        <v>0</v>
      </c>
      <c r="B120" s="8" t="s">
        <v>136</v>
      </c>
      <c r="C120" s="17"/>
      <c r="D120" s="3"/>
      <c r="E120" s="3"/>
      <c r="F120" s="3"/>
      <c r="G120" s="3"/>
      <c r="H120" s="3"/>
    </row>
    <row r="121" spans="1:8" x14ac:dyDescent="0.25">
      <c r="A121" s="3" t="s">
        <v>1</v>
      </c>
      <c r="B121" s="6" t="s">
        <v>118</v>
      </c>
      <c r="C121" s="17"/>
      <c r="D121" s="3"/>
      <c r="E121" s="3"/>
      <c r="F121" s="3"/>
      <c r="G121" s="3"/>
      <c r="H121" s="3"/>
    </row>
    <row r="122" spans="1:8" x14ac:dyDescent="0.25">
      <c r="A122" s="3" t="s">
        <v>2</v>
      </c>
      <c r="B122" t="s">
        <v>3</v>
      </c>
      <c r="C122" s="17"/>
      <c r="D122" s="3"/>
      <c r="E122" s="3"/>
      <c r="F122" s="3"/>
      <c r="G122" s="3"/>
      <c r="H122" s="3"/>
    </row>
    <row r="123" spans="1:8" x14ac:dyDescent="0.25">
      <c r="A123" s="3" t="s">
        <v>4</v>
      </c>
      <c r="B123" s="9">
        <v>1</v>
      </c>
      <c r="C123" s="17"/>
      <c r="D123" s="3"/>
      <c r="E123" s="3"/>
      <c r="F123" s="3"/>
      <c r="G123" s="3"/>
      <c r="H123" s="3"/>
    </row>
    <row r="124" spans="1:8" x14ac:dyDescent="0.25">
      <c r="A124" s="3" t="s">
        <v>5</v>
      </c>
      <c r="B124" t="s">
        <v>136</v>
      </c>
      <c r="C124" s="17"/>
      <c r="D124" s="3"/>
      <c r="E124" s="3"/>
      <c r="F124" s="3"/>
      <c r="G124" s="3"/>
      <c r="H124" s="3"/>
    </row>
    <row r="125" spans="1:8" x14ac:dyDescent="0.25">
      <c r="A125" s="3" t="s">
        <v>6</v>
      </c>
      <c r="B125" t="s">
        <v>7</v>
      </c>
      <c r="C125" s="17"/>
      <c r="D125" s="3"/>
      <c r="E125" s="3"/>
      <c r="F125" s="3"/>
      <c r="G125" s="3"/>
      <c r="H125" s="3"/>
    </row>
    <row r="126" spans="1:8" x14ac:dyDescent="0.25">
      <c r="A126" s="1" t="s">
        <v>8</v>
      </c>
      <c r="B126" s="3"/>
      <c r="C126" s="17"/>
      <c r="D126" s="3"/>
      <c r="E126" s="3"/>
      <c r="F126" s="3"/>
      <c r="G126" s="3"/>
      <c r="H126" s="3"/>
    </row>
    <row r="127" spans="1:8" x14ac:dyDescent="0.25">
      <c r="A127" s="7" t="s">
        <v>5</v>
      </c>
      <c r="B127" s="6" t="s">
        <v>9</v>
      </c>
      <c r="C127" s="10" t="s">
        <v>10</v>
      </c>
      <c r="D127" s="6" t="s">
        <v>6</v>
      </c>
      <c r="E127" s="6" t="s">
        <v>2</v>
      </c>
      <c r="F127" s="6" t="s">
        <v>12</v>
      </c>
      <c r="G127" s="6" t="s">
        <v>11</v>
      </c>
      <c r="H127" s="7" t="s">
        <v>13</v>
      </c>
    </row>
    <row r="128" spans="1:8" x14ac:dyDescent="0.25">
      <c r="A128" t="s">
        <v>136</v>
      </c>
      <c r="B128" t="s">
        <v>136</v>
      </c>
      <c r="C128" s="11">
        <v>1</v>
      </c>
      <c r="D128" t="s">
        <v>7</v>
      </c>
      <c r="E128" t="s">
        <v>3</v>
      </c>
      <c r="G128" s="29" t="s">
        <v>197</v>
      </c>
      <c r="H128" t="s">
        <v>14</v>
      </c>
    </row>
    <row r="129" spans="1:8" x14ac:dyDescent="0.25">
      <c r="A129" t="s">
        <v>119</v>
      </c>
      <c r="B129" t="s">
        <v>119</v>
      </c>
      <c r="C129" s="15">
        <v>1.13E-4</v>
      </c>
      <c r="D129" t="s">
        <v>7</v>
      </c>
      <c r="E129" t="s">
        <v>3</v>
      </c>
      <c r="G129" s="29" t="s">
        <v>197</v>
      </c>
      <c r="H129" t="s">
        <v>16</v>
      </c>
    </row>
    <row r="130" spans="1:8" x14ac:dyDescent="0.25">
      <c r="A130" t="s">
        <v>149</v>
      </c>
      <c r="B130" t="s">
        <v>137</v>
      </c>
      <c r="C130" s="15">
        <v>1.4300000000000001E-6</v>
      </c>
      <c r="D130" s="3" t="s">
        <v>7</v>
      </c>
      <c r="E130" t="s">
        <v>3</v>
      </c>
      <c r="G130" t="s">
        <v>238</v>
      </c>
      <c r="H130" t="s">
        <v>16</v>
      </c>
    </row>
    <row r="131" spans="1:8" x14ac:dyDescent="0.25">
      <c r="A131" s="3" t="s">
        <v>151</v>
      </c>
      <c r="B131" t="s">
        <v>138</v>
      </c>
      <c r="C131" s="15">
        <v>3.1399999999999998E-5</v>
      </c>
      <c r="D131" s="3" t="s">
        <v>7</v>
      </c>
      <c r="E131" s="3" t="s">
        <v>15</v>
      </c>
      <c r="G131" t="s">
        <v>238</v>
      </c>
      <c r="H131" t="s">
        <v>16</v>
      </c>
    </row>
    <row r="132" spans="1:8" x14ac:dyDescent="0.25">
      <c r="A132" s="3" t="s">
        <v>152</v>
      </c>
      <c r="B132" t="s">
        <v>139</v>
      </c>
      <c r="C132" s="15">
        <v>4.7399999999999997E-4</v>
      </c>
      <c r="D132" s="3" t="s">
        <v>7</v>
      </c>
      <c r="E132" t="s">
        <v>3</v>
      </c>
      <c r="G132" t="s">
        <v>238</v>
      </c>
      <c r="H132" t="s">
        <v>16</v>
      </c>
    </row>
    <row r="133" spans="1:8" x14ac:dyDescent="0.25">
      <c r="A133" s="3" t="s">
        <v>153</v>
      </c>
      <c r="B133" t="s">
        <v>140</v>
      </c>
      <c r="C133" s="15">
        <v>2.4199999999999999E-5</v>
      </c>
      <c r="D133" s="3" t="s">
        <v>7</v>
      </c>
      <c r="E133" s="3" t="s">
        <v>15</v>
      </c>
      <c r="G133" t="s">
        <v>238</v>
      </c>
      <c r="H133" t="s">
        <v>16</v>
      </c>
    </row>
    <row r="134" spans="1:8" x14ac:dyDescent="0.25">
      <c r="A134" s="3" t="s">
        <v>121</v>
      </c>
      <c r="B134" t="s">
        <v>120</v>
      </c>
      <c r="C134" s="15">
        <v>1.43E-5</v>
      </c>
      <c r="D134" s="3" t="s">
        <v>7</v>
      </c>
      <c r="E134" s="3" t="s">
        <v>15</v>
      </c>
      <c r="G134" t="s">
        <v>238</v>
      </c>
      <c r="H134" t="s">
        <v>16</v>
      </c>
    </row>
    <row r="135" spans="1:8" x14ac:dyDescent="0.25">
      <c r="A135" s="3" t="s">
        <v>115</v>
      </c>
      <c r="B135" t="s">
        <v>141</v>
      </c>
      <c r="C135" s="15">
        <v>8.0700000000000007E-6</v>
      </c>
      <c r="D135" s="3" t="s">
        <v>7</v>
      </c>
      <c r="E135" s="3" t="s">
        <v>15</v>
      </c>
      <c r="G135" t="s">
        <v>238</v>
      </c>
      <c r="H135" t="s">
        <v>16</v>
      </c>
    </row>
    <row r="136" spans="1:8" x14ac:dyDescent="0.25">
      <c r="A136" s="3" t="s">
        <v>154</v>
      </c>
      <c r="B136" t="s">
        <v>142</v>
      </c>
      <c r="C136" s="15">
        <v>-7.4000000000000001E-7</v>
      </c>
      <c r="D136" s="3" t="s">
        <v>7</v>
      </c>
      <c r="E136" s="3" t="s">
        <v>15</v>
      </c>
      <c r="G136" t="s">
        <v>238</v>
      </c>
      <c r="H136" t="s">
        <v>16</v>
      </c>
    </row>
    <row r="137" spans="1:8" x14ac:dyDescent="0.25">
      <c r="A137" s="3" t="s">
        <v>155</v>
      </c>
      <c r="B137" t="s">
        <v>143</v>
      </c>
      <c r="C137" s="12">
        <v>1.2100000000000001E-3</v>
      </c>
      <c r="D137" s="3" t="s">
        <v>7</v>
      </c>
      <c r="E137" s="3" t="s">
        <v>15</v>
      </c>
      <c r="G137" t="s">
        <v>238</v>
      </c>
      <c r="H137" t="s">
        <v>16</v>
      </c>
    </row>
    <row r="138" spans="1:8" x14ac:dyDescent="0.25">
      <c r="A138" s="3" t="s">
        <v>156</v>
      </c>
      <c r="B138" t="s">
        <v>144</v>
      </c>
      <c r="C138" s="11">
        <v>9.4500000000000001E-3</v>
      </c>
      <c r="D138" s="3" t="s">
        <v>7</v>
      </c>
      <c r="E138" s="3" t="s">
        <v>15</v>
      </c>
      <c r="G138" t="s">
        <v>238</v>
      </c>
      <c r="H138" t="s">
        <v>16</v>
      </c>
    </row>
    <row r="139" spans="1:8" x14ac:dyDescent="0.25">
      <c r="A139" t="s">
        <v>84</v>
      </c>
      <c r="B139" t="s">
        <v>86</v>
      </c>
      <c r="C139" s="11">
        <v>1.1055564400000001E-3</v>
      </c>
      <c r="D139" s="3" t="s">
        <v>87</v>
      </c>
      <c r="E139" t="s">
        <v>3</v>
      </c>
      <c r="G139" t="s">
        <v>238</v>
      </c>
      <c r="H139" t="s">
        <v>16</v>
      </c>
    </row>
    <row r="140" spans="1:8" x14ac:dyDescent="0.25">
      <c r="A140" s="3" t="s">
        <v>114</v>
      </c>
      <c r="B140" t="s">
        <v>113</v>
      </c>
      <c r="C140" s="11">
        <v>9.7199999999999995E-3</v>
      </c>
      <c r="D140" s="3" t="s">
        <v>30</v>
      </c>
      <c r="E140" s="3" t="s">
        <v>15</v>
      </c>
      <c r="G140" t="s">
        <v>238</v>
      </c>
      <c r="H140" t="s">
        <v>16</v>
      </c>
    </row>
    <row r="141" spans="1:8" x14ac:dyDescent="0.25">
      <c r="A141" s="3" t="s">
        <v>157</v>
      </c>
      <c r="B141" t="s">
        <v>145</v>
      </c>
      <c r="C141" s="15">
        <v>7.7299999999999995E-5</v>
      </c>
      <c r="D141" s="3" t="s">
        <v>30</v>
      </c>
      <c r="E141" s="3" t="s">
        <v>15</v>
      </c>
      <c r="G141" t="s">
        <v>238</v>
      </c>
      <c r="H141" t="s">
        <v>16</v>
      </c>
    </row>
    <row r="142" spans="1:8" x14ac:dyDescent="0.25">
      <c r="A142" s="3" t="s">
        <v>158</v>
      </c>
      <c r="B142" t="s">
        <v>146</v>
      </c>
      <c r="C142" s="15">
        <v>1.77E-8</v>
      </c>
      <c r="D142" s="3" t="s">
        <v>7</v>
      </c>
      <c r="E142" s="3" t="s">
        <v>15</v>
      </c>
      <c r="G142" t="s">
        <v>238</v>
      </c>
      <c r="H142" t="s">
        <v>16</v>
      </c>
    </row>
    <row r="143" spans="1:8" x14ac:dyDescent="0.25">
      <c r="A143" s="3" t="s">
        <v>147</v>
      </c>
      <c r="B143" t="s">
        <v>147</v>
      </c>
      <c r="C143" s="15">
        <v>8.6100000000000006E-5</v>
      </c>
      <c r="D143" s="3" t="s">
        <v>7</v>
      </c>
      <c r="E143" s="3" t="s">
        <v>15</v>
      </c>
      <c r="G143" t="s">
        <v>238</v>
      </c>
      <c r="H143" t="s">
        <v>16</v>
      </c>
    </row>
    <row r="144" spans="1:8" x14ac:dyDescent="0.25">
      <c r="A144" s="3" t="s">
        <v>148</v>
      </c>
      <c r="B144" t="s">
        <v>148</v>
      </c>
      <c r="C144" s="15">
        <v>8.6100000000000006E-5</v>
      </c>
      <c r="D144" s="3" t="s">
        <v>7</v>
      </c>
      <c r="E144" s="3" t="s">
        <v>15</v>
      </c>
      <c r="G144" t="s">
        <v>238</v>
      </c>
      <c r="H144" t="s">
        <v>16</v>
      </c>
    </row>
    <row r="145" spans="1:8" x14ac:dyDescent="0.25">
      <c r="B145" t="s">
        <v>159</v>
      </c>
      <c r="C145" s="15">
        <v>6.7299999999999995E-7</v>
      </c>
      <c r="D145" s="3" t="s">
        <v>7</v>
      </c>
      <c r="F145" s="3" t="s">
        <v>150</v>
      </c>
      <c r="G145" t="s">
        <v>189</v>
      </c>
      <c r="H145" t="s">
        <v>19</v>
      </c>
    </row>
    <row r="146" spans="1:8" x14ac:dyDescent="0.25">
      <c r="B146" t="s">
        <v>160</v>
      </c>
      <c r="C146" s="15">
        <v>6.73E-8</v>
      </c>
      <c r="D146" s="3" t="s">
        <v>7</v>
      </c>
      <c r="F146" s="3" t="s">
        <v>150</v>
      </c>
      <c r="G146" t="s">
        <v>189</v>
      </c>
      <c r="H146" t="s">
        <v>19</v>
      </c>
    </row>
    <row r="147" spans="1:8" x14ac:dyDescent="0.25">
      <c r="A147" s="2"/>
      <c r="B147" s="2"/>
      <c r="C147" s="18"/>
      <c r="D147" s="2"/>
      <c r="E147" s="2"/>
      <c r="F147" s="2"/>
      <c r="G147" s="2"/>
      <c r="H147" s="2"/>
    </row>
    <row r="148" spans="1:8" x14ac:dyDescent="0.25">
      <c r="A148" s="1" t="s">
        <v>0</v>
      </c>
      <c r="B148" s="8" t="s">
        <v>119</v>
      </c>
      <c r="C148" s="17"/>
      <c r="D148" s="3"/>
      <c r="E148" s="3"/>
      <c r="F148" s="3"/>
      <c r="G148" s="3"/>
      <c r="H148" s="3"/>
    </row>
    <row r="149" spans="1:8" x14ac:dyDescent="0.25">
      <c r="A149" s="3" t="s">
        <v>1</v>
      </c>
      <c r="B149" s="6" t="s">
        <v>118</v>
      </c>
      <c r="C149" s="17"/>
      <c r="D149" s="3"/>
      <c r="E149" s="3"/>
      <c r="F149" s="3"/>
      <c r="G149" s="3"/>
      <c r="H149" s="3"/>
    </row>
    <row r="150" spans="1:8" x14ac:dyDescent="0.25">
      <c r="A150" s="3" t="s">
        <v>2</v>
      </c>
      <c r="B150" t="s">
        <v>3</v>
      </c>
      <c r="C150" s="17"/>
      <c r="D150" s="3"/>
      <c r="E150" s="3"/>
      <c r="F150" s="3"/>
      <c r="G150" s="3"/>
      <c r="H150" s="3"/>
    </row>
    <row r="151" spans="1:8" x14ac:dyDescent="0.25">
      <c r="A151" s="3" t="s">
        <v>4</v>
      </c>
      <c r="B151" s="9">
        <v>1</v>
      </c>
      <c r="C151" s="17"/>
      <c r="D151" s="3"/>
      <c r="E151" s="3"/>
      <c r="F151" s="3"/>
      <c r="G151" s="3"/>
      <c r="H151" s="3"/>
    </row>
    <row r="152" spans="1:8" x14ac:dyDescent="0.25">
      <c r="A152" s="3" t="s">
        <v>5</v>
      </c>
      <c r="B152" t="s">
        <v>119</v>
      </c>
      <c r="C152" s="17"/>
      <c r="D152" s="3"/>
      <c r="E152" s="3"/>
      <c r="F152" s="3"/>
      <c r="G152" s="3"/>
      <c r="H152" s="3"/>
    </row>
    <row r="153" spans="1:8" x14ac:dyDescent="0.25">
      <c r="A153" s="3" t="s">
        <v>6</v>
      </c>
      <c r="B153" t="s">
        <v>7</v>
      </c>
      <c r="C153" s="17"/>
      <c r="D153" s="3"/>
      <c r="E153" s="3"/>
      <c r="F153" s="3"/>
      <c r="G153" s="3"/>
      <c r="H153" s="3"/>
    </row>
    <row r="154" spans="1:8" x14ac:dyDescent="0.25">
      <c r="A154" s="1" t="s">
        <v>8</v>
      </c>
      <c r="B154" s="3"/>
      <c r="C154" s="17"/>
      <c r="D154" s="3"/>
      <c r="E154" s="3"/>
      <c r="F154" s="3"/>
      <c r="G154" s="3"/>
      <c r="H154" s="3"/>
    </row>
    <row r="155" spans="1:8" x14ac:dyDescent="0.25">
      <c r="A155" s="7" t="s">
        <v>5</v>
      </c>
      <c r="B155" s="6" t="s">
        <v>9</v>
      </c>
      <c r="C155" s="10" t="s">
        <v>10</v>
      </c>
      <c r="D155" s="6" t="s">
        <v>6</v>
      </c>
      <c r="E155" s="6" t="s">
        <v>2</v>
      </c>
      <c r="F155" s="6" t="s">
        <v>12</v>
      </c>
      <c r="G155" s="6" t="s">
        <v>11</v>
      </c>
      <c r="H155" s="7" t="s">
        <v>13</v>
      </c>
    </row>
    <row r="156" spans="1:8" x14ac:dyDescent="0.25">
      <c r="A156" t="s">
        <v>119</v>
      </c>
      <c r="B156" t="s">
        <v>119</v>
      </c>
      <c r="C156" s="11">
        <v>1</v>
      </c>
      <c r="D156" t="s">
        <v>7</v>
      </c>
      <c r="E156" t="s">
        <v>3</v>
      </c>
      <c r="G156" s="29" t="s">
        <v>197</v>
      </c>
      <c r="H156" t="s">
        <v>14</v>
      </c>
    </row>
    <row r="157" spans="1:8" x14ac:dyDescent="0.25">
      <c r="A157" t="s">
        <v>121</v>
      </c>
      <c r="B157" t="s">
        <v>120</v>
      </c>
      <c r="C157" s="12">
        <v>7.6300000000000007E-2</v>
      </c>
      <c r="D157" t="s">
        <v>7</v>
      </c>
      <c r="E157" t="s">
        <v>15</v>
      </c>
      <c r="G157" t="s">
        <v>238</v>
      </c>
      <c r="H157" t="s">
        <v>16</v>
      </c>
    </row>
    <row r="158" spans="1:8" x14ac:dyDescent="0.25">
      <c r="A158" t="s">
        <v>122</v>
      </c>
      <c r="B158" t="s">
        <v>129</v>
      </c>
      <c r="C158" s="10">
        <v>0.156</v>
      </c>
      <c r="D158" t="s">
        <v>7</v>
      </c>
      <c r="E158" t="s">
        <v>15</v>
      </c>
      <c r="G158" t="s">
        <v>238</v>
      </c>
      <c r="H158" t="s">
        <v>16</v>
      </c>
    </row>
    <row r="159" spans="1:8" x14ac:dyDescent="0.25">
      <c r="A159" t="s">
        <v>123</v>
      </c>
      <c r="B159" t="s">
        <v>130</v>
      </c>
      <c r="C159" s="12">
        <v>4.7899999999999998E-2</v>
      </c>
      <c r="D159" t="s">
        <v>7</v>
      </c>
      <c r="E159" t="s">
        <v>15</v>
      </c>
      <c r="G159" t="s">
        <v>238</v>
      </c>
      <c r="H159" t="s">
        <v>16</v>
      </c>
    </row>
    <row r="160" spans="1:8" x14ac:dyDescent="0.25">
      <c r="A160" t="s">
        <v>124</v>
      </c>
      <c r="B160" t="s">
        <v>193</v>
      </c>
      <c r="C160" s="12">
        <v>5.28E-2</v>
      </c>
      <c r="D160" t="s">
        <v>7</v>
      </c>
      <c r="E160" t="s">
        <v>15</v>
      </c>
      <c r="G160" t="s">
        <v>238</v>
      </c>
      <c r="H160" t="s">
        <v>16</v>
      </c>
    </row>
    <row r="161" spans="1:8" x14ac:dyDescent="0.25">
      <c r="A161" t="s">
        <v>125</v>
      </c>
      <c r="B161" t="s">
        <v>131</v>
      </c>
      <c r="C161" s="12">
        <v>8.6099999999999996E-2</v>
      </c>
      <c r="D161" t="s">
        <v>7</v>
      </c>
      <c r="E161" t="s">
        <v>15</v>
      </c>
      <c r="G161" t="s">
        <v>238</v>
      </c>
      <c r="H161" t="s">
        <v>16</v>
      </c>
    </row>
    <row r="162" spans="1:8" x14ac:dyDescent="0.25">
      <c r="A162" t="s">
        <v>126</v>
      </c>
      <c r="B162" t="s">
        <v>132</v>
      </c>
      <c r="C162" s="12">
        <v>3.2300000000000002E-2</v>
      </c>
      <c r="D162" t="s">
        <v>7</v>
      </c>
      <c r="E162" t="s">
        <v>15</v>
      </c>
      <c r="G162" t="s">
        <v>238</v>
      </c>
      <c r="H162" t="s">
        <v>16</v>
      </c>
    </row>
    <row r="163" spans="1:8" x14ac:dyDescent="0.25">
      <c r="A163" t="s">
        <v>127</v>
      </c>
      <c r="B163" t="s">
        <v>133</v>
      </c>
      <c r="C163" s="10">
        <v>0.127</v>
      </c>
      <c r="D163" t="s">
        <v>7</v>
      </c>
      <c r="E163" t="s">
        <v>15</v>
      </c>
      <c r="G163" t="s">
        <v>238</v>
      </c>
      <c r="H163" t="s">
        <v>16</v>
      </c>
    </row>
    <row r="164" spans="1:8" x14ac:dyDescent="0.25">
      <c r="A164" t="s">
        <v>128</v>
      </c>
      <c r="B164" t="s">
        <v>134</v>
      </c>
      <c r="C164" s="10">
        <v>0.42099999999999999</v>
      </c>
      <c r="D164" t="s">
        <v>7</v>
      </c>
      <c r="E164" t="s">
        <v>15</v>
      </c>
      <c r="G164" t="s">
        <v>238</v>
      </c>
      <c r="H164" t="s">
        <v>16</v>
      </c>
    </row>
    <row r="165" spans="1:8" x14ac:dyDescent="0.25">
      <c r="A165" t="s">
        <v>70</v>
      </c>
      <c r="B165" t="s">
        <v>135</v>
      </c>
      <c r="C165" s="13">
        <v>4.6900000000000002E-4</v>
      </c>
      <c r="D165" t="s">
        <v>7</v>
      </c>
      <c r="E165" t="s">
        <v>15</v>
      </c>
      <c r="G165" t="s">
        <v>238</v>
      </c>
      <c r="H165" t="s">
        <v>16</v>
      </c>
    </row>
    <row r="166" spans="1:8" x14ac:dyDescent="0.25">
      <c r="A166" s="2"/>
      <c r="B166" s="2"/>
      <c r="C166" s="18"/>
      <c r="D166" s="2"/>
      <c r="E166" s="2"/>
      <c r="F166" s="2"/>
      <c r="G166" s="2"/>
      <c r="H166" s="2"/>
    </row>
    <row r="167" spans="1:8" x14ac:dyDescent="0.25">
      <c r="A167" s="1" t="s">
        <v>0</v>
      </c>
      <c r="B167" s="8" t="s">
        <v>186</v>
      </c>
      <c r="C167" s="17"/>
      <c r="D167" s="3"/>
      <c r="E167" s="3"/>
      <c r="F167" s="3"/>
      <c r="G167" s="3"/>
      <c r="H167" s="3"/>
    </row>
    <row r="168" spans="1:8" x14ac:dyDescent="0.25">
      <c r="A168" s="3" t="s">
        <v>1</v>
      </c>
      <c r="B168" s="6" t="s">
        <v>187</v>
      </c>
      <c r="C168" s="17"/>
      <c r="D168" s="3"/>
      <c r="E168" s="3"/>
      <c r="F168" s="3"/>
      <c r="G168" s="3"/>
      <c r="H168" s="3"/>
    </row>
    <row r="169" spans="1:8" x14ac:dyDescent="0.25">
      <c r="A169" s="3" t="s">
        <v>2</v>
      </c>
      <c r="B169" t="s">
        <v>3</v>
      </c>
      <c r="C169" s="17"/>
      <c r="D169" s="3"/>
      <c r="E169" s="3"/>
      <c r="F169" s="3"/>
      <c r="G169" s="3"/>
      <c r="H169" s="3"/>
    </row>
    <row r="170" spans="1:8" x14ac:dyDescent="0.25">
      <c r="A170" s="3" t="s">
        <v>4</v>
      </c>
      <c r="B170" s="9">
        <v>1</v>
      </c>
      <c r="C170" s="17"/>
      <c r="D170" s="3"/>
      <c r="E170" s="3"/>
      <c r="F170" s="3"/>
      <c r="G170" s="3"/>
      <c r="H170" s="3"/>
    </row>
    <row r="171" spans="1:8" x14ac:dyDescent="0.25">
      <c r="A171" s="3" t="s">
        <v>5</v>
      </c>
      <c r="B171" t="s">
        <v>186</v>
      </c>
      <c r="C171" s="17"/>
      <c r="D171" s="3"/>
      <c r="E171" s="3"/>
      <c r="F171" s="3"/>
      <c r="G171" s="3"/>
      <c r="H171" s="3"/>
    </row>
    <row r="172" spans="1:8" x14ac:dyDescent="0.25">
      <c r="A172" s="3" t="s">
        <v>6</v>
      </c>
      <c r="B172" t="s">
        <v>30</v>
      </c>
      <c r="C172" s="17"/>
      <c r="D172" s="3"/>
      <c r="E172" s="3"/>
      <c r="F172" s="3"/>
      <c r="G172" s="3"/>
      <c r="H172" s="3"/>
    </row>
    <row r="173" spans="1:8" x14ac:dyDescent="0.25">
      <c r="A173" s="1" t="s">
        <v>8</v>
      </c>
      <c r="B173" s="3"/>
      <c r="C173" s="17"/>
      <c r="D173" s="3"/>
      <c r="E173" s="3"/>
      <c r="F173" s="3"/>
      <c r="G173" s="3"/>
      <c r="H173" s="3"/>
    </row>
    <row r="174" spans="1:8" x14ac:dyDescent="0.25">
      <c r="A174" s="7" t="s">
        <v>5</v>
      </c>
      <c r="B174" s="6" t="s">
        <v>9</v>
      </c>
      <c r="C174" s="10" t="s">
        <v>10</v>
      </c>
      <c r="D174" s="6" t="s">
        <v>6</v>
      </c>
      <c r="E174" s="6" t="s">
        <v>2</v>
      </c>
      <c r="F174" s="6" t="s">
        <v>12</v>
      </c>
      <c r="G174" s="6" t="s">
        <v>11</v>
      </c>
      <c r="H174" s="7" t="s">
        <v>13</v>
      </c>
    </row>
    <row r="175" spans="1:8" x14ac:dyDescent="0.25">
      <c r="A175" t="s">
        <v>186</v>
      </c>
      <c r="B175" t="s">
        <v>186</v>
      </c>
      <c r="C175" s="11">
        <v>1</v>
      </c>
      <c r="D175" t="s">
        <v>30</v>
      </c>
      <c r="E175" t="s">
        <v>3</v>
      </c>
      <c r="F175" s="3"/>
      <c r="G175" s="29" t="s">
        <v>198</v>
      </c>
      <c r="H175" t="s">
        <v>14</v>
      </c>
    </row>
    <row r="176" spans="1:8" x14ac:dyDescent="0.25">
      <c r="A176" t="s">
        <v>84</v>
      </c>
      <c r="B176" t="s">
        <v>86</v>
      </c>
      <c r="C176" s="11">
        <f>0.000553</f>
        <v>5.53E-4</v>
      </c>
      <c r="D176" t="s">
        <v>87</v>
      </c>
      <c r="E176" t="s">
        <v>3</v>
      </c>
      <c r="G176" t="s">
        <v>238</v>
      </c>
      <c r="H176" t="s">
        <v>16</v>
      </c>
    </row>
    <row r="177" spans="2:8" x14ac:dyDescent="0.25">
      <c r="B177" t="s">
        <v>163</v>
      </c>
      <c r="C177" s="12">
        <f>6.18/1000</f>
        <v>6.1799999999999997E-3</v>
      </c>
      <c r="D177" t="s">
        <v>17</v>
      </c>
      <c r="F177" t="s">
        <v>21</v>
      </c>
      <c r="G177" t="s">
        <v>189</v>
      </c>
      <c r="H177" t="s">
        <v>19</v>
      </c>
    </row>
    <row r="178" spans="2:8" x14ac:dyDescent="0.25">
      <c r="B178" t="s">
        <v>163</v>
      </c>
      <c r="C178" s="12">
        <f>9.76/1000</f>
        <v>9.7599999999999996E-3</v>
      </c>
      <c r="D178" t="s">
        <v>17</v>
      </c>
      <c r="F178" t="s">
        <v>195</v>
      </c>
      <c r="G178" t="s">
        <v>189</v>
      </c>
      <c r="H178" t="s">
        <v>19</v>
      </c>
    </row>
    <row r="179" spans="2:8" x14ac:dyDescent="0.25">
      <c r="B179" t="s">
        <v>196</v>
      </c>
      <c r="C179" s="12">
        <f>15.94/1000</f>
        <v>1.5939999999999999E-2</v>
      </c>
      <c r="D179" t="s">
        <v>17</v>
      </c>
      <c r="F179" t="s">
        <v>25</v>
      </c>
      <c r="G179" t="s">
        <v>189</v>
      </c>
      <c r="H179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CB2C-FD61-4C31-99E5-48F3C56DA8FE}">
  <dimension ref="A1:H18"/>
  <sheetViews>
    <sheetView zoomScale="85" zoomScaleNormal="85" workbookViewId="0">
      <selection activeCell="A24" sqref="A24"/>
    </sheetView>
  </sheetViews>
  <sheetFormatPr defaultRowHeight="15" x14ac:dyDescent="0.25"/>
  <cols>
    <col min="1" max="1" width="128.85546875" customWidth="1"/>
    <col min="2" max="2" width="89.5703125" customWidth="1"/>
    <col min="3" max="3" width="10.140625" bestFit="1" customWidth="1"/>
    <col min="4" max="4" width="13" bestFit="1" customWidth="1"/>
    <col min="5" max="5" width="8.85546875" bestFit="1" customWidth="1"/>
    <col min="6" max="6" width="28.5703125" bestFit="1" customWidth="1"/>
    <col min="7" max="7" width="45.140625" bestFit="1" customWidth="1"/>
    <col min="8" max="8" width="14.5703125" customWidth="1"/>
    <col min="10" max="10" width="4.28515625" bestFit="1" customWidth="1"/>
    <col min="12" max="12" width="14.85546875" bestFit="1" customWidth="1"/>
    <col min="13" max="13" width="52.42578125" bestFit="1" customWidth="1"/>
  </cols>
  <sheetData>
    <row r="1" spans="1:8" x14ac:dyDescent="0.25">
      <c r="A1" s="1" t="s">
        <v>0</v>
      </c>
      <c r="B1" s="23" t="s">
        <v>168</v>
      </c>
      <c r="C1" s="17"/>
      <c r="D1" s="3"/>
      <c r="E1" s="3"/>
      <c r="F1" s="3"/>
      <c r="G1" s="3"/>
      <c r="H1" s="3"/>
    </row>
    <row r="2" spans="1:8" x14ac:dyDescent="0.25">
      <c r="A2" s="3" t="s">
        <v>1</v>
      </c>
      <c r="B2" s="14" t="s">
        <v>169</v>
      </c>
      <c r="C2" s="17"/>
      <c r="D2" s="3"/>
      <c r="E2" s="3"/>
      <c r="F2" s="3"/>
      <c r="G2" s="3"/>
      <c r="H2" s="3"/>
    </row>
    <row r="3" spans="1:8" x14ac:dyDescent="0.25">
      <c r="A3" s="3" t="s">
        <v>2</v>
      </c>
      <c r="B3" s="6" t="s">
        <v>3</v>
      </c>
      <c r="C3" s="17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7"/>
      <c r="D4" s="3"/>
      <c r="E4" s="3"/>
      <c r="F4" s="3"/>
      <c r="G4" s="3"/>
      <c r="H4" s="3"/>
    </row>
    <row r="5" spans="1:8" x14ac:dyDescent="0.25">
      <c r="A5" s="3" t="s">
        <v>5</v>
      </c>
      <c r="B5" t="s">
        <v>168</v>
      </c>
      <c r="C5" s="17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7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7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168</v>
      </c>
      <c r="B9" t="s">
        <v>168</v>
      </c>
      <c r="C9" s="12">
        <v>1</v>
      </c>
      <c r="D9" t="s">
        <v>7</v>
      </c>
      <c r="E9" t="s">
        <v>3</v>
      </c>
      <c r="G9" s="29" t="s">
        <v>197</v>
      </c>
      <c r="H9" s="3" t="s">
        <v>14</v>
      </c>
    </row>
    <row r="10" spans="1:8" x14ac:dyDescent="0.25">
      <c r="A10" t="s">
        <v>117</v>
      </c>
      <c r="B10" t="s">
        <v>117</v>
      </c>
      <c r="C10" s="11">
        <v>1</v>
      </c>
      <c r="D10" t="s">
        <v>7</v>
      </c>
      <c r="E10" t="s">
        <v>3</v>
      </c>
      <c r="F10" s="3"/>
      <c r="G10" s="29" t="s">
        <v>197</v>
      </c>
      <c r="H10" t="s">
        <v>16</v>
      </c>
    </row>
    <row r="11" spans="1:8" x14ac:dyDescent="0.25">
      <c r="A11" t="s">
        <v>23</v>
      </c>
      <c r="B11" t="s">
        <v>178</v>
      </c>
      <c r="C11" s="12">
        <v>1.1319999999999999</v>
      </c>
      <c r="D11" t="s">
        <v>87</v>
      </c>
      <c r="E11" t="s">
        <v>15</v>
      </c>
      <c r="G11" t="s">
        <v>238</v>
      </c>
      <c r="H11" t="s">
        <v>16</v>
      </c>
    </row>
    <row r="12" spans="1:8" x14ac:dyDescent="0.25">
      <c r="A12" s="22" t="s">
        <v>68</v>
      </c>
      <c r="B12" s="22" t="s">
        <v>75</v>
      </c>
      <c r="C12" s="12">
        <v>3.0000000000000001E-3</v>
      </c>
      <c r="D12" s="14" t="s">
        <v>7</v>
      </c>
      <c r="E12" t="s">
        <v>3</v>
      </c>
      <c r="G12" t="s">
        <v>238</v>
      </c>
      <c r="H12" t="s">
        <v>16</v>
      </c>
    </row>
    <row r="13" spans="1:8" x14ac:dyDescent="0.25">
      <c r="A13" s="22" t="s">
        <v>173</v>
      </c>
      <c r="B13" s="22" t="s">
        <v>170</v>
      </c>
      <c r="C13" s="13">
        <v>8.5616438356164383E-13</v>
      </c>
      <c r="D13" s="14" t="s">
        <v>6</v>
      </c>
      <c r="E13" t="s">
        <v>3</v>
      </c>
      <c r="G13" t="s">
        <v>238</v>
      </c>
      <c r="H13" t="s">
        <v>16</v>
      </c>
    </row>
    <row r="14" spans="1:8" x14ac:dyDescent="0.25">
      <c r="A14" t="s">
        <v>174</v>
      </c>
      <c r="B14" s="22" t="s">
        <v>171</v>
      </c>
      <c r="C14" s="21">
        <v>4.3524948394272153E-9</v>
      </c>
      <c r="D14" s="22" t="s">
        <v>6</v>
      </c>
      <c r="E14" s="14" t="s">
        <v>3</v>
      </c>
      <c r="G14" t="s">
        <v>238</v>
      </c>
      <c r="H14" t="s">
        <v>16</v>
      </c>
    </row>
    <row r="15" spans="1:8" x14ac:dyDescent="0.25">
      <c r="A15" t="s">
        <v>167</v>
      </c>
      <c r="B15" s="22" t="s">
        <v>85</v>
      </c>
      <c r="C15" s="25">
        <v>2.536783358701167E-11</v>
      </c>
      <c r="D15" s="22" t="s">
        <v>6</v>
      </c>
      <c r="E15" s="14" t="s">
        <v>3</v>
      </c>
      <c r="G15" t="s">
        <v>238</v>
      </c>
      <c r="H15" t="s">
        <v>16</v>
      </c>
    </row>
    <row r="16" spans="1:8" x14ac:dyDescent="0.25">
      <c r="A16" t="s">
        <v>175</v>
      </c>
      <c r="B16" s="22" t="s">
        <v>172</v>
      </c>
      <c r="C16" s="12">
        <v>-3.0000000000000001E-3</v>
      </c>
      <c r="D16" s="14" t="s">
        <v>7</v>
      </c>
      <c r="E16" s="14" t="s">
        <v>3</v>
      </c>
      <c r="G16" t="s">
        <v>238</v>
      </c>
      <c r="H16" t="s">
        <v>16</v>
      </c>
    </row>
    <row r="17" spans="1:8" x14ac:dyDescent="0.25">
      <c r="A17" s="26"/>
      <c r="B17" s="27" t="s">
        <v>161</v>
      </c>
      <c r="C17" s="28">
        <v>1</v>
      </c>
      <c r="D17" s="27" t="s">
        <v>7</v>
      </c>
      <c r="E17" s="26"/>
      <c r="F17" s="27" t="s">
        <v>162</v>
      </c>
      <c r="G17" t="s">
        <v>189</v>
      </c>
      <c r="H17" s="26" t="s">
        <v>19</v>
      </c>
    </row>
    <row r="18" spans="1:8" x14ac:dyDescent="0.25">
      <c r="A18" s="14"/>
      <c r="B18" s="22" t="s">
        <v>18</v>
      </c>
      <c r="C18" s="24">
        <v>2.1000000000000001E-2</v>
      </c>
      <c r="D18" s="22" t="s">
        <v>7</v>
      </c>
      <c r="F18" s="20" t="s">
        <v>60</v>
      </c>
      <c r="G18" t="s">
        <v>189</v>
      </c>
      <c r="H18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C8EC-5375-45FA-A63D-47319976243A}">
  <dimension ref="A1:H17"/>
  <sheetViews>
    <sheetView zoomScale="85" zoomScaleNormal="85" workbookViewId="0">
      <selection activeCell="A27" sqref="A27"/>
    </sheetView>
  </sheetViews>
  <sheetFormatPr defaultRowHeight="15" x14ac:dyDescent="0.25"/>
  <cols>
    <col min="1" max="1" width="128.85546875" customWidth="1"/>
    <col min="2" max="2" width="89.5703125" customWidth="1"/>
    <col min="3" max="3" width="10.140625" bestFit="1" customWidth="1"/>
    <col min="4" max="4" width="13" bestFit="1" customWidth="1"/>
    <col min="5" max="5" width="8.85546875" bestFit="1" customWidth="1"/>
    <col min="6" max="6" width="28.5703125" bestFit="1" customWidth="1"/>
    <col min="7" max="7" width="45.140625" bestFit="1" customWidth="1"/>
    <col min="8" max="8" width="14.5703125" customWidth="1"/>
    <col min="10" max="10" width="4.28515625" bestFit="1" customWidth="1"/>
    <col min="12" max="12" width="14.85546875" bestFit="1" customWidth="1"/>
    <col min="13" max="13" width="52.42578125" bestFit="1" customWidth="1"/>
  </cols>
  <sheetData>
    <row r="1" spans="1:8" x14ac:dyDescent="0.25">
      <c r="A1" s="1" t="s">
        <v>0</v>
      </c>
      <c r="B1" s="8" t="s">
        <v>188</v>
      </c>
      <c r="C1" s="17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177</v>
      </c>
      <c r="C2" s="17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7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7"/>
      <c r="D4" s="3"/>
      <c r="E4" s="3"/>
      <c r="F4" s="3"/>
      <c r="G4" s="3"/>
      <c r="H4" s="3"/>
    </row>
    <row r="5" spans="1:8" x14ac:dyDescent="0.25">
      <c r="A5" s="3" t="s">
        <v>5</v>
      </c>
      <c r="B5" t="s">
        <v>188</v>
      </c>
      <c r="C5" s="17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7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7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188</v>
      </c>
      <c r="B9" t="s">
        <v>188</v>
      </c>
      <c r="C9" s="11">
        <v>1</v>
      </c>
      <c r="D9" t="s">
        <v>7</v>
      </c>
      <c r="E9" t="s">
        <v>3</v>
      </c>
      <c r="G9" s="29" t="s">
        <v>197</v>
      </c>
      <c r="H9" t="s">
        <v>14</v>
      </c>
    </row>
    <row r="10" spans="1:8" x14ac:dyDescent="0.25">
      <c r="A10" t="s">
        <v>168</v>
      </c>
      <c r="B10" t="s">
        <v>168</v>
      </c>
      <c r="C10" s="12">
        <v>1.45</v>
      </c>
      <c r="D10" t="s">
        <v>7</v>
      </c>
      <c r="E10" t="s">
        <v>3</v>
      </c>
      <c r="G10" s="29" t="s">
        <v>197</v>
      </c>
      <c r="H10" t="s">
        <v>16</v>
      </c>
    </row>
    <row r="11" spans="1:8" x14ac:dyDescent="0.25">
      <c r="A11" t="s">
        <v>186</v>
      </c>
      <c r="B11" t="s">
        <v>186</v>
      </c>
      <c r="C11" s="11">
        <v>4.95</v>
      </c>
      <c r="D11" t="s">
        <v>30</v>
      </c>
      <c r="E11" t="s">
        <v>3</v>
      </c>
      <c r="G11" s="29" t="s">
        <v>197</v>
      </c>
      <c r="H11" t="s">
        <v>16</v>
      </c>
    </row>
    <row r="12" spans="1:8" x14ac:dyDescent="0.25">
      <c r="A12" t="s">
        <v>194</v>
      </c>
      <c r="B12" t="s">
        <v>194</v>
      </c>
      <c r="C12" s="11">
        <v>0.19</v>
      </c>
      <c r="D12" t="s">
        <v>7</v>
      </c>
      <c r="E12" t="s">
        <v>3</v>
      </c>
      <c r="G12" s="29" t="s">
        <v>197</v>
      </c>
      <c r="H12" t="s">
        <v>16</v>
      </c>
    </row>
    <row r="13" spans="1:8" x14ac:dyDescent="0.25">
      <c r="A13" t="s">
        <v>84</v>
      </c>
      <c r="B13" t="s">
        <v>86</v>
      </c>
      <c r="C13" s="12">
        <v>0.3</v>
      </c>
      <c r="D13" t="s">
        <v>87</v>
      </c>
      <c r="E13" t="s">
        <v>3</v>
      </c>
      <c r="G13" t="s">
        <v>238</v>
      </c>
      <c r="H13" t="s">
        <v>16</v>
      </c>
    </row>
    <row r="14" spans="1:8" x14ac:dyDescent="0.25">
      <c r="A14" t="s">
        <v>165</v>
      </c>
      <c r="B14" t="s">
        <v>164</v>
      </c>
      <c r="C14" s="13">
        <v>-5.71E-4</v>
      </c>
      <c r="D14" t="s">
        <v>17</v>
      </c>
      <c r="E14" t="s">
        <v>15</v>
      </c>
      <c r="G14" t="s">
        <v>238</v>
      </c>
      <c r="H14" t="s">
        <v>16</v>
      </c>
    </row>
    <row r="15" spans="1:8" x14ac:dyDescent="0.25">
      <c r="B15" t="s">
        <v>18</v>
      </c>
      <c r="C15" s="12">
        <v>7.7024999999999996E-2</v>
      </c>
      <c r="D15" t="s">
        <v>7</v>
      </c>
      <c r="F15" t="s">
        <v>21</v>
      </c>
      <c r="G15" t="s">
        <v>189</v>
      </c>
      <c r="H15" t="s">
        <v>19</v>
      </c>
    </row>
    <row r="16" spans="1:8" x14ac:dyDescent="0.25">
      <c r="B16" t="s">
        <v>176</v>
      </c>
      <c r="C16" s="12">
        <v>1.0090999999999999E-2</v>
      </c>
      <c r="D16" t="s">
        <v>7</v>
      </c>
      <c r="F16" t="s">
        <v>21</v>
      </c>
      <c r="G16" t="s">
        <v>189</v>
      </c>
      <c r="H16" t="s">
        <v>19</v>
      </c>
    </row>
    <row r="17" spans="2:8" x14ac:dyDescent="0.25">
      <c r="B17" t="s">
        <v>20</v>
      </c>
      <c r="C17" s="13">
        <v>1.7799999999999999E-4</v>
      </c>
      <c r="D17" t="s">
        <v>7</v>
      </c>
      <c r="F17" t="s">
        <v>21</v>
      </c>
      <c r="G17" t="s">
        <v>189</v>
      </c>
      <c r="H17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1E0B-15EB-4B28-97F9-4801F09ED654}">
  <dimension ref="A1:J18"/>
  <sheetViews>
    <sheetView zoomScaleNormal="100" workbookViewId="0">
      <selection activeCell="A9" sqref="A9:B9"/>
    </sheetView>
  </sheetViews>
  <sheetFormatPr defaultRowHeight="15" x14ac:dyDescent="0.25"/>
  <cols>
    <col min="1" max="1" width="59.7109375" bestFit="1" customWidth="1"/>
    <col min="2" max="2" width="67.7109375" bestFit="1" customWidth="1"/>
    <col min="3" max="3" width="9.42578125" bestFit="1" customWidth="1"/>
    <col min="4" max="4" width="13.85546875" bestFit="1" customWidth="1"/>
    <col min="5" max="5" width="9.28515625" bestFit="1" customWidth="1"/>
    <col min="6" max="6" width="11.5703125" bestFit="1" customWidth="1"/>
    <col min="7" max="7" width="25.5703125" bestFit="1" customWidth="1"/>
    <col min="8" max="8" width="14.140625" customWidth="1"/>
    <col min="10" max="10" width="11" bestFit="1" customWidth="1"/>
    <col min="11" max="11" width="10.28515625" bestFit="1" customWidth="1"/>
    <col min="12" max="15" width="14.7109375" bestFit="1" customWidth="1"/>
  </cols>
  <sheetData>
    <row r="1" spans="1:10" x14ac:dyDescent="0.25">
      <c r="A1" s="1" t="s">
        <v>0</v>
      </c>
      <c r="B1" s="8" t="s">
        <v>240</v>
      </c>
      <c r="C1" s="17"/>
      <c r="D1" s="3"/>
      <c r="E1" s="3"/>
      <c r="F1" s="3"/>
      <c r="G1" s="3"/>
      <c r="H1" s="3"/>
    </row>
    <row r="2" spans="1:10" x14ac:dyDescent="0.25">
      <c r="A2" s="3" t="s">
        <v>1</v>
      </c>
      <c r="B2" s="6" t="s">
        <v>180</v>
      </c>
      <c r="C2" s="17"/>
      <c r="D2" s="3"/>
      <c r="E2" s="3"/>
      <c r="F2" s="3"/>
      <c r="G2" s="3"/>
      <c r="H2" s="3"/>
    </row>
    <row r="3" spans="1:10" x14ac:dyDescent="0.25">
      <c r="A3" s="3" t="s">
        <v>2</v>
      </c>
      <c r="B3" t="s">
        <v>3</v>
      </c>
      <c r="C3" s="17"/>
      <c r="D3" s="3"/>
      <c r="E3" s="3"/>
      <c r="F3" s="3"/>
      <c r="G3" s="3"/>
      <c r="H3" s="3"/>
    </row>
    <row r="4" spans="1:10" x14ac:dyDescent="0.25">
      <c r="A4" s="3" t="s">
        <v>4</v>
      </c>
      <c r="B4" s="9">
        <v>1</v>
      </c>
      <c r="C4" s="17"/>
      <c r="D4" s="3"/>
      <c r="E4" s="3"/>
      <c r="F4" s="3"/>
      <c r="G4" s="3"/>
      <c r="H4" s="3"/>
    </row>
    <row r="5" spans="1:10" x14ac:dyDescent="0.25">
      <c r="A5" s="3" t="s">
        <v>5</v>
      </c>
      <c r="B5" t="s">
        <v>240</v>
      </c>
      <c r="C5" s="17"/>
      <c r="D5" s="3"/>
      <c r="E5" s="3"/>
      <c r="F5" s="3"/>
      <c r="G5" s="3"/>
      <c r="H5" s="3"/>
    </row>
    <row r="6" spans="1:10" x14ac:dyDescent="0.25">
      <c r="A6" s="3" t="s">
        <v>6</v>
      </c>
      <c r="B6" t="s">
        <v>7</v>
      </c>
      <c r="C6" s="17"/>
      <c r="D6" s="3"/>
      <c r="E6" s="3"/>
      <c r="F6" s="3"/>
      <c r="G6" s="3"/>
      <c r="H6" s="3"/>
    </row>
    <row r="7" spans="1:10" x14ac:dyDescent="0.25">
      <c r="A7" s="1" t="s">
        <v>8</v>
      </c>
      <c r="B7" s="3"/>
      <c r="C7" s="17"/>
      <c r="D7" s="3"/>
      <c r="E7" s="3"/>
      <c r="F7" s="3"/>
      <c r="G7" s="3"/>
      <c r="H7" s="3"/>
    </row>
    <row r="8" spans="1:10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10" x14ac:dyDescent="0.25">
      <c r="A9" t="s">
        <v>240</v>
      </c>
      <c r="B9" t="s">
        <v>240</v>
      </c>
      <c r="C9" s="11">
        <v>1</v>
      </c>
      <c r="D9" t="s">
        <v>7</v>
      </c>
      <c r="E9" t="s">
        <v>3</v>
      </c>
      <c r="G9" s="29" t="s">
        <v>197</v>
      </c>
      <c r="H9" t="s">
        <v>14</v>
      </c>
    </row>
    <row r="10" spans="1:10" x14ac:dyDescent="0.25">
      <c r="A10" t="s">
        <v>186</v>
      </c>
      <c r="B10" t="s">
        <v>186</v>
      </c>
      <c r="C10" s="11">
        <f>0.41*4182*15/10^6*0.55</f>
        <v>1.4145615000000002E-2</v>
      </c>
      <c r="D10" t="s">
        <v>30</v>
      </c>
      <c r="E10" t="s">
        <v>3</v>
      </c>
      <c r="G10" s="29" t="s">
        <v>197</v>
      </c>
      <c r="H10" t="s">
        <v>16</v>
      </c>
    </row>
    <row r="11" spans="1:10" x14ac:dyDescent="0.25">
      <c r="A11" t="s">
        <v>188</v>
      </c>
      <c r="B11" t="s">
        <v>188</v>
      </c>
      <c r="C11" s="12">
        <f>4.58*0.55</f>
        <v>2.5190000000000001</v>
      </c>
      <c r="D11" t="s">
        <v>7</v>
      </c>
      <c r="E11" s="26" t="s">
        <v>3</v>
      </c>
      <c r="G11" s="29" t="s">
        <v>197</v>
      </c>
      <c r="H11" t="s">
        <v>16</v>
      </c>
    </row>
    <row r="12" spans="1:10" x14ac:dyDescent="0.25">
      <c r="A12" t="s">
        <v>84</v>
      </c>
      <c r="B12" t="s">
        <v>86</v>
      </c>
      <c r="C12" s="12">
        <f>0.26*0.55</f>
        <v>0.14300000000000002</v>
      </c>
      <c r="D12" t="s">
        <v>87</v>
      </c>
      <c r="E12" t="s">
        <v>3</v>
      </c>
      <c r="G12" t="s">
        <v>238</v>
      </c>
      <c r="H12" t="s">
        <v>16</v>
      </c>
    </row>
    <row r="13" spans="1:10" x14ac:dyDescent="0.25">
      <c r="A13" t="s">
        <v>182</v>
      </c>
      <c r="B13" t="s">
        <v>181</v>
      </c>
      <c r="C13" s="12">
        <f>0.04*0.55</f>
        <v>2.2000000000000002E-2</v>
      </c>
      <c r="D13" t="s">
        <v>7</v>
      </c>
      <c r="E13" t="s">
        <v>15</v>
      </c>
      <c r="G13" t="s">
        <v>238</v>
      </c>
      <c r="H13" t="s">
        <v>16</v>
      </c>
    </row>
    <row r="14" spans="1:10" x14ac:dyDescent="0.25">
      <c r="A14" t="s">
        <v>184</v>
      </c>
      <c r="B14" t="s">
        <v>183</v>
      </c>
      <c r="C14" s="13">
        <f>0.0000378*0.55</f>
        <v>2.0789999999999999E-5</v>
      </c>
      <c r="D14" t="s">
        <v>7</v>
      </c>
      <c r="E14" t="s">
        <v>3</v>
      </c>
      <c r="G14" t="s">
        <v>238</v>
      </c>
      <c r="H14" t="s">
        <v>16</v>
      </c>
    </row>
    <row r="15" spans="1:10" x14ac:dyDescent="0.25">
      <c r="A15" t="s">
        <v>165</v>
      </c>
      <c r="B15" t="s">
        <v>164</v>
      </c>
      <c r="C15" s="32">
        <f>-2.68/1000*0.55</f>
        <v>-1.4740000000000003E-3</v>
      </c>
      <c r="D15" t="s">
        <v>17</v>
      </c>
      <c r="E15" t="s">
        <v>15</v>
      </c>
      <c r="G15" t="s">
        <v>238</v>
      </c>
      <c r="H15" t="s">
        <v>16</v>
      </c>
    </row>
    <row r="16" spans="1:10" x14ac:dyDescent="0.25">
      <c r="B16" s="22" t="s">
        <v>18</v>
      </c>
      <c r="C16" s="24">
        <f>0.22*0.55</f>
        <v>0.12100000000000001</v>
      </c>
      <c r="D16" s="22" t="s">
        <v>7</v>
      </c>
      <c r="F16" t="s">
        <v>21</v>
      </c>
      <c r="G16" t="s">
        <v>189</v>
      </c>
      <c r="H16" t="s">
        <v>19</v>
      </c>
      <c r="J16" s="31"/>
    </row>
    <row r="17" spans="2:8" x14ac:dyDescent="0.25">
      <c r="B17" s="22" t="s">
        <v>163</v>
      </c>
      <c r="C17" s="13">
        <f>0.03/1000*0.55</f>
        <v>1.6500000000000001E-5</v>
      </c>
      <c r="D17" s="22" t="s">
        <v>17</v>
      </c>
      <c r="F17" t="s">
        <v>21</v>
      </c>
      <c r="G17" t="s">
        <v>189</v>
      </c>
      <c r="H17" t="s">
        <v>19</v>
      </c>
    </row>
    <row r="18" spans="2:8" x14ac:dyDescent="0.25">
      <c r="B18" t="s">
        <v>185</v>
      </c>
      <c r="C18" s="13">
        <f>0.0000378*0.55</f>
        <v>2.0789999999999999E-5</v>
      </c>
      <c r="D18" s="22" t="s">
        <v>7</v>
      </c>
      <c r="F18" t="s">
        <v>21</v>
      </c>
      <c r="G18" t="s">
        <v>189</v>
      </c>
      <c r="H18" t="s">
        <v>19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1136-ED0F-4E00-8501-520E0DD89240}">
  <dimension ref="A1:H153"/>
  <sheetViews>
    <sheetView topLeftCell="A124" workbookViewId="0">
      <selection activeCell="A147" sqref="A147:H147"/>
    </sheetView>
  </sheetViews>
  <sheetFormatPr defaultRowHeight="15" x14ac:dyDescent="0.25"/>
  <cols>
    <col min="1" max="1" width="57.140625" bestFit="1" customWidth="1"/>
    <col min="2" max="2" width="87.42578125" bestFit="1" customWidth="1"/>
    <col min="3" max="3" width="7.85546875" bestFit="1" customWidth="1"/>
    <col min="4" max="4" width="13.28515625" bestFit="1" customWidth="1"/>
    <col min="5" max="5" width="8.140625" bestFit="1" customWidth="1"/>
    <col min="6" max="6" width="34.28515625" bestFit="1" customWidth="1"/>
    <col min="7" max="7" width="28.42578125" bestFit="1" customWidth="1"/>
    <col min="8" max="8" width="13.42578125" bestFit="1" customWidth="1"/>
  </cols>
  <sheetData>
    <row r="1" spans="1:8" x14ac:dyDescent="0.25">
      <c r="A1" s="1" t="s">
        <v>0</v>
      </c>
      <c r="B1" s="8" t="s">
        <v>202</v>
      </c>
      <c r="C1" s="17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203</v>
      </c>
      <c r="C2" s="17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7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7"/>
      <c r="D4" s="3"/>
      <c r="E4" s="3"/>
      <c r="F4" s="3"/>
      <c r="G4" s="3"/>
      <c r="H4" s="3"/>
    </row>
    <row r="5" spans="1:8" x14ac:dyDescent="0.25">
      <c r="A5" s="3" t="s">
        <v>5</v>
      </c>
      <c r="B5" t="s">
        <v>204</v>
      </c>
      <c r="C5" s="17"/>
      <c r="D5" s="3"/>
      <c r="E5" s="3"/>
      <c r="F5" s="3"/>
      <c r="G5" s="3"/>
      <c r="H5" s="3"/>
    </row>
    <row r="6" spans="1:8" x14ac:dyDescent="0.25">
      <c r="A6" s="3" t="s">
        <v>6</v>
      </c>
      <c r="B6" t="s">
        <v>17</v>
      </c>
      <c r="C6" s="17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7"/>
      <c r="D7" s="3"/>
      <c r="E7" s="3"/>
      <c r="F7" s="3"/>
      <c r="G7" s="3"/>
      <c r="H7" s="3"/>
    </row>
    <row r="8" spans="1:8" x14ac:dyDescent="0.25">
      <c r="A8" s="6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s="6" t="s">
        <v>204</v>
      </c>
      <c r="B9" s="6" t="s">
        <v>202</v>
      </c>
      <c r="C9" s="11">
        <v>1</v>
      </c>
      <c r="D9" t="s">
        <v>17</v>
      </c>
      <c r="E9" t="s">
        <v>3</v>
      </c>
      <c r="F9" s="3"/>
      <c r="G9" s="29" t="s">
        <v>197</v>
      </c>
      <c r="H9" t="s">
        <v>14</v>
      </c>
    </row>
    <row r="10" spans="1:8" x14ac:dyDescent="0.25">
      <c r="A10" s="6"/>
      <c r="B10" s="33" t="s">
        <v>161</v>
      </c>
      <c r="C10" s="32">
        <v>1.9826074999999996</v>
      </c>
      <c r="D10" s="14" t="s">
        <v>7</v>
      </c>
      <c r="E10" s="14"/>
      <c r="F10" s="14" t="s">
        <v>162</v>
      </c>
      <c r="G10" t="s">
        <v>189</v>
      </c>
      <c r="H10" s="14" t="s">
        <v>19</v>
      </c>
    </row>
    <row r="11" spans="1:8" x14ac:dyDescent="0.25">
      <c r="A11" s="2"/>
      <c r="B11" s="2"/>
      <c r="C11" s="18"/>
      <c r="D11" s="2"/>
      <c r="E11" s="2"/>
      <c r="F11" s="2"/>
      <c r="G11" s="2"/>
      <c r="H11" s="2"/>
    </row>
    <row r="12" spans="1:8" x14ac:dyDescent="0.25">
      <c r="A12" s="1" t="s">
        <v>0</v>
      </c>
      <c r="B12" s="23" t="s">
        <v>205</v>
      </c>
      <c r="C12" s="17"/>
      <c r="D12" s="3"/>
      <c r="E12" s="3"/>
      <c r="F12" s="3"/>
      <c r="G12" s="3"/>
      <c r="H12" s="3"/>
    </row>
    <row r="13" spans="1:8" x14ac:dyDescent="0.25">
      <c r="A13" s="3" t="s">
        <v>1</v>
      </c>
      <c r="B13" s="6" t="s">
        <v>203</v>
      </c>
      <c r="C13" s="17"/>
      <c r="D13" s="3"/>
      <c r="E13" s="3"/>
      <c r="F13" s="3"/>
      <c r="G13" s="3"/>
      <c r="H13" s="3"/>
    </row>
    <row r="14" spans="1:8" x14ac:dyDescent="0.25">
      <c r="A14" s="3" t="s">
        <v>2</v>
      </c>
      <c r="B14" t="s">
        <v>3</v>
      </c>
      <c r="C14" s="17"/>
      <c r="D14" s="3"/>
      <c r="E14" s="3"/>
      <c r="F14" s="3"/>
      <c r="G14" s="3"/>
      <c r="H14" s="3"/>
    </row>
    <row r="15" spans="1:8" x14ac:dyDescent="0.25">
      <c r="A15" s="3" t="s">
        <v>4</v>
      </c>
      <c r="B15" s="9">
        <v>1</v>
      </c>
      <c r="C15" s="17"/>
      <c r="D15" s="3"/>
      <c r="E15" s="3"/>
      <c r="F15" s="3"/>
      <c r="G15" s="3"/>
      <c r="H15" s="3"/>
    </row>
    <row r="16" spans="1:8" x14ac:dyDescent="0.25">
      <c r="A16" s="3" t="s">
        <v>5</v>
      </c>
      <c r="B16" t="s">
        <v>204</v>
      </c>
      <c r="C16" s="17"/>
      <c r="D16" s="3"/>
      <c r="E16" s="3"/>
      <c r="F16" s="3"/>
      <c r="G16" s="3"/>
      <c r="H16" s="3"/>
    </row>
    <row r="17" spans="1:8" x14ac:dyDescent="0.25">
      <c r="A17" s="3" t="s">
        <v>6</v>
      </c>
      <c r="B17" t="s">
        <v>17</v>
      </c>
      <c r="C17" s="17"/>
      <c r="D17" s="3"/>
      <c r="E17" s="3"/>
      <c r="F17" s="3"/>
      <c r="G17" s="3"/>
      <c r="H17" s="3"/>
    </row>
    <row r="18" spans="1:8" x14ac:dyDescent="0.25">
      <c r="A18" s="1" t="s">
        <v>8</v>
      </c>
      <c r="B18" s="3"/>
      <c r="C18" s="17"/>
      <c r="D18" s="3"/>
      <c r="E18" s="3"/>
      <c r="F18" s="3"/>
      <c r="G18" s="3"/>
      <c r="H18" s="3"/>
    </row>
    <row r="19" spans="1:8" x14ac:dyDescent="0.25">
      <c r="A19" s="6" t="s">
        <v>5</v>
      </c>
      <c r="B19" s="6" t="s">
        <v>9</v>
      </c>
      <c r="C19" s="10" t="s">
        <v>10</v>
      </c>
      <c r="D19" s="6" t="s">
        <v>6</v>
      </c>
      <c r="E19" s="6" t="s">
        <v>2</v>
      </c>
      <c r="F19" s="6" t="s">
        <v>12</v>
      </c>
      <c r="G19" s="6" t="s">
        <v>11</v>
      </c>
      <c r="H19" s="7" t="s">
        <v>13</v>
      </c>
    </row>
    <row r="20" spans="1:8" x14ac:dyDescent="0.25">
      <c r="A20" s="6" t="s">
        <v>204</v>
      </c>
      <c r="B20" s="6" t="s">
        <v>205</v>
      </c>
      <c r="C20" s="11">
        <v>1</v>
      </c>
      <c r="D20" t="s">
        <v>17</v>
      </c>
      <c r="E20" t="s">
        <v>3</v>
      </c>
      <c r="F20" s="3"/>
      <c r="G20" s="29" t="s">
        <v>197</v>
      </c>
      <c r="H20" t="s">
        <v>14</v>
      </c>
    </row>
    <row r="21" spans="1:8" x14ac:dyDescent="0.25">
      <c r="A21" s="6"/>
      <c r="B21" s="33" t="s">
        <v>161</v>
      </c>
      <c r="C21" s="32">
        <v>1.9826074999999996</v>
      </c>
      <c r="D21" s="14" t="s">
        <v>7</v>
      </c>
      <c r="E21" s="14"/>
      <c r="F21" s="14" t="s">
        <v>162</v>
      </c>
      <c r="G21" t="s">
        <v>189</v>
      </c>
      <c r="H21" s="14" t="s">
        <v>19</v>
      </c>
    </row>
    <row r="22" spans="1:8" x14ac:dyDescent="0.25">
      <c r="A22" s="2"/>
      <c r="B22" s="2"/>
      <c r="C22" s="18"/>
      <c r="D22" s="2"/>
      <c r="E22" s="2"/>
      <c r="F22" s="2"/>
      <c r="G22" s="2"/>
      <c r="H22" s="2"/>
    </row>
    <row r="23" spans="1:8" x14ac:dyDescent="0.25">
      <c r="A23" s="1" t="s">
        <v>0</v>
      </c>
      <c r="B23" s="8" t="s">
        <v>206</v>
      </c>
      <c r="C23" s="17"/>
      <c r="D23" s="3"/>
      <c r="E23" s="3"/>
      <c r="F23" s="3"/>
      <c r="G23" s="3"/>
      <c r="H23" s="3"/>
    </row>
    <row r="24" spans="1:8" x14ac:dyDescent="0.25">
      <c r="A24" s="3" t="s">
        <v>1</v>
      </c>
      <c r="B24" s="6" t="s">
        <v>203</v>
      </c>
      <c r="C24" s="17"/>
      <c r="D24" s="3"/>
      <c r="E24" s="3"/>
      <c r="F24" s="3"/>
      <c r="G24" s="3"/>
      <c r="H24" s="3"/>
    </row>
    <row r="25" spans="1:8" x14ac:dyDescent="0.25">
      <c r="A25" s="3" t="s">
        <v>2</v>
      </c>
      <c r="B25" t="s">
        <v>3</v>
      </c>
      <c r="C25" s="17"/>
      <c r="D25" s="3"/>
      <c r="E25" s="3"/>
      <c r="F25" s="3"/>
      <c r="G25" s="3"/>
      <c r="H25" s="3"/>
    </row>
    <row r="26" spans="1:8" x14ac:dyDescent="0.25">
      <c r="A26" s="3" t="s">
        <v>4</v>
      </c>
      <c r="B26" s="9">
        <v>1</v>
      </c>
      <c r="C26" s="17"/>
      <c r="D26" s="3"/>
      <c r="E26" s="3"/>
      <c r="F26" s="3"/>
      <c r="G26" s="3"/>
      <c r="H26" s="3"/>
    </row>
    <row r="27" spans="1:8" x14ac:dyDescent="0.25">
      <c r="A27" s="3" t="s">
        <v>5</v>
      </c>
      <c r="B27" t="s">
        <v>204</v>
      </c>
      <c r="C27" s="17"/>
      <c r="D27" s="3"/>
      <c r="E27" s="3"/>
      <c r="F27" s="3"/>
      <c r="G27" s="3"/>
      <c r="H27" s="3"/>
    </row>
    <row r="28" spans="1:8" x14ac:dyDescent="0.25">
      <c r="A28" s="3" t="s">
        <v>6</v>
      </c>
      <c r="B28" t="s">
        <v>17</v>
      </c>
      <c r="C28" s="17"/>
      <c r="D28" s="3"/>
      <c r="E28" s="3"/>
      <c r="F28" s="3"/>
      <c r="G28" s="3"/>
      <c r="H28" s="3"/>
    </row>
    <row r="29" spans="1:8" x14ac:dyDescent="0.25">
      <c r="A29" s="1" t="s">
        <v>8</v>
      </c>
      <c r="B29" s="3"/>
      <c r="C29" s="17"/>
      <c r="D29" s="3"/>
      <c r="E29" s="3"/>
      <c r="F29" s="3"/>
      <c r="G29" s="3"/>
      <c r="H29" s="3"/>
    </row>
    <row r="30" spans="1:8" x14ac:dyDescent="0.25">
      <c r="A30" s="6" t="s">
        <v>5</v>
      </c>
      <c r="B30" s="6" t="s">
        <v>9</v>
      </c>
      <c r="C30" s="10" t="s">
        <v>10</v>
      </c>
      <c r="D30" s="6" t="s">
        <v>6</v>
      </c>
      <c r="E30" s="6" t="s">
        <v>2</v>
      </c>
      <c r="F30" s="6" t="s">
        <v>12</v>
      </c>
      <c r="G30" s="6" t="s">
        <v>11</v>
      </c>
      <c r="H30" s="7" t="s">
        <v>13</v>
      </c>
    </row>
    <row r="31" spans="1:8" x14ac:dyDescent="0.25">
      <c r="A31" s="6" t="s">
        <v>204</v>
      </c>
      <c r="B31" s="6" t="s">
        <v>206</v>
      </c>
      <c r="C31" s="11">
        <v>1</v>
      </c>
      <c r="D31" t="s">
        <v>17</v>
      </c>
      <c r="E31" t="s">
        <v>3</v>
      </c>
      <c r="F31" s="3"/>
      <c r="G31" s="29" t="s">
        <v>197</v>
      </c>
      <c r="H31" t="s">
        <v>14</v>
      </c>
    </row>
    <row r="32" spans="1:8" x14ac:dyDescent="0.25">
      <c r="A32" s="6"/>
      <c r="B32" s="33" t="s">
        <v>161</v>
      </c>
      <c r="C32" s="32">
        <v>1.9826074999999996</v>
      </c>
      <c r="D32" s="14" t="s">
        <v>7</v>
      </c>
      <c r="E32" s="14"/>
      <c r="F32" s="14" t="s">
        <v>162</v>
      </c>
      <c r="G32" t="s">
        <v>189</v>
      </c>
      <c r="H32" s="14" t="s">
        <v>19</v>
      </c>
    </row>
    <row r="33" spans="1:8" x14ac:dyDescent="0.25">
      <c r="A33" s="2"/>
      <c r="B33" s="2"/>
      <c r="C33" s="18"/>
      <c r="D33" s="2"/>
      <c r="E33" s="2"/>
      <c r="F33" s="2"/>
      <c r="G33" s="2"/>
      <c r="H33" s="2"/>
    </row>
    <row r="34" spans="1:8" x14ac:dyDescent="0.25">
      <c r="A34" s="1" t="s">
        <v>0</v>
      </c>
      <c r="B34" s="8" t="s">
        <v>207</v>
      </c>
      <c r="C34" s="17"/>
      <c r="D34" s="3"/>
      <c r="E34" s="3"/>
      <c r="F34" s="3"/>
      <c r="G34" s="3"/>
      <c r="H34" s="3"/>
    </row>
    <row r="35" spans="1:8" x14ac:dyDescent="0.25">
      <c r="A35" s="3" t="s">
        <v>1</v>
      </c>
      <c r="B35" s="6" t="s">
        <v>203</v>
      </c>
      <c r="C35" s="17"/>
      <c r="D35" s="3"/>
      <c r="E35" s="3"/>
      <c r="F35" s="3"/>
      <c r="G35" s="3"/>
      <c r="H35" s="3"/>
    </row>
    <row r="36" spans="1:8" x14ac:dyDescent="0.25">
      <c r="A36" s="3" t="s">
        <v>2</v>
      </c>
      <c r="B36" t="s">
        <v>3</v>
      </c>
      <c r="C36" s="17"/>
      <c r="D36" s="3"/>
      <c r="E36" s="3"/>
      <c r="F36" s="3"/>
      <c r="G36" s="3"/>
      <c r="H36" s="3"/>
    </row>
    <row r="37" spans="1:8" x14ac:dyDescent="0.25">
      <c r="A37" s="3" t="s">
        <v>4</v>
      </c>
      <c r="B37" s="9">
        <v>1</v>
      </c>
      <c r="C37" s="17"/>
      <c r="D37" s="3"/>
      <c r="E37" s="3"/>
      <c r="F37" s="3"/>
      <c r="G37" s="3"/>
      <c r="H37" s="3"/>
    </row>
    <row r="38" spans="1:8" x14ac:dyDescent="0.25">
      <c r="A38" s="3" t="s">
        <v>5</v>
      </c>
      <c r="B38" t="s">
        <v>204</v>
      </c>
      <c r="C38" s="17"/>
      <c r="D38" s="3"/>
      <c r="E38" s="3"/>
      <c r="F38" s="3"/>
      <c r="G38" s="3"/>
      <c r="H38" s="3"/>
    </row>
    <row r="39" spans="1:8" x14ac:dyDescent="0.25">
      <c r="A39" s="3" t="s">
        <v>6</v>
      </c>
      <c r="B39" t="s">
        <v>17</v>
      </c>
      <c r="C39" s="17"/>
      <c r="D39" s="3"/>
      <c r="E39" s="3"/>
      <c r="F39" s="3"/>
      <c r="G39" s="3"/>
      <c r="H39" s="3"/>
    </row>
    <row r="40" spans="1:8" x14ac:dyDescent="0.25">
      <c r="A40" s="1" t="s">
        <v>8</v>
      </c>
      <c r="B40" s="3"/>
      <c r="C40" s="17"/>
      <c r="D40" s="3"/>
      <c r="E40" s="3"/>
      <c r="F40" s="3"/>
      <c r="G40" s="3"/>
      <c r="H40" s="3"/>
    </row>
    <row r="41" spans="1:8" x14ac:dyDescent="0.25">
      <c r="A41" s="6" t="s">
        <v>5</v>
      </c>
      <c r="B41" s="6" t="s">
        <v>9</v>
      </c>
      <c r="C41" s="10" t="s">
        <v>10</v>
      </c>
      <c r="D41" s="6" t="s">
        <v>6</v>
      </c>
      <c r="E41" s="6" t="s">
        <v>2</v>
      </c>
      <c r="F41" s="6" t="s">
        <v>12</v>
      </c>
      <c r="G41" s="6" t="s">
        <v>11</v>
      </c>
      <c r="H41" s="7" t="s">
        <v>13</v>
      </c>
    </row>
    <row r="42" spans="1:8" x14ac:dyDescent="0.25">
      <c r="A42" s="6" t="s">
        <v>204</v>
      </c>
      <c r="B42" s="6" t="s">
        <v>207</v>
      </c>
      <c r="C42" s="11">
        <v>1</v>
      </c>
      <c r="D42" t="s">
        <v>17</v>
      </c>
      <c r="E42" t="s">
        <v>3</v>
      </c>
      <c r="F42" s="3"/>
      <c r="G42" s="29" t="s">
        <v>197</v>
      </c>
      <c r="H42" t="s">
        <v>14</v>
      </c>
    </row>
    <row r="43" spans="1:8" x14ac:dyDescent="0.25">
      <c r="A43" s="6" t="s">
        <v>208</v>
      </c>
      <c r="B43" s="33" t="s">
        <v>209</v>
      </c>
      <c r="C43" s="32">
        <v>25.588456959356876</v>
      </c>
      <c r="D43" s="14" t="s">
        <v>7</v>
      </c>
      <c r="E43" t="s">
        <v>3</v>
      </c>
      <c r="F43" s="14"/>
      <c r="G43" s="29" t="s">
        <v>197</v>
      </c>
      <c r="H43" s="22" t="s">
        <v>16</v>
      </c>
    </row>
    <row r="44" spans="1:8" x14ac:dyDescent="0.25">
      <c r="A44" t="s">
        <v>210</v>
      </c>
      <c r="B44" t="s">
        <v>211</v>
      </c>
      <c r="C44" s="12">
        <v>0.127200801</v>
      </c>
      <c r="D44" t="s">
        <v>87</v>
      </c>
      <c r="E44" t="s">
        <v>3</v>
      </c>
      <c r="G44" t="s">
        <v>238</v>
      </c>
      <c r="H44" s="22" t="s">
        <v>16</v>
      </c>
    </row>
    <row r="45" spans="1:8" x14ac:dyDescent="0.25">
      <c r="A45" t="s">
        <v>212</v>
      </c>
      <c r="B45" t="s">
        <v>213</v>
      </c>
      <c r="C45" s="13">
        <v>3.5263836979497925E-7</v>
      </c>
      <c r="D45" t="s">
        <v>6</v>
      </c>
      <c r="E45" t="s">
        <v>15</v>
      </c>
      <c r="G45" t="s">
        <v>238</v>
      </c>
      <c r="H45" s="22" t="s">
        <v>16</v>
      </c>
    </row>
    <row r="46" spans="1:8" x14ac:dyDescent="0.25">
      <c r="A46" t="s">
        <v>214</v>
      </c>
      <c r="B46" t="s">
        <v>215</v>
      </c>
      <c r="C46" s="13">
        <v>1.479295218083755E-6</v>
      </c>
      <c r="D46" t="s">
        <v>6</v>
      </c>
      <c r="E46" t="s">
        <v>3</v>
      </c>
      <c r="G46" t="s">
        <v>238</v>
      </c>
      <c r="H46" s="22" t="s">
        <v>16</v>
      </c>
    </row>
    <row r="47" spans="1:8" x14ac:dyDescent="0.25">
      <c r="B47" t="s">
        <v>161</v>
      </c>
      <c r="C47" s="12">
        <v>2.4445550475000002</v>
      </c>
      <c r="D47" s="14" t="s">
        <v>7</v>
      </c>
      <c r="F47" s="14" t="s">
        <v>162</v>
      </c>
      <c r="G47" t="s">
        <v>189</v>
      </c>
      <c r="H47" s="14" t="s">
        <v>19</v>
      </c>
    </row>
    <row r="48" spans="1:8" x14ac:dyDescent="0.25">
      <c r="B48" t="s">
        <v>199</v>
      </c>
      <c r="C48" s="12">
        <v>0.52495828741838257</v>
      </c>
      <c r="D48" s="14" t="s">
        <v>7</v>
      </c>
      <c r="F48" s="22" t="s">
        <v>102</v>
      </c>
      <c r="G48" t="s">
        <v>189</v>
      </c>
      <c r="H48" s="14" t="s">
        <v>19</v>
      </c>
    </row>
    <row r="49" spans="1:8" x14ac:dyDescent="0.25">
      <c r="B49" t="s">
        <v>216</v>
      </c>
      <c r="C49" s="12">
        <v>1.622655950877E-2</v>
      </c>
      <c r="D49" s="14" t="s">
        <v>7</v>
      </c>
      <c r="F49" s="22" t="s">
        <v>102</v>
      </c>
      <c r="G49" t="s">
        <v>189</v>
      </c>
      <c r="H49" s="14" t="s">
        <v>19</v>
      </c>
    </row>
    <row r="50" spans="1:8" x14ac:dyDescent="0.25">
      <c r="B50" t="s">
        <v>201</v>
      </c>
      <c r="C50" s="13">
        <v>2.7043536960000004E-4</v>
      </c>
      <c r="D50" s="14" t="s">
        <v>7</v>
      </c>
      <c r="F50" s="22" t="s">
        <v>102</v>
      </c>
      <c r="G50" t="s">
        <v>189</v>
      </c>
      <c r="H50" s="14" t="s">
        <v>19</v>
      </c>
    </row>
    <row r="51" spans="1:8" x14ac:dyDescent="0.25">
      <c r="B51" t="s">
        <v>217</v>
      </c>
      <c r="C51" s="13">
        <v>1.4084597223000001E-5</v>
      </c>
      <c r="D51" s="14" t="s">
        <v>7</v>
      </c>
      <c r="F51" s="22" t="s">
        <v>102</v>
      </c>
      <c r="G51" t="s">
        <v>189</v>
      </c>
      <c r="H51" s="14" t="s">
        <v>19</v>
      </c>
    </row>
    <row r="52" spans="1:8" x14ac:dyDescent="0.25">
      <c r="B52" t="s">
        <v>20</v>
      </c>
      <c r="C52" s="13">
        <v>8.4506096340000004E-5</v>
      </c>
      <c r="D52" s="14" t="s">
        <v>7</v>
      </c>
      <c r="F52" s="22" t="s">
        <v>102</v>
      </c>
      <c r="G52" t="s">
        <v>189</v>
      </c>
      <c r="H52" s="14" t="s">
        <v>19</v>
      </c>
    </row>
    <row r="53" spans="1:8" x14ac:dyDescent="0.25">
      <c r="B53" t="s">
        <v>218</v>
      </c>
      <c r="C53" s="13">
        <v>1.4084597223000002E-4</v>
      </c>
      <c r="D53" s="14" t="s">
        <v>7</v>
      </c>
      <c r="F53" s="22" t="s">
        <v>102</v>
      </c>
      <c r="G53" t="s">
        <v>189</v>
      </c>
      <c r="H53" s="14" t="s">
        <v>19</v>
      </c>
    </row>
    <row r="54" spans="1:8" x14ac:dyDescent="0.25">
      <c r="B54" t="s">
        <v>200</v>
      </c>
      <c r="C54" s="13">
        <v>1.1267727345000002E-5</v>
      </c>
      <c r="D54" s="14" t="s">
        <v>7</v>
      </c>
      <c r="F54" s="22" t="s">
        <v>102</v>
      </c>
      <c r="G54" t="s">
        <v>189</v>
      </c>
      <c r="H54" s="14" t="s">
        <v>19</v>
      </c>
    </row>
    <row r="55" spans="1:8" x14ac:dyDescent="0.25">
      <c r="B55" t="s">
        <v>160</v>
      </c>
      <c r="C55" s="13">
        <v>3.9437665290000002E-11</v>
      </c>
      <c r="D55" s="14" t="s">
        <v>7</v>
      </c>
      <c r="F55" s="22" t="s">
        <v>102</v>
      </c>
      <c r="G55" t="s">
        <v>189</v>
      </c>
      <c r="H55" s="14" t="s">
        <v>19</v>
      </c>
    </row>
    <row r="56" spans="1:8" x14ac:dyDescent="0.25">
      <c r="A56" s="2"/>
      <c r="B56" s="2"/>
      <c r="C56" s="18"/>
      <c r="D56" s="2"/>
      <c r="E56" s="2"/>
      <c r="F56" s="2"/>
      <c r="G56" s="2"/>
      <c r="H56" s="2"/>
    </row>
    <row r="57" spans="1:8" x14ac:dyDescent="0.25">
      <c r="A57" s="1" t="s">
        <v>0</v>
      </c>
      <c r="B57" s="8" t="s">
        <v>219</v>
      </c>
      <c r="C57" s="17"/>
      <c r="D57" s="3"/>
      <c r="E57" s="3"/>
      <c r="F57" s="3"/>
      <c r="G57" s="3"/>
      <c r="H57" s="3"/>
    </row>
    <row r="58" spans="1:8" x14ac:dyDescent="0.25">
      <c r="A58" s="3" t="s">
        <v>1</v>
      </c>
      <c r="B58" s="6" t="s">
        <v>203</v>
      </c>
      <c r="C58" s="17"/>
      <c r="D58" s="3"/>
      <c r="E58" s="3"/>
      <c r="F58" s="3"/>
      <c r="G58" s="3"/>
      <c r="H58" s="3"/>
    </row>
    <row r="59" spans="1:8" x14ac:dyDescent="0.25">
      <c r="A59" s="3" t="s">
        <v>2</v>
      </c>
      <c r="B59" t="s">
        <v>3</v>
      </c>
      <c r="C59" s="17"/>
      <c r="D59" s="3"/>
      <c r="E59" s="3"/>
      <c r="F59" s="3"/>
      <c r="G59" s="3"/>
      <c r="H59" s="3"/>
    </row>
    <row r="60" spans="1:8" x14ac:dyDescent="0.25">
      <c r="A60" s="3" t="s">
        <v>4</v>
      </c>
      <c r="B60" s="9">
        <v>1</v>
      </c>
      <c r="C60" s="17"/>
      <c r="D60" s="3"/>
      <c r="E60" s="3"/>
      <c r="F60" s="3"/>
      <c r="G60" s="3"/>
      <c r="H60" s="3"/>
    </row>
    <row r="61" spans="1:8" x14ac:dyDescent="0.25">
      <c r="A61" s="3" t="s">
        <v>5</v>
      </c>
      <c r="B61" t="s">
        <v>204</v>
      </c>
      <c r="C61" s="17"/>
      <c r="D61" s="3"/>
      <c r="E61" s="3"/>
      <c r="F61" s="3"/>
      <c r="G61" s="3"/>
      <c r="H61" s="3"/>
    </row>
    <row r="62" spans="1:8" x14ac:dyDescent="0.25">
      <c r="A62" s="3" t="s">
        <v>6</v>
      </c>
      <c r="B62" t="s">
        <v>17</v>
      </c>
      <c r="C62" s="17"/>
      <c r="D62" s="3"/>
      <c r="E62" s="3"/>
      <c r="F62" s="3"/>
      <c r="G62" s="3"/>
      <c r="H62" s="3"/>
    </row>
    <row r="63" spans="1:8" x14ac:dyDescent="0.25">
      <c r="A63" s="1" t="s">
        <v>8</v>
      </c>
      <c r="B63" s="3"/>
      <c r="C63" s="17"/>
      <c r="D63" s="3"/>
      <c r="E63" s="3"/>
      <c r="F63" s="3"/>
      <c r="G63" s="3"/>
      <c r="H63" s="3"/>
    </row>
    <row r="64" spans="1:8" x14ac:dyDescent="0.25">
      <c r="A64" s="6" t="s">
        <v>5</v>
      </c>
      <c r="B64" s="6" t="s">
        <v>9</v>
      </c>
      <c r="C64" s="10" t="s">
        <v>10</v>
      </c>
      <c r="D64" s="6" t="s">
        <v>6</v>
      </c>
      <c r="E64" s="6" t="s">
        <v>2</v>
      </c>
      <c r="F64" s="6" t="s">
        <v>12</v>
      </c>
      <c r="G64" s="6" t="s">
        <v>11</v>
      </c>
      <c r="H64" s="7" t="s">
        <v>13</v>
      </c>
    </row>
    <row r="65" spans="1:8" x14ac:dyDescent="0.25">
      <c r="A65" s="6" t="s">
        <v>204</v>
      </c>
      <c r="B65" s="6" t="s">
        <v>219</v>
      </c>
      <c r="C65" s="11">
        <v>1</v>
      </c>
      <c r="D65" t="s">
        <v>17</v>
      </c>
      <c r="E65" t="s">
        <v>3</v>
      </c>
      <c r="F65" s="3"/>
      <c r="G65" s="29" t="s">
        <v>197</v>
      </c>
      <c r="H65" t="s">
        <v>14</v>
      </c>
    </row>
    <row r="66" spans="1:8" x14ac:dyDescent="0.25">
      <c r="A66" s="6" t="s">
        <v>220</v>
      </c>
      <c r="B66" s="33" t="s">
        <v>221</v>
      </c>
      <c r="C66" s="32">
        <v>3.7587555322152353</v>
      </c>
      <c r="D66" s="14" t="s">
        <v>7</v>
      </c>
      <c r="E66" t="s">
        <v>3</v>
      </c>
      <c r="F66" s="14"/>
      <c r="G66" s="29" t="s">
        <v>197</v>
      </c>
      <c r="H66" s="22" t="s">
        <v>16</v>
      </c>
    </row>
    <row r="67" spans="1:8" x14ac:dyDescent="0.25">
      <c r="A67" t="s">
        <v>210</v>
      </c>
      <c r="B67" t="s">
        <v>211</v>
      </c>
      <c r="C67" s="12">
        <v>0.17123184749999998</v>
      </c>
      <c r="D67" t="s">
        <v>87</v>
      </c>
      <c r="E67" t="s">
        <v>3</v>
      </c>
      <c r="G67" t="s">
        <v>238</v>
      </c>
      <c r="H67" s="22" t="s">
        <v>16</v>
      </c>
    </row>
    <row r="68" spans="1:8" x14ac:dyDescent="0.25">
      <c r="A68" t="s">
        <v>212</v>
      </c>
      <c r="B68" t="s">
        <v>213</v>
      </c>
      <c r="C68" s="13">
        <v>3.5263836979497925E-7</v>
      </c>
      <c r="D68" t="s">
        <v>6</v>
      </c>
      <c r="E68" t="s">
        <v>15</v>
      </c>
      <c r="G68" t="s">
        <v>238</v>
      </c>
      <c r="H68" s="22" t="s">
        <v>16</v>
      </c>
    </row>
    <row r="69" spans="1:8" x14ac:dyDescent="0.25">
      <c r="A69" t="s">
        <v>214</v>
      </c>
      <c r="B69" t="s">
        <v>215</v>
      </c>
      <c r="C69" s="13">
        <v>1.479295218083755E-6</v>
      </c>
      <c r="D69" t="s">
        <v>6</v>
      </c>
      <c r="E69" t="s">
        <v>3</v>
      </c>
      <c r="G69" t="s">
        <v>238</v>
      </c>
      <c r="H69" s="22" t="s">
        <v>16</v>
      </c>
    </row>
    <row r="70" spans="1:8" x14ac:dyDescent="0.25">
      <c r="B70" t="s">
        <v>161</v>
      </c>
      <c r="C70" s="12">
        <v>2.4445550475000002</v>
      </c>
      <c r="D70" s="14" t="s">
        <v>7</v>
      </c>
      <c r="F70" s="14" t="s">
        <v>162</v>
      </c>
      <c r="G70" t="s">
        <v>189</v>
      </c>
      <c r="H70" s="14" t="s">
        <v>19</v>
      </c>
    </row>
    <row r="71" spans="1:8" x14ac:dyDescent="0.25">
      <c r="B71" t="s">
        <v>199</v>
      </c>
      <c r="C71" s="12">
        <v>0.52495828741838257</v>
      </c>
      <c r="D71" s="14" t="s">
        <v>7</v>
      </c>
      <c r="F71" s="22" t="s">
        <v>102</v>
      </c>
      <c r="G71" t="s">
        <v>189</v>
      </c>
      <c r="H71" s="14" t="s">
        <v>19</v>
      </c>
    </row>
    <row r="72" spans="1:8" x14ac:dyDescent="0.25">
      <c r="B72" t="s">
        <v>216</v>
      </c>
      <c r="C72" s="12">
        <v>1.622655950877E-2</v>
      </c>
      <c r="D72" s="14" t="s">
        <v>7</v>
      </c>
      <c r="F72" s="22" t="s">
        <v>102</v>
      </c>
      <c r="G72" t="s">
        <v>189</v>
      </c>
      <c r="H72" s="14" t="s">
        <v>19</v>
      </c>
    </row>
    <row r="73" spans="1:8" x14ac:dyDescent="0.25">
      <c r="B73" t="s">
        <v>201</v>
      </c>
      <c r="C73" s="13">
        <v>2.7043536960000004E-4</v>
      </c>
      <c r="D73" s="14" t="s">
        <v>7</v>
      </c>
      <c r="F73" s="22" t="s">
        <v>102</v>
      </c>
      <c r="G73" t="s">
        <v>189</v>
      </c>
      <c r="H73" s="14" t="s">
        <v>19</v>
      </c>
    </row>
    <row r="74" spans="1:8" x14ac:dyDescent="0.25">
      <c r="B74" t="s">
        <v>217</v>
      </c>
      <c r="C74" s="13">
        <v>1.4084597223000001E-5</v>
      </c>
      <c r="D74" s="14" t="s">
        <v>7</v>
      </c>
      <c r="F74" s="22" t="s">
        <v>102</v>
      </c>
      <c r="G74" t="s">
        <v>189</v>
      </c>
      <c r="H74" s="14" t="s">
        <v>19</v>
      </c>
    </row>
    <row r="75" spans="1:8" x14ac:dyDescent="0.25">
      <c r="B75" t="s">
        <v>20</v>
      </c>
      <c r="C75" s="13">
        <v>8.4506096340000004E-5</v>
      </c>
      <c r="D75" s="14" t="s">
        <v>7</v>
      </c>
      <c r="F75" s="22" t="s">
        <v>102</v>
      </c>
      <c r="G75" t="s">
        <v>189</v>
      </c>
      <c r="H75" s="14" t="s">
        <v>19</v>
      </c>
    </row>
    <row r="76" spans="1:8" x14ac:dyDescent="0.25">
      <c r="B76" t="s">
        <v>218</v>
      </c>
      <c r="C76" s="13">
        <v>1.4084597223000002E-4</v>
      </c>
      <c r="D76" s="14" t="s">
        <v>7</v>
      </c>
      <c r="F76" s="22" t="s">
        <v>102</v>
      </c>
      <c r="G76" t="s">
        <v>189</v>
      </c>
      <c r="H76" s="14" t="s">
        <v>19</v>
      </c>
    </row>
    <row r="77" spans="1:8" x14ac:dyDescent="0.25">
      <c r="B77" t="s">
        <v>200</v>
      </c>
      <c r="C77" s="13">
        <v>1.1267727345000002E-5</v>
      </c>
      <c r="D77" s="14" t="s">
        <v>7</v>
      </c>
      <c r="F77" s="22" t="s">
        <v>102</v>
      </c>
      <c r="G77" t="s">
        <v>189</v>
      </c>
      <c r="H77" s="14" t="s">
        <v>19</v>
      </c>
    </row>
    <row r="78" spans="1:8" x14ac:dyDescent="0.25">
      <c r="B78" t="s">
        <v>160</v>
      </c>
      <c r="C78" s="13">
        <v>3.9437665290000002E-11</v>
      </c>
      <c r="D78" s="14" t="s">
        <v>7</v>
      </c>
      <c r="F78" s="22" t="s">
        <v>102</v>
      </c>
      <c r="G78" t="s">
        <v>189</v>
      </c>
      <c r="H78" s="14" t="s">
        <v>19</v>
      </c>
    </row>
    <row r="79" spans="1:8" x14ac:dyDescent="0.25">
      <c r="A79" s="2"/>
      <c r="B79" s="2"/>
      <c r="C79" s="18"/>
      <c r="D79" s="2"/>
      <c r="E79" s="2"/>
      <c r="F79" s="2"/>
      <c r="G79" s="2"/>
      <c r="H79" s="2"/>
    </row>
    <row r="80" spans="1:8" x14ac:dyDescent="0.25">
      <c r="A80" s="1" t="s">
        <v>0</v>
      </c>
      <c r="B80" s="8" t="s">
        <v>222</v>
      </c>
      <c r="C80" s="17"/>
      <c r="D80" s="3"/>
      <c r="E80" s="3"/>
      <c r="F80" s="3"/>
      <c r="G80" s="3"/>
      <c r="H80" s="3"/>
    </row>
    <row r="81" spans="1:8" x14ac:dyDescent="0.25">
      <c r="A81" s="3" t="s">
        <v>1</v>
      </c>
      <c r="B81" s="6" t="s">
        <v>203</v>
      </c>
      <c r="C81" s="17"/>
      <c r="D81" s="3"/>
      <c r="E81" s="3"/>
      <c r="F81" s="3"/>
      <c r="G81" s="3"/>
      <c r="H81" s="3"/>
    </row>
    <row r="82" spans="1:8" x14ac:dyDescent="0.25">
      <c r="A82" s="3" t="s">
        <v>2</v>
      </c>
      <c r="B82" t="s">
        <v>3</v>
      </c>
      <c r="C82" s="17"/>
      <c r="D82" s="3"/>
      <c r="E82" s="3"/>
      <c r="F82" s="3"/>
      <c r="G82" s="3"/>
      <c r="H82" s="3"/>
    </row>
    <row r="83" spans="1:8" x14ac:dyDescent="0.25">
      <c r="A83" s="3" t="s">
        <v>4</v>
      </c>
      <c r="B83" s="9">
        <v>1</v>
      </c>
      <c r="C83" s="17"/>
      <c r="D83" s="3"/>
      <c r="E83" s="3"/>
      <c r="F83" s="3"/>
      <c r="G83" s="3"/>
      <c r="H83" s="3"/>
    </row>
    <row r="84" spans="1:8" x14ac:dyDescent="0.25">
      <c r="A84" s="3" t="s">
        <v>5</v>
      </c>
      <c r="B84" t="s">
        <v>204</v>
      </c>
      <c r="C84" s="17"/>
      <c r="D84" s="3"/>
      <c r="E84" s="3"/>
      <c r="F84" s="3"/>
      <c r="G84" s="3"/>
      <c r="H84" s="3"/>
    </row>
    <row r="85" spans="1:8" x14ac:dyDescent="0.25">
      <c r="A85" s="3" t="s">
        <v>6</v>
      </c>
      <c r="B85" t="s">
        <v>17</v>
      </c>
      <c r="C85" s="17"/>
      <c r="D85" s="3"/>
      <c r="E85" s="3"/>
      <c r="F85" s="3"/>
      <c r="G85" s="3"/>
      <c r="H85" s="3"/>
    </row>
    <row r="86" spans="1:8" x14ac:dyDescent="0.25">
      <c r="A86" s="1" t="s">
        <v>8</v>
      </c>
      <c r="B86" s="3"/>
      <c r="C86" s="17"/>
      <c r="D86" s="3"/>
      <c r="E86" s="3"/>
      <c r="F86" s="3"/>
      <c r="G86" s="3"/>
      <c r="H86" s="3"/>
    </row>
    <row r="87" spans="1:8" x14ac:dyDescent="0.25">
      <c r="A87" s="6" t="s">
        <v>5</v>
      </c>
      <c r="B87" s="6" t="s">
        <v>9</v>
      </c>
      <c r="C87" s="10" t="s">
        <v>10</v>
      </c>
      <c r="D87" s="6" t="s">
        <v>6</v>
      </c>
      <c r="E87" s="6" t="s">
        <v>2</v>
      </c>
      <c r="F87" s="6" t="s">
        <v>12</v>
      </c>
      <c r="G87" s="6" t="s">
        <v>11</v>
      </c>
      <c r="H87" s="7" t="s">
        <v>13</v>
      </c>
    </row>
    <row r="88" spans="1:8" x14ac:dyDescent="0.25">
      <c r="A88" s="6" t="s">
        <v>204</v>
      </c>
      <c r="B88" s="6" t="s">
        <v>222</v>
      </c>
      <c r="C88" s="11">
        <v>1</v>
      </c>
      <c r="D88" t="s">
        <v>17</v>
      </c>
      <c r="E88" t="s">
        <v>3</v>
      </c>
      <c r="F88" s="3"/>
      <c r="G88" s="29" t="s">
        <v>197</v>
      </c>
      <c r="H88" t="s">
        <v>14</v>
      </c>
    </row>
    <row r="89" spans="1:8" x14ac:dyDescent="0.25">
      <c r="A89" s="6" t="s">
        <v>223</v>
      </c>
      <c r="B89" s="33" t="s">
        <v>224</v>
      </c>
      <c r="C89" s="32">
        <v>9.7488397270274927</v>
      </c>
      <c r="D89" s="14" t="s">
        <v>7</v>
      </c>
      <c r="E89" t="s">
        <v>3</v>
      </c>
      <c r="F89" s="14"/>
      <c r="G89" s="29" t="s">
        <v>197</v>
      </c>
      <c r="H89" s="22" t="s">
        <v>16</v>
      </c>
    </row>
    <row r="90" spans="1:8" x14ac:dyDescent="0.25">
      <c r="A90" t="s">
        <v>210</v>
      </c>
      <c r="B90" t="s">
        <v>211</v>
      </c>
      <c r="C90" s="12">
        <v>0.17123184749999998</v>
      </c>
      <c r="D90" t="s">
        <v>87</v>
      </c>
      <c r="E90" t="s">
        <v>3</v>
      </c>
      <c r="G90" t="s">
        <v>238</v>
      </c>
      <c r="H90" s="22" t="s">
        <v>16</v>
      </c>
    </row>
    <row r="91" spans="1:8" x14ac:dyDescent="0.25">
      <c r="A91" t="s">
        <v>212</v>
      </c>
      <c r="B91" t="s">
        <v>213</v>
      </c>
      <c r="C91" s="13">
        <v>3.5263836979497925E-7</v>
      </c>
      <c r="D91" t="s">
        <v>6</v>
      </c>
      <c r="E91" t="s">
        <v>15</v>
      </c>
      <c r="G91" t="s">
        <v>238</v>
      </c>
      <c r="H91" s="22" t="s">
        <v>16</v>
      </c>
    </row>
    <row r="92" spans="1:8" x14ac:dyDescent="0.25">
      <c r="A92" t="s">
        <v>214</v>
      </c>
      <c r="B92" t="s">
        <v>215</v>
      </c>
      <c r="C92" s="13">
        <v>1.479295218083755E-6</v>
      </c>
      <c r="D92" t="s">
        <v>6</v>
      </c>
      <c r="E92" t="s">
        <v>3</v>
      </c>
      <c r="G92" t="s">
        <v>238</v>
      </c>
      <c r="H92" s="22" t="s">
        <v>16</v>
      </c>
    </row>
    <row r="93" spans="1:8" x14ac:dyDescent="0.25">
      <c r="B93" t="s">
        <v>161</v>
      </c>
      <c r="C93" s="12">
        <v>2.4445550475000002</v>
      </c>
      <c r="D93" s="14" t="s">
        <v>7</v>
      </c>
      <c r="F93" s="14" t="s">
        <v>162</v>
      </c>
      <c r="G93" t="s">
        <v>189</v>
      </c>
      <c r="H93" s="14" t="s">
        <v>19</v>
      </c>
    </row>
    <row r="94" spans="1:8" x14ac:dyDescent="0.25">
      <c r="B94" t="s">
        <v>199</v>
      </c>
      <c r="C94" s="12">
        <v>0.52495828741838257</v>
      </c>
      <c r="D94" s="14" t="s">
        <v>7</v>
      </c>
      <c r="F94" s="22" t="s">
        <v>102</v>
      </c>
      <c r="G94" t="s">
        <v>189</v>
      </c>
      <c r="H94" s="14" t="s">
        <v>19</v>
      </c>
    </row>
    <row r="95" spans="1:8" x14ac:dyDescent="0.25">
      <c r="B95" t="s">
        <v>216</v>
      </c>
      <c r="C95" s="12">
        <v>1.622655950877E-2</v>
      </c>
      <c r="D95" s="14" t="s">
        <v>7</v>
      </c>
      <c r="F95" s="22" t="s">
        <v>102</v>
      </c>
      <c r="G95" t="s">
        <v>189</v>
      </c>
      <c r="H95" s="14" t="s">
        <v>19</v>
      </c>
    </row>
    <row r="96" spans="1:8" x14ac:dyDescent="0.25">
      <c r="B96" t="s">
        <v>201</v>
      </c>
      <c r="C96" s="13">
        <v>2.7043536960000004E-4</v>
      </c>
      <c r="D96" s="14" t="s">
        <v>7</v>
      </c>
      <c r="F96" s="22" t="s">
        <v>102</v>
      </c>
      <c r="G96" t="s">
        <v>189</v>
      </c>
      <c r="H96" s="14" t="s">
        <v>19</v>
      </c>
    </row>
    <row r="97" spans="1:8" x14ac:dyDescent="0.25">
      <c r="B97" t="s">
        <v>217</v>
      </c>
      <c r="C97" s="13">
        <v>1.4084597223000001E-5</v>
      </c>
      <c r="D97" s="14" t="s">
        <v>7</v>
      </c>
      <c r="F97" s="22" t="s">
        <v>102</v>
      </c>
      <c r="G97" t="s">
        <v>189</v>
      </c>
      <c r="H97" s="14" t="s">
        <v>19</v>
      </c>
    </row>
    <row r="98" spans="1:8" x14ac:dyDescent="0.25">
      <c r="B98" t="s">
        <v>20</v>
      </c>
      <c r="C98" s="13">
        <v>8.4506096340000004E-5</v>
      </c>
      <c r="D98" s="14" t="s">
        <v>7</v>
      </c>
      <c r="F98" s="22" t="s">
        <v>102</v>
      </c>
      <c r="G98" t="s">
        <v>189</v>
      </c>
      <c r="H98" s="14" t="s">
        <v>19</v>
      </c>
    </row>
    <row r="99" spans="1:8" x14ac:dyDescent="0.25">
      <c r="B99" t="s">
        <v>218</v>
      </c>
      <c r="C99" s="13">
        <v>1.4084597223000002E-4</v>
      </c>
      <c r="D99" s="14" t="s">
        <v>7</v>
      </c>
      <c r="F99" s="22" t="s">
        <v>102</v>
      </c>
      <c r="G99" t="s">
        <v>189</v>
      </c>
      <c r="H99" s="14" t="s">
        <v>19</v>
      </c>
    </row>
    <row r="100" spans="1:8" x14ac:dyDescent="0.25">
      <c r="B100" t="s">
        <v>200</v>
      </c>
      <c r="C100" s="13">
        <v>1.1267727345000002E-5</v>
      </c>
      <c r="D100" s="14" t="s">
        <v>7</v>
      </c>
      <c r="F100" s="22" t="s">
        <v>102</v>
      </c>
      <c r="G100" t="s">
        <v>189</v>
      </c>
      <c r="H100" s="14" t="s">
        <v>19</v>
      </c>
    </row>
    <row r="101" spans="1:8" x14ac:dyDescent="0.25">
      <c r="B101" t="s">
        <v>160</v>
      </c>
      <c r="C101" s="13">
        <v>3.9437665290000002E-11</v>
      </c>
      <c r="D101" s="14" t="s">
        <v>7</v>
      </c>
      <c r="F101" s="22" t="s">
        <v>102</v>
      </c>
      <c r="G101" t="s">
        <v>189</v>
      </c>
      <c r="H101" s="14" t="s">
        <v>19</v>
      </c>
    </row>
    <row r="102" spans="1:8" x14ac:dyDescent="0.25">
      <c r="A102" s="2"/>
      <c r="B102" s="2"/>
      <c r="C102" s="18"/>
      <c r="D102" s="2"/>
      <c r="E102" s="2"/>
      <c r="F102" s="2"/>
      <c r="G102" s="2"/>
      <c r="H102" s="2"/>
    </row>
    <row r="103" spans="1:8" x14ac:dyDescent="0.25">
      <c r="A103" s="1" t="s">
        <v>0</v>
      </c>
      <c r="B103" s="8" t="s">
        <v>209</v>
      </c>
      <c r="C103" s="17"/>
      <c r="D103" s="3"/>
      <c r="E103" s="3"/>
      <c r="F103" s="3"/>
      <c r="G103" s="3"/>
      <c r="H103" s="3"/>
    </row>
    <row r="104" spans="1:8" x14ac:dyDescent="0.25">
      <c r="A104" s="3" t="s">
        <v>1</v>
      </c>
      <c r="B104" s="6" t="s">
        <v>203</v>
      </c>
      <c r="C104" s="17"/>
      <c r="D104" s="3"/>
      <c r="E104" s="3"/>
      <c r="F104" s="3"/>
      <c r="G104" s="3"/>
      <c r="H104" s="3"/>
    </row>
    <row r="105" spans="1:8" x14ac:dyDescent="0.25">
      <c r="A105" s="3" t="s">
        <v>2</v>
      </c>
      <c r="B105" t="s">
        <v>3</v>
      </c>
      <c r="C105" s="17"/>
      <c r="D105" s="3"/>
      <c r="E105" s="3"/>
      <c r="F105" s="3"/>
      <c r="G105" s="3"/>
      <c r="H105" s="3"/>
    </row>
    <row r="106" spans="1:8" x14ac:dyDescent="0.25">
      <c r="A106" s="3" t="s">
        <v>4</v>
      </c>
      <c r="B106" s="9">
        <v>1</v>
      </c>
      <c r="C106" s="17"/>
      <c r="D106" s="3"/>
      <c r="E106" s="3"/>
      <c r="F106" s="3"/>
      <c r="G106" s="3"/>
      <c r="H106" s="3"/>
    </row>
    <row r="107" spans="1:8" x14ac:dyDescent="0.25">
      <c r="A107" s="3" t="s">
        <v>5</v>
      </c>
      <c r="B107" t="s">
        <v>208</v>
      </c>
      <c r="C107" s="17"/>
      <c r="D107" s="3"/>
      <c r="E107" s="3"/>
      <c r="F107" s="3"/>
      <c r="G107" s="3"/>
      <c r="H107" s="3"/>
    </row>
    <row r="108" spans="1:8" x14ac:dyDescent="0.25">
      <c r="A108" s="3" t="s">
        <v>6</v>
      </c>
      <c r="B108" t="s">
        <v>7</v>
      </c>
      <c r="C108" s="17"/>
      <c r="D108" s="3"/>
      <c r="E108" s="3"/>
      <c r="F108" s="3"/>
      <c r="G108" s="3"/>
      <c r="H108" s="3"/>
    </row>
    <row r="109" spans="1:8" x14ac:dyDescent="0.25">
      <c r="A109" s="1" t="s">
        <v>8</v>
      </c>
      <c r="B109" s="3"/>
      <c r="C109" s="17"/>
      <c r="D109" s="3"/>
      <c r="E109" s="3"/>
      <c r="F109" s="3"/>
      <c r="G109" s="3"/>
      <c r="H109" s="3"/>
    </row>
    <row r="110" spans="1:8" x14ac:dyDescent="0.25">
      <c r="A110" s="6" t="s">
        <v>5</v>
      </c>
      <c r="B110" s="6" t="s">
        <v>9</v>
      </c>
      <c r="C110" s="10" t="s">
        <v>10</v>
      </c>
      <c r="D110" s="6" t="s">
        <v>6</v>
      </c>
      <c r="E110" s="6" t="s">
        <v>2</v>
      </c>
      <c r="F110" s="6" t="s">
        <v>12</v>
      </c>
      <c r="G110" s="6" t="s">
        <v>11</v>
      </c>
      <c r="H110" s="7" t="s">
        <v>13</v>
      </c>
    </row>
    <row r="111" spans="1:8" x14ac:dyDescent="0.25">
      <c r="A111" s="6" t="s">
        <v>208</v>
      </c>
      <c r="B111" s="6" t="s">
        <v>209</v>
      </c>
      <c r="C111" s="11">
        <v>1</v>
      </c>
      <c r="D111" t="s">
        <v>7</v>
      </c>
      <c r="E111" t="s">
        <v>3</v>
      </c>
      <c r="F111" s="3"/>
      <c r="G111" s="29" t="s">
        <v>197</v>
      </c>
      <c r="H111" t="s">
        <v>14</v>
      </c>
    </row>
    <row r="112" spans="1:8" x14ac:dyDescent="0.25">
      <c r="A112" s="6" t="s">
        <v>225</v>
      </c>
      <c r="B112" s="33" t="s">
        <v>44</v>
      </c>
      <c r="C112" s="32">
        <v>0.01</v>
      </c>
      <c r="D112" s="14" t="s">
        <v>31</v>
      </c>
      <c r="E112" t="s">
        <v>15</v>
      </c>
      <c r="F112" s="14"/>
      <c r="G112" t="s">
        <v>238</v>
      </c>
      <c r="H112" s="22" t="s">
        <v>16</v>
      </c>
    </row>
    <row r="113" spans="1:8" x14ac:dyDescent="0.25">
      <c r="A113" s="2"/>
      <c r="B113" s="2"/>
      <c r="C113" s="18"/>
      <c r="D113" s="2"/>
      <c r="E113" s="2"/>
      <c r="F113" s="2"/>
      <c r="G113" s="2"/>
      <c r="H113" s="2"/>
    </row>
    <row r="114" spans="1:8" x14ac:dyDescent="0.25">
      <c r="A114" s="1" t="s">
        <v>0</v>
      </c>
      <c r="B114" s="8" t="s">
        <v>221</v>
      </c>
      <c r="C114" s="17"/>
      <c r="D114" s="3"/>
      <c r="E114" s="3"/>
      <c r="F114" s="3"/>
      <c r="G114" s="3"/>
      <c r="H114" s="3"/>
    </row>
    <row r="115" spans="1:8" x14ac:dyDescent="0.25">
      <c r="A115" s="3" t="s">
        <v>1</v>
      </c>
      <c r="B115" s="6" t="s">
        <v>203</v>
      </c>
      <c r="C115" s="17"/>
      <c r="D115" s="3"/>
      <c r="E115" s="3"/>
      <c r="F115" s="3"/>
      <c r="G115" s="3"/>
      <c r="H115" s="3"/>
    </row>
    <row r="116" spans="1:8" x14ac:dyDescent="0.25">
      <c r="A116" s="3" t="s">
        <v>2</v>
      </c>
      <c r="B116" t="s">
        <v>3</v>
      </c>
      <c r="C116" s="17"/>
      <c r="D116" s="3"/>
      <c r="E116" s="3"/>
      <c r="F116" s="3"/>
      <c r="G116" s="3"/>
      <c r="H116" s="3"/>
    </row>
    <row r="117" spans="1:8" x14ac:dyDescent="0.25">
      <c r="A117" s="3" t="s">
        <v>4</v>
      </c>
      <c r="B117" s="9">
        <v>1</v>
      </c>
      <c r="C117" s="17"/>
      <c r="D117" s="3"/>
      <c r="E117" s="3"/>
      <c r="F117" s="3"/>
      <c r="G117" s="3"/>
      <c r="H117" s="3"/>
    </row>
    <row r="118" spans="1:8" x14ac:dyDescent="0.25">
      <c r="A118" s="3" t="s">
        <v>5</v>
      </c>
      <c r="B118" t="s">
        <v>220</v>
      </c>
      <c r="C118" s="17"/>
      <c r="D118" s="3"/>
      <c r="E118" s="3"/>
      <c r="F118" s="3"/>
      <c r="G118" s="3"/>
      <c r="H118" s="3"/>
    </row>
    <row r="119" spans="1:8" x14ac:dyDescent="0.25">
      <c r="A119" s="3" t="s">
        <v>6</v>
      </c>
      <c r="B119" t="s">
        <v>7</v>
      </c>
      <c r="C119" s="17"/>
      <c r="D119" s="3"/>
      <c r="E119" s="3"/>
      <c r="F119" s="3"/>
      <c r="G119" s="3"/>
      <c r="H119" s="3"/>
    </row>
    <row r="120" spans="1:8" x14ac:dyDescent="0.25">
      <c r="A120" s="1" t="s">
        <v>8</v>
      </c>
      <c r="B120" s="3"/>
      <c r="C120" s="17"/>
      <c r="D120" s="3"/>
      <c r="E120" s="3"/>
      <c r="F120" s="3"/>
      <c r="G120" s="3"/>
      <c r="H120" s="3"/>
    </row>
    <row r="121" spans="1:8" x14ac:dyDescent="0.25">
      <c r="A121" s="6" t="s">
        <v>5</v>
      </c>
      <c r="B121" s="6" t="s">
        <v>9</v>
      </c>
      <c r="C121" s="10" t="s">
        <v>10</v>
      </c>
      <c r="D121" s="6" t="s">
        <v>6</v>
      </c>
      <c r="E121" s="6" t="s">
        <v>2</v>
      </c>
      <c r="F121" s="6" t="s">
        <v>12</v>
      </c>
      <c r="G121" s="6" t="s">
        <v>11</v>
      </c>
      <c r="H121" s="7" t="s">
        <v>13</v>
      </c>
    </row>
    <row r="122" spans="1:8" x14ac:dyDescent="0.25">
      <c r="A122" s="6" t="s">
        <v>220</v>
      </c>
      <c r="B122" s="6" t="s">
        <v>221</v>
      </c>
      <c r="C122" s="11">
        <v>1</v>
      </c>
      <c r="D122" t="s">
        <v>7</v>
      </c>
      <c r="E122" t="s">
        <v>3</v>
      </c>
      <c r="F122" s="3"/>
      <c r="G122" s="29" t="s">
        <v>197</v>
      </c>
      <c r="H122" t="s">
        <v>14</v>
      </c>
    </row>
    <row r="123" spans="1:8" x14ac:dyDescent="0.25">
      <c r="A123" s="6" t="s">
        <v>225</v>
      </c>
      <c r="B123" s="33" t="s">
        <v>44</v>
      </c>
      <c r="C123" s="32">
        <v>0.02</v>
      </c>
      <c r="D123" s="14" t="s">
        <v>31</v>
      </c>
      <c r="E123" t="s">
        <v>15</v>
      </c>
      <c r="F123" s="14"/>
      <c r="G123" t="s">
        <v>238</v>
      </c>
      <c r="H123" s="22" t="s">
        <v>16</v>
      </c>
    </row>
    <row r="124" spans="1:8" x14ac:dyDescent="0.25">
      <c r="A124" s="2"/>
      <c r="B124" s="2"/>
      <c r="C124" s="18"/>
      <c r="D124" s="2"/>
      <c r="E124" s="2"/>
      <c r="F124" s="2"/>
      <c r="G124" s="2"/>
      <c r="H124" s="2"/>
    </row>
    <row r="125" spans="1:8" x14ac:dyDescent="0.25">
      <c r="A125" s="1" t="s">
        <v>0</v>
      </c>
      <c r="B125" s="8" t="s">
        <v>224</v>
      </c>
      <c r="C125" s="17"/>
      <c r="D125" s="3"/>
      <c r="E125" s="3"/>
      <c r="F125" s="3"/>
      <c r="G125" s="3"/>
      <c r="H125" s="3"/>
    </row>
    <row r="126" spans="1:8" x14ac:dyDescent="0.25">
      <c r="A126" s="3" t="s">
        <v>1</v>
      </c>
      <c r="B126" s="6" t="s">
        <v>203</v>
      </c>
      <c r="C126" s="17"/>
      <c r="D126" s="3"/>
      <c r="E126" s="3"/>
      <c r="F126" s="3"/>
      <c r="G126" s="3"/>
      <c r="H126" s="3"/>
    </row>
    <row r="127" spans="1:8" x14ac:dyDescent="0.25">
      <c r="A127" s="3" t="s">
        <v>2</v>
      </c>
      <c r="B127" t="s">
        <v>3</v>
      </c>
      <c r="C127" s="17"/>
      <c r="D127" s="3"/>
      <c r="E127" s="3"/>
      <c r="F127" s="3"/>
      <c r="G127" s="3"/>
      <c r="H127" s="3"/>
    </row>
    <row r="128" spans="1:8" x14ac:dyDescent="0.25">
      <c r="A128" s="3" t="s">
        <v>4</v>
      </c>
      <c r="B128" s="9">
        <v>1</v>
      </c>
      <c r="C128" s="17"/>
      <c r="D128" s="3"/>
      <c r="E128" s="3"/>
      <c r="F128" s="3"/>
      <c r="G128" s="3"/>
      <c r="H128" s="3"/>
    </row>
    <row r="129" spans="1:8" x14ac:dyDescent="0.25">
      <c r="A129" s="3" t="s">
        <v>5</v>
      </c>
      <c r="B129" t="s">
        <v>223</v>
      </c>
      <c r="C129" s="17"/>
      <c r="D129" s="3"/>
      <c r="E129" s="3"/>
      <c r="F129" s="3"/>
      <c r="G129" s="3"/>
      <c r="H129" s="3"/>
    </row>
    <row r="130" spans="1:8" x14ac:dyDescent="0.25">
      <c r="A130" s="3" t="s">
        <v>6</v>
      </c>
      <c r="B130" t="s">
        <v>7</v>
      </c>
      <c r="C130" s="17"/>
      <c r="D130" s="3"/>
      <c r="E130" s="3"/>
      <c r="F130" s="3"/>
      <c r="G130" s="3"/>
      <c r="H130" s="3"/>
    </row>
    <row r="131" spans="1:8" x14ac:dyDescent="0.25">
      <c r="A131" s="1" t="s">
        <v>8</v>
      </c>
      <c r="B131" s="3"/>
      <c r="C131" s="17"/>
      <c r="D131" s="3"/>
      <c r="E131" s="3"/>
      <c r="F131" s="3"/>
      <c r="G131" s="3"/>
      <c r="H131" s="3"/>
    </row>
    <row r="132" spans="1:8" x14ac:dyDescent="0.25">
      <c r="A132" s="6" t="s">
        <v>5</v>
      </c>
      <c r="B132" s="6" t="s">
        <v>9</v>
      </c>
      <c r="C132" s="10" t="s">
        <v>10</v>
      </c>
      <c r="D132" s="6" t="s">
        <v>6</v>
      </c>
      <c r="E132" s="6" t="s">
        <v>2</v>
      </c>
      <c r="F132" s="6" t="s">
        <v>12</v>
      </c>
      <c r="G132" s="6" t="s">
        <v>11</v>
      </c>
      <c r="H132" s="7" t="s">
        <v>13</v>
      </c>
    </row>
    <row r="133" spans="1:8" x14ac:dyDescent="0.25">
      <c r="A133" s="6" t="s">
        <v>223</v>
      </c>
      <c r="B133" s="6" t="s">
        <v>224</v>
      </c>
      <c r="C133" s="11">
        <v>1</v>
      </c>
      <c r="D133" t="s">
        <v>7</v>
      </c>
      <c r="E133" t="s">
        <v>3</v>
      </c>
      <c r="F133" s="3"/>
      <c r="G133" s="29" t="s">
        <v>197</v>
      </c>
      <c r="H133" t="s">
        <v>14</v>
      </c>
    </row>
    <row r="134" spans="1:8" x14ac:dyDescent="0.25">
      <c r="A134" s="22" t="s">
        <v>226</v>
      </c>
      <c r="B134" s="22" t="s">
        <v>227</v>
      </c>
      <c r="C134" s="32">
        <v>4.0000000000000001E-3</v>
      </c>
      <c r="D134" s="14" t="s">
        <v>7</v>
      </c>
      <c r="E134" s="22" t="s">
        <v>228</v>
      </c>
      <c r="F134" s="14"/>
      <c r="G134" t="s">
        <v>238</v>
      </c>
      <c r="H134" s="22" t="s">
        <v>16</v>
      </c>
    </row>
    <row r="135" spans="1:8" x14ac:dyDescent="0.25">
      <c r="A135" s="22" t="s">
        <v>229</v>
      </c>
      <c r="B135" s="22" t="s">
        <v>230</v>
      </c>
      <c r="C135" s="13">
        <v>5.0000000000000002E-5</v>
      </c>
      <c r="D135" s="14" t="s">
        <v>231</v>
      </c>
      <c r="E135" s="22" t="s">
        <v>3</v>
      </c>
      <c r="G135" t="s">
        <v>238</v>
      </c>
      <c r="H135" s="22" t="s">
        <v>16</v>
      </c>
    </row>
    <row r="136" spans="1:8" x14ac:dyDescent="0.25">
      <c r="A136" s="22" t="s">
        <v>225</v>
      </c>
      <c r="B136" s="22" t="s">
        <v>44</v>
      </c>
      <c r="C136" s="12">
        <v>0.02</v>
      </c>
      <c r="D136" s="14" t="s">
        <v>31</v>
      </c>
      <c r="E136" t="s">
        <v>15</v>
      </c>
      <c r="G136" t="s">
        <v>238</v>
      </c>
      <c r="H136" s="22" t="s">
        <v>16</v>
      </c>
    </row>
    <row r="137" spans="1:8" x14ac:dyDescent="0.25">
      <c r="B137" t="s">
        <v>232</v>
      </c>
      <c r="C137" s="12">
        <v>4.4000000000000003E-3</v>
      </c>
      <c r="D137" s="14" t="s">
        <v>7</v>
      </c>
      <c r="F137" s="14" t="s">
        <v>233</v>
      </c>
      <c r="G137" t="s">
        <v>189</v>
      </c>
      <c r="H137" s="14" t="s">
        <v>19</v>
      </c>
    </row>
    <row r="138" spans="1:8" x14ac:dyDescent="0.25">
      <c r="A138" s="2"/>
      <c r="B138" s="2"/>
      <c r="C138" s="18"/>
      <c r="D138" s="2"/>
      <c r="E138" s="2"/>
      <c r="F138" s="2"/>
      <c r="G138" s="2"/>
      <c r="H138" s="2"/>
    </row>
    <row r="139" spans="1:8" x14ac:dyDescent="0.25">
      <c r="A139" s="1" t="s">
        <v>0</v>
      </c>
      <c r="B139" s="8" t="s">
        <v>234</v>
      </c>
      <c r="C139" s="17"/>
      <c r="D139" s="3"/>
      <c r="E139" s="3"/>
      <c r="F139" s="3"/>
      <c r="G139" s="3"/>
      <c r="H139" s="3"/>
    </row>
    <row r="140" spans="1:8" x14ac:dyDescent="0.25">
      <c r="A140" s="3" t="s">
        <v>1</v>
      </c>
      <c r="B140" s="6" t="s">
        <v>203</v>
      </c>
      <c r="C140" s="17"/>
      <c r="D140" s="3"/>
      <c r="E140" s="3"/>
      <c r="F140" s="3"/>
      <c r="G140" s="3"/>
      <c r="H140" s="3"/>
    </row>
    <row r="141" spans="1:8" x14ac:dyDescent="0.25">
      <c r="A141" s="3" t="s">
        <v>2</v>
      </c>
      <c r="B141" t="s">
        <v>3</v>
      </c>
      <c r="C141" s="17"/>
      <c r="D141" s="3"/>
      <c r="E141" s="3"/>
      <c r="F141" s="3"/>
      <c r="G141" s="3"/>
      <c r="H141" s="3"/>
    </row>
    <row r="142" spans="1:8" x14ac:dyDescent="0.25">
      <c r="A142" s="3" t="s">
        <v>4</v>
      </c>
      <c r="B142" s="9">
        <v>1</v>
      </c>
      <c r="C142" s="17"/>
      <c r="D142" s="3"/>
      <c r="E142" s="3"/>
      <c r="F142" s="3"/>
      <c r="G142" s="3"/>
      <c r="H142" s="3"/>
    </row>
    <row r="143" spans="1:8" x14ac:dyDescent="0.25">
      <c r="A143" s="3" t="s">
        <v>5</v>
      </c>
      <c r="B143" t="s">
        <v>204</v>
      </c>
      <c r="C143" s="17"/>
      <c r="D143" s="3"/>
      <c r="E143" s="3"/>
      <c r="F143" s="3"/>
      <c r="G143" s="3"/>
      <c r="H143" s="3"/>
    </row>
    <row r="144" spans="1:8" x14ac:dyDescent="0.25">
      <c r="A144" s="3" t="s">
        <v>6</v>
      </c>
      <c r="B144" t="s">
        <v>17</v>
      </c>
      <c r="C144" s="17"/>
      <c r="D144" s="3"/>
      <c r="E144" s="3"/>
      <c r="F144" s="3"/>
      <c r="G144" s="3"/>
      <c r="H144" s="3"/>
    </row>
    <row r="145" spans="1:8" x14ac:dyDescent="0.25">
      <c r="A145" s="1" t="s">
        <v>8</v>
      </c>
      <c r="B145" s="3"/>
      <c r="C145" s="17"/>
      <c r="D145" s="3"/>
      <c r="E145" s="3"/>
      <c r="F145" s="3"/>
      <c r="G145" s="3"/>
      <c r="H145" s="3"/>
    </row>
    <row r="146" spans="1:8" x14ac:dyDescent="0.25">
      <c r="A146" s="6" t="s">
        <v>5</v>
      </c>
      <c r="B146" s="6" t="s">
        <v>9</v>
      </c>
      <c r="C146" s="10" t="s">
        <v>10</v>
      </c>
      <c r="D146" s="6" t="s">
        <v>6</v>
      </c>
      <c r="E146" s="6" t="s">
        <v>2</v>
      </c>
      <c r="F146" s="6" t="s">
        <v>12</v>
      </c>
      <c r="G146" s="6" t="s">
        <v>11</v>
      </c>
      <c r="H146" s="7" t="s">
        <v>13</v>
      </c>
    </row>
    <row r="147" spans="1:8" x14ac:dyDescent="0.25">
      <c r="A147" t="s">
        <v>204</v>
      </c>
      <c r="B147" s="6" t="s">
        <v>234</v>
      </c>
      <c r="C147" s="11">
        <v>1</v>
      </c>
      <c r="D147" t="s">
        <v>17</v>
      </c>
      <c r="E147" t="s">
        <v>3</v>
      </c>
      <c r="F147" s="3"/>
      <c r="G147" s="29" t="s">
        <v>197</v>
      </c>
      <c r="H147" t="s">
        <v>14</v>
      </c>
    </row>
    <row r="148" spans="1:8" x14ac:dyDescent="0.25">
      <c r="A148" s="22" t="s">
        <v>204</v>
      </c>
      <c r="B148" s="22" t="s">
        <v>202</v>
      </c>
      <c r="C148" s="32">
        <v>5.3763440860215055E-2</v>
      </c>
      <c r="D148" t="s">
        <v>17</v>
      </c>
      <c r="E148" t="s">
        <v>3</v>
      </c>
      <c r="F148" s="14"/>
      <c r="G148" s="29" t="s">
        <v>197</v>
      </c>
      <c r="H148" s="22" t="s">
        <v>16</v>
      </c>
    </row>
    <row r="149" spans="1:8" x14ac:dyDescent="0.25">
      <c r="A149" s="22" t="s">
        <v>204</v>
      </c>
      <c r="B149" s="22" t="s">
        <v>205</v>
      </c>
      <c r="C149" s="32">
        <v>9.6774193548387094E-2</v>
      </c>
      <c r="D149" t="s">
        <v>17</v>
      </c>
      <c r="E149" t="s">
        <v>3</v>
      </c>
      <c r="G149" s="29" t="s">
        <v>197</v>
      </c>
      <c r="H149" s="22" t="s">
        <v>16</v>
      </c>
    </row>
    <row r="150" spans="1:8" x14ac:dyDescent="0.25">
      <c r="A150" s="22" t="s">
        <v>204</v>
      </c>
      <c r="B150" s="22" t="s">
        <v>206</v>
      </c>
      <c r="C150" s="32">
        <v>2.1505376344086023E-2</v>
      </c>
      <c r="D150" t="s">
        <v>17</v>
      </c>
      <c r="E150" t="s">
        <v>3</v>
      </c>
      <c r="G150" s="29" t="s">
        <v>197</v>
      </c>
      <c r="H150" s="22" t="s">
        <v>16</v>
      </c>
    </row>
    <row r="151" spans="1:8" x14ac:dyDescent="0.25">
      <c r="A151" t="s">
        <v>204</v>
      </c>
      <c r="B151" t="s">
        <v>207</v>
      </c>
      <c r="C151" s="32">
        <v>0.34408602150537637</v>
      </c>
      <c r="D151" t="s">
        <v>17</v>
      </c>
      <c r="E151" t="s">
        <v>3</v>
      </c>
      <c r="F151" s="14"/>
      <c r="G151" s="29" t="s">
        <v>197</v>
      </c>
      <c r="H151" s="22" t="s">
        <v>16</v>
      </c>
    </row>
    <row r="152" spans="1:8" x14ac:dyDescent="0.25">
      <c r="A152" t="s">
        <v>204</v>
      </c>
      <c r="B152" t="s">
        <v>219</v>
      </c>
      <c r="C152" s="32">
        <v>0.25806451612903225</v>
      </c>
      <c r="D152" t="s">
        <v>17</v>
      </c>
      <c r="E152" t="s">
        <v>3</v>
      </c>
      <c r="G152" s="29" t="s">
        <v>197</v>
      </c>
      <c r="H152" s="22" t="s">
        <v>16</v>
      </c>
    </row>
    <row r="153" spans="1:8" x14ac:dyDescent="0.25">
      <c r="A153" t="s">
        <v>204</v>
      </c>
      <c r="B153" t="s">
        <v>222</v>
      </c>
      <c r="C153" s="32">
        <v>0.22580645161290322</v>
      </c>
      <c r="D153" t="s">
        <v>17</v>
      </c>
      <c r="E153" t="s">
        <v>3</v>
      </c>
      <c r="G153" s="29" t="s">
        <v>197</v>
      </c>
      <c r="H153" s="2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685B-06FC-4B08-AD91-6FD83ECBE963}">
  <dimension ref="A1:H108"/>
  <sheetViews>
    <sheetView tabSelected="1" zoomScaleNormal="100" workbookViewId="0">
      <selection activeCell="G19" sqref="G19"/>
    </sheetView>
  </sheetViews>
  <sheetFormatPr defaultRowHeight="15" x14ac:dyDescent="0.25"/>
  <cols>
    <col min="1" max="1" width="73.28515625" bestFit="1" customWidth="1"/>
    <col min="2" max="2" width="68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41.7109375" bestFit="1" customWidth="1"/>
    <col min="8" max="8" width="13.85546875" bestFit="1" customWidth="1"/>
  </cols>
  <sheetData>
    <row r="1" spans="1:8" x14ac:dyDescent="0.25">
      <c r="A1" s="1" t="s">
        <v>0</v>
      </c>
      <c r="B1" s="8" t="s">
        <v>241</v>
      </c>
      <c r="C1" s="17"/>
      <c r="D1" s="3"/>
      <c r="E1" s="3"/>
      <c r="F1" s="3"/>
      <c r="G1" s="3"/>
      <c r="H1" s="3"/>
    </row>
    <row r="2" spans="1:8" x14ac:dyDescent="0.25">
      <c r="A2" s="3" t="s">
        <v>1</v>
      </c>
      <c r="B2" s="6"/>
      <c r="C2" s="17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7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7"/>
      <c r="D4" s="3"/>
      <c r="E4" s="3"/>
      <c r="F4" s="3"/>
      <c r="G4" s="3"/>
      <c r="H4" s="3"/>
    </row>
    <row r="5" spans="1:8" x14ac:dyDescent="0.25">
      <c r="A5" s="3" t="s">
        <v>5</v>
      </c>
      <c r="B5" t="s">
        <v>241</v>
      </c>
      <c r="C5" s="17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7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7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241</v>
      </c>
      <c r="B9" t="s">
        <v>241</v>
      </c>
      <c r="C9" s="11">
        <v>1</v>
      </c>
      <c r="D9" t="s">
        <v>7</v>
      </c>
      <c r="E9" t="s">
        <v>3</v>
      </c>
      <c r="G9" s="29" t="s">
        <v>197</v>
      </c>
      <c r="H9" t="s">
        <v>14</v>
      </c>
    </row>
    <row r="10" spans="1:8" x14ac:dyDescent="0.25">
      <c r="A10" t="s">
        <v>242</v>
      </c>
      <c r="B10" t="s">
        <v>243</v>
      </c>
      <c r="C10" s="11">
        <v>1</v>
      </c>
      <c r="D10" t="s">
        <v>7</v>
      </c>
      <c r="E10" t="s">
        <v>228</v>
      </c>
      <c r="G10" s="29" t="s">
        <v>238</v>
      </c>
      <c r="H10" t="s">
        <v>16</v>
      </c>
    </row>
    <row r="11" spans="1:8" x14ac:dyDescent="0.25">
      <c r="A11" s="2"/>
      <c r="B11" s="2"/>
      <c r="C11" s="18"/>
      <c r="D11" s="2"/>
      <c r="E11" s="2"/>
      <c r="F11" s="2"/>
      <c r="G11" s="2"/>
      <c r="H11" s="2"/>
    </row>
    <row r="12" spans="1:8" x14ac:dyDescent="0.25">
      <c r="A12" s="1" t="s">
        <v>0</v>
      </c>
      <c r="B12" s="8" t="s">
        <v>244</v>
      </c>
      <c r="C12" s="17"/>
      <c r="D12" s="3"/>
      <c r="E12" s="3"/>
      <c r="F12" s="3"/>
      <c r="G12" s="3"/>
      <c r="H12" s="3"/>
    </row>
    <row r="13" spans="1:8" x14ac:dyDescent="0.25">
      <c r="A13" s="3" t="s">
        <v>1</v>
      </c>
      <c r="B13" s="6"/>
      <c r="C13" s="17"/>
      <c r="D13" s="3"/>
      <c r="E13" s="3"/>
      <c r="F13" s="3"/>
      <c r="G13" s="3"/>
      <c r="H13" s="3"/>
    </row>
    <row r="14" spans="1:8" x14ac:dyDescent="0.25">
      <c r="A14" s="3" t="s">
        <v>2</v>
      </c>
      <c r="B14" t="s">
        <v>3</v>
      </c>
      <c r="C14" s="17"/>
      <c r="D14" s="3"/>
      <c r="E14" s="3"/>
      <c r="F14" s="3"/>
      <c r="G14" s="3"/>
      <c r="H14" s="3"/>
    </row>
    <row r="15" spans="1:8" x14ac:dyDescent="0.25">
      <c r="A15" s="3" t="s">
        <v>4</v>
      </c>
      <c r="B15" s="9">
        <v>1</v>
      </c>
      <c r="C15" s="17"/>
      <c r="D15" s="3"/>
      <c r="E15" s="3"/>
      <c r="F15" s="3"/>
      <c r="G15" s="3"/>
      <c r="H15" s="3"/>
    </row>
    <row r="16" spans="1:8" x14ac:dyDescent="0.25">
      <c r="A16" s="3" t="s">
        <v>5</v>
      </c>
      <c r="B16" t="s">
        <v>244</v>
      </c>
      <c r="C16" s="17"/>
      <c r="D16" s="3"/>
      <c r="E16" s="3"/>
      <c r="F16" s="3"/>
      <c r="G16" s="3"/>
      <c r="H16" s="3"/>
    </row>
    <row r="17" spans="1:8" x14ac:dyDescent="0.25">
      <c r="A17" s="3" t="s">
        <v>6</v>
      </c>
      <c r="B17" t="s">
        <v>7</v>
      </c>
      <c r="C17" s="17"/>
      <c r="D17" s="3"/>
      <c r="E17" s="3"/>
      <c r="F17" s="3"/>
      <c r="G17" s="3"/>
      <c r="H17" s="3"/>
    </row>
    <row r="18" spans="1:8" x14ac:dyDescent="0.25">
      <c r="A18" s="1" t="s">
        <v>8</v>
      </c>
      <c r="B18" s="3"/>
      <c r="C18" s="17"/>
      <c r="D18" s="3"/>
      <c r="E18" s="3"/>
      <c r="F18" s="3"/>
      <c r="G18" s="3"/>
      <c r="H18" s="3"/>
    </row>
    <row r="19" spans="1:8" x14ac:dyDescent="0.25">
      <c r="A19" s="6" t="s">
        <v>5</v>
      </c>
      <c r="B19" s="6" t="s">
        <v>9</v>
      </c>
      <c r="C19" s="10" t="s">
        <v>10</v>
      </c>
      <c r="D19" s="6" t="s">
        <v>6</v>
      </c>
      <c r="E19" s="6" t="s">
        <v>2</v>
      </c>
      <c r="F19" s="6" t="s">
        <v>12</v>
      </c>
      <c r="G19" s="6" t="s">
        <v>11</v>
      </c>
      <c r="H19" s="7" t="s">
        <v>13</v>
      </c>
    </row>
    <row r="20" spans="1:8" x14ac:dyDescent="0.25">
      <c r="A20" t="s">
        <v>244</v>
      </c>
      <c r="B20" t="s">
        <v>244</v>
      </c>
      <c r="C20" s="11">
        <v>1</v>
      </c>
      <c r="D20" t="s">
        <v>7</v>
      </c>
      <c r="E20" t="s">
        <v>3</v>
      </c>
      <c r="F20" s="3"/>
      <c r="G20" s="29" t="s">
        <v>197</v>
      </c>
      <c r="H20" t="s">
        <v>14</v>
      </c>
    </row>
    <row r="21" spans="1:8" x14ac:dyDescent="0.25">
      <c r="A21" t="s">
        <v>168</v>
      </c>
      <c r="B21" t="s">
        <v>168</v>
      </c>
      <c r="C21" s="12">
        <v>0.74690000000000001</v>
      </c>
      <c r="D21" t="s">
        <v>7</v>
      </c>
      <c r="E21" t="s">
        <v>3</v>
      </c>
      <c r="G21" s="29" t="s">
        <v>197</v>
      </c>
      <c r="H21" s="34" t="s">
        <v>16</v>
      </c>
    </row>
    <row r="22" spans="1:8" x14ac:dyDescent="0.25">
      <c r="A22" t="s">
        <v>194</v>
      </c>
      <c r="B22" t="s">
        <v>194</v>
      </c>
      <c r="C22" s="11">
        <v>0.1013</v>
      </c>
      <c r="D22" t="s">
        <v>7</v>
      </c>
      <c r="E22" t="s">
        <v>3</v>
      </c>
      <c r="G22" s="29" t="s">
        <v>197</v>
      </c>
      <c r="H22" s="34" t="s">
        <v>16</v>
      </c>
    </row>
    <row r="23" spans="1:8" x14ac:dyDescent="0.25">
      <c r="A23" t="s">
        <v>245</v>
      </c>
      <c r="B23" t="s">
        <v>246</v>
      </c>
      <c r="C23" s="11">
        <v>0.46970000000000001</v>
      </c>
      <c r="D23" s="35" t="s">
        <v>7</v>
      </c>
      <c r="E23" t="s">
        <v>15</v>
      </c>
      <c r="G23" s="29" t="s">
        <v>238</v>
      </c>
      <c r="H23" s="34" t="s">
        <v>16</v>
      </c>
    </row>
    <row r="24" spans="1:8" x14ac:dyDescent="0.25">
      <c r="A24" t="s">
        <v>184</v>
      </c>
      <c r="B24" t="s">
        <v>183</v>
      </c>
      <c r="C24" s="11">
        <v>6.1986160194061453E-2</v>
      </c>
      <c r="D24" s="35" t="s">
        <v>7</v>
      </c>
      <c r="E24" t="s">
        <v>3</v>
      </c>
      <c r="G24" s="29" t="s">
        <v>238</v>
      </c>
      <c r="H24" s="34" t="s">
        <v>16</v>
      </c>
    </row>
    <row r="25" spans="1:8" x14ac:dyDescent="0.25">
      <c r="A25" t="s">
        <v>235</v>
      </c>
      <c r="B25" t="s">
        <v>236</v>
      </c>
      <c r="C25" s="11">
        <v>1.0096843754568836</v>
      </c>
      <c r="D25" s="35" t="s">
        <v>7</v>
      </c>
      <c r="E25" t="s">
        <v>15</v>
      </c>
      <c r="G25" s="29" t="s">
        <v>238</v>
      </c>
      <c r="H25" s="34" t="s">
        <v>16</v>
      </c>
    </row>
    <row r="26" spans="1:8" x14ac:dyDescent="0.25">
      <c r="A26" t="s">
        <v>165</v>
      </c>
      <c r="B26" t="s">
        <v>164</v>
      </c>
      <c r="C26" s="32">
        <v>-1.373048181564959E-3</v>
      </c>
      <c r="D26" t="s">
        <v>17</v>
      </c>
      <c r="E26" t="s">
        <v>15</v>
      </c>
      <c r="G26" t="s">
        <v>238</v>
      </c>
      <c r="H26" t="s">
        <v>16</v>
      </c>
    </row>
    <row r="27" spans="1:8" x14ac:dyDescent="0.25">
      <c r="A27" t="s">
        <v>84</v>
      </c>
      <c r="B27" t="s">
        <v>86</v>
      </c>
      <c r="C27" s="12">
        <v>0.10601597109018884</v>
      </c>
      <c r="D27" t="s">
        <v>87</v>
      </c>
      <c r="E27" t="s">
        <v>3</v>
      </c>
      <c r="G27" t="s">
        <v>238</v>
      </c>
      <c r="H27" t="s">
        <v>16</v>
      </c>
    </row>
    <row r="28" spans="1:8" x14ac:dyDescent="0.25">
      <c r="A28" t="s">
        <v>186</v>
      </c>
      <c r="B28" t="s">
        <v>186</v>
      </c>
      <c r="C28" s="11">
        <v>10.68162733556103</v>
      </c>
      <c r="D28" t="s">
        <v>30</v>
      </c>
      <c r="E28" t="s">
        <v>3</v>
      </c>
      <c r="G28" s="29" t="s">
        <v>197</v>
      </c>
      <c r="H28" t="s">
        <v>16</v>
      </c>
    </row>
    <row r="29" spans="1:8" x14ac:dyDescent="0.25">
      <c r="A29" s="3" t="s">
        <v>114</v>
      </c>
      <c r="B29" t="s">
        <v>113</v>
      </c>
      <c r="C29" s="11">
        <v>8.6128281394025912</v>
      </c>
      <c r="D29" s="3" t="s">
        <v>30</v>
      </c>
      <c r="E29" s="3" t="s">
        <v>15</v>
      </c>
      <c r="G29" t="s">
        <v>238</v>
      </c>
      <c r="H29" t="s">
        <v>16</v>
      </c>
    </row>
    <row r="30" spans="1:8" x14ac:dyDescent="0.25">
      <c r="B30" t="s">
        <v>201</v>
      </c>
      <c r="C30" s="11">
        <v>3.1835110521915189E-3</v>
      </c>
      <c r="D30" s="36" t="s">
        <v>7</v>
      </c>
      <c r="F30" t="s">
        <v>21</v>
      </c>
      <c r="G30" t="s">
        <v>189</v>
      </c>
      <c r="H30" s="14" t="s">
        <v>19</v>
      </c>
    </row>
    <row r="31" spans="1:8" x14ac:dyDescent="0.25">
      <c r="B31" t="s">
        <v>239</v>
      </c>
      <c r="C31" s="21">
        <v>4.9107766501493161E-4</v>
      </c>
      <c r="D31" s="36" t="s">
        <v>7</v>
      </c>
      <c r="F31" t="s">
        <v>21</v>
      </c>
      <c r="G31" t="s">
        <v>189</v>
      </c>
      <c r="H31" s="14" t="s">
        <v>19</v>
      </c>
    </row>
    <row r="32" spans="1:8" x14ac:dyDescent="0.25">
      <c r="B32" t="s">
        <v>199</v>
      </c>
      <c r="C32" s="11">
        <v>7.7094229521073535E-3</v>
      </c>
      <c r="D32" s="36" t="s">
        <v>7</v>
      </c>
      <c r="F32" t="s">
        <v>21</v>
      </c>
      <c r="G32" t="s">
        <v>189</v>
      </c>
      <c r="H32" s="14" t="s">
        <v>19</v>
      </c>
    </row>
    <row r="33" spans="1:8" x14ac:dyDescent="0.25">
      <c r="B33" t="s">
        <v>237</v>
      </c>
      <c r="C33" s="12">
        <v>3.7303461457314966E-3</v>
      </c>
      <c r="D33" s="36" t="s">
        <v>7</v>
      </c>
      <c r="F33" t="s">
        <v>21</v>
      </c>
      <c r="G33" t="s">
        <v>189</v>
      </c>
      <c r="H33" s="14" t="s">
        <v>19</v>
      </c>
    </row>
    <row r="34" spans="1:8" x14ac:dyDescent="0.25">
      <c r="B34" t="s">
        <v>247</v>
      </c>
      <c r="C34" s="12">
        <v>1.4297974483315288E-3</v>
      </c>
      <c r="D34" s="36" t="s">
        <v>7</v>
      </c>
      <c r="F34" t="s">
        <v>21</v>
      </c>
      <c r="G34" t="s">
        <v>189</v>
      </c>
      <c r="H34" s="14" t="s">
        <v>19</v>
      </c>
    </row>
    <row r="35" spans="1:8" x14ac:dyDescent="0.25">
      <c r="A35" s="2"/>
      <c r="B35" s="2"/>
      <c r="C35" s="18"/>
      <c r="D35" s="2"/>
      <c r="E35" s="2"/>
      <c r="F35" s="2"/>
      <c r="G35" s="2"/>
      <c r="H35" s="2"/>
    </row>
    <row r="36" spans="1:8" x14ac:dyDescent="0.25">
      <c r="A36" s="1" t="s">
        <v>0</v>
      </c>
      <c r="B36" s="8" t="s">
        <v>248</v>
      </c>
      <c r="C36" s="17"/>
      <c r="D36" s="3"/>
      <c r="E36" s="3"/>
      <c r="F36" s="3"/>
      <c r="G36" s="3"/>
      <c r="H36" s="3"/>
    </row>
    <row r="37" spans="1:8" x14ac:dyDescent="0.25">
      <c r="A37" s="3" t="s">
        <v>1</v>
      </c>
      <c r="B37" s="6"/>
      <c r="C37" s="17"/>
      <c r="D37" s="3"/>
      <c r="E37" s="3"/>
      <c r="F37" s="3"/>
      <c r="G37" s="3"/>
      <c r="H37" s="3"/>
    </row>
    <row r="38" spans="1:8" x14ac:dyDescent="0.25">
      <c r="A38" s="3" t="s">
        <v>2</v>
      </c>
      <c r="B38" t="s">
        <v>3</v>
      </c>
      <c r="C38" s="17"/>
      <c r="D38" s="3"/>
      <c r="E38" s="3"/>
      <c r="F38" s="3"/>
      <c r="G38" s="3"/>
      <c r="H38" s="3"/>
    </row>
    <row r="39" spans="1:8" x14ac:dyDescent="0.25">
      <c r="A39" s="3" t="s">
        <v>4</v>
      </c>
      <c r="B39" s="9">
        <v>1</v>
      </c>
      <c r="C39" s="17"/>
      <c r="D39" s="3"/>
      <c r="E39" s="3"/>
      <c r="F39" s="3"/>
      <c r="G39" s="3"/>
      <c r="H39" s="3"/>
    </row>
    <row r="40" spans="1:8" x14ac:dyDescent="0.25">
      <c r="A40" s="3" t="s">
        <v>5</v>
      </c>
      <c r="B40" t="s">
        <v>248</v>
      </c>
      <c r="C40" s="17"/>
      <c r="D40" s="3"/>
      <c r="E40" s="3"/>
      <c r="F40" s="3"/>
      <c r="G40" s="3"/>
      <c r="H40" s="3"/>
    </row>
    <row r="41" spans="1:8" x14ac:dyDescent="0.25">
      <c r="A41" s="3" t="s">
        <v>6</v>
      </c>
      <c r="B41" t="s">
        <v>7</v>
      </c>
      <c r="C41" s="17"/>
      <c r="D41" s="3"/>
      <c r="E41" s="3"/>
      <c r="F41" s="3"/>
      <c r="G41" s="3"/>
      <c r="H41" s="3"/>
    </row>
    <row r="42" spans="1:8" x14ac:dyDescent="0.25">
      <c r="A42" s="1" t="s">
        <v>8</v>
      </c>
      <c r="B42" s="3"/>
      <c r="C42" s="17"/>
      <c r="D42" s="3"/>
      <c r="E42" s="3"/>
      <c r="F42" s="3"/>
      <c r="G42" s="3"/>
      <c r="H42" s="3"/>
    </row>
    <row r="43" spans="1:8" x14ac:dyDescent="0.25">
      <c r="A43" s="6" t="s">
        <v>5</v>
      </c>
      <c r="B43" s="6" t="s">
        <v>9</v>
      </c>
      <c r="C43" s="10" t="s">
        <v>10</v>
      </c>
      <c r="D43" s="6" t="s">
        <v>6</v>
      </c>
      <c r="E43" s="6" t="s">
        <v>2</v>
      </c>
      <c r="F43" s="6" t="s">
        <v>12</v>
      </c>
      <c r="G43" s="6" t="s">
        <v>11</v>
      </c>
      <c r="H43" s="7" t="s">
        <v>13</v>
      </c>
    </row>
    <row r="44" spans="1:8" x14ac:dyDescent="0.25">
      <c r="A44" t="s">
        <v>248</v>
      </c>
      <c r="B44" t="s">
        <v>248</v>
      </c>
      <c r="C44" s="11">
        <v>1</v>
      </c>
      <c r="D44" t="s">
        <v>7</v>
      </c>
      <c r="E44" t="s">
        <v>3</v>
      </c>
      <c r="F44" s="3"/>
      <c r="G44" s="29" t="s">
        <v>197</v>
      </c>
      <c r="H44" t="s">
        <v>14</v>
      </c>
    </row>
    <row r="45" spans="1:8" x14ac:dyDescent="0.25">
      <c r="A45" t="s">
        <v>168</v>
      </c>
      <c r="B45" t="s">
        <v>168</v>
      </c>
      <c r="C45" s="12">
        <v>0.74690000000000001</v>
      </c>
      <c r="D45" t="s">
        <v>7</v>
      </c>
      <c r="E45" t="s">
        <v>3</v>
      </c>
      <c r="G45" s="29" t="s">
        <v>197</v>
      </c>
      <c r="H45" s="34" t="s">
        <v>16</v>
      </c>
    </row>
    <row r="46" spans="1:8" x14ac:dyDescent="0.25">
      <c r="A46" t="s">
        <v>194</v>
      </c>
      <c r="B46" t="s">
        <v>194</v>
      </c>
      <c r="C46" s="11">
        <v>0.1013</v>
      </c>
      <c r="D46" t="s">
        <v>7</v>
      </c>
      <c r="E46" t="s">
        <v>3</v>
      </c>
      <c r="G46" s="29" t="s">
        <v>197</v>
      </c>
      <c r="H46" s="34" t="s">
        <v>16</v>
      </c>
    </row>
    <row r="47" spans="1:8" x14ac:dyDescent="0.25">
      <c r="A47" t="s">
        <v>240</v>
      </c>
      <c r="B47" t="s">
        <v>240</v>
      </c>
      <c r="C47" s="11">
        <v>0.46970000000000001</v>
      </c>
      <c r="D47" s="35" t="s">
        <v>7</v>
      </c>
      <c r="E47" t="s">
        <v>3</v>
      </c>
      <c r="G47" s="29" t="s">
        <v>197</v>
      </c>
      <c r="H47" s="34" t="s">
        <v>16</v>
      </c>
    </row>
    <row r="48" spans="1:8" x14ac:dyDescent="0.25">
      <c r="A48" t="s">
        <v>184</v>
      </c>
      <c r="B48" t="s">
        <v>183</v>
      </c>
      <c r="C48" s="11">
        <v>6.1986160194061453E-2</v>
      </c>
      <c r="D48" s="35" t="s">
        <v>7</v>
      </c>
      <c r="E48" t="s">
        <v>3</v>
      </c>
      <c r="G48" s="29" t="s">
        <v>238</v>
      </c>
      <c r="H48" s="34" t="s">
        <v>16</v>
      </c>
    </row>
    <row r="49" spans="1:8" x14ac:dyDescent="0.25">
      <c r="A49" t="s">
        <v>235</v>
      </c>
      <c r="B49" t="s">
        <v>236</v>
      </c>
      <c r="C49" s="11">
        <v>1.0096843754568836</v>
      </c>
      <c r="D49" s="35" t="s">
        <v>7</v>
      </c>
      <c r="E49" t="s">
        <v>15</v>
      </c>
      <c r="G49" s="29" t="s">
        <v>238</v>
      </c>
      <c r="H49" s="34" t="s">
        <v>16</v>
      </c>
    </row>
    <row r="50" spans="1:8" x14ac:dyDescent="0.25">
      <c r="A50" t="s">
        <v>165</v>
      </c>
      <c r="B50" t="s">
        <v>164</v>
      </c>
      <c r="C50" s="32">
        <v>-1.373048181564959E-3</v>
      </c>
      <c r="D50" t="s">
        <v>17</v>
      </c>
      <c r="E50" t="s">
        <v>15</v>
      </c>
      <c r="G50" t="s">
        <v>238</v>
      </c>
      <c r="H50" t="s">
        <v>16</v>
      </c>
    </row>
    <row r="51" spans="1:8" x14ac:dyDescent="0.25">
      <c r="A51" t="s">
        <v>84</v>
      </c>
      <c r="B51" t="s">
        <v>86</v>
      </c>
      <c r="C51" s="12">
        <v>0.10601597109018884</v>
      </c>
      <c r="D51" t="s">
        <v>87</v>
      </c>
      <c r="E51" t="s">
        <v>3</v>
      </c>
      <c r="G51" t="s">
        <v>238</v>
      </c>
      <c r="H51" t="s">
        <v>16</v>
      </c>
    </row>
    <row r="52" spans="1:8" x14ac:dyDescent="0.25">
      <c r="A52" t="s">
        <v>186</v>
      </c>
      <c r="B52" t="s">
        <v>186</v>
      </c>
      <c r="C52" s="11">
        <v>10.68162733556103</v>
      </c>
      <c r="D52" t="s">
        <v>30</v>
      </c>
      <c r="E52" t="s">
        <v>3</v>
      </c>
      <c r="G52" s="29" t="s">
        <v>197</v>
      </c>
      <c r="H52" t="s">
        <v>16</v>
      </c>
    </row>
    <row r="53" spans="1:8" x14ac:dyDescent="0.25">
      <c r="A53" s="3" t="s">
        <v>114</v>
      </c>
      <c r="B53" t="s">
        <v>113</v>
      </c>
      <c r="C53" s="11">
        <v>8.6128281394025912</v>
      </c>
      <c r="D53" s="3" t="s">
        <v>30</v>
      </c>
      <c r="E53" s="3" t="s">
        <v>15</v>
      </c>
      <c r="G53" t="s">
        <v>238</v>
      </c>
      <c r="H53" t="s">
        <v>16</v>
      </c>
    </row>
    <row r="54" spans="1:8" x14ac:dyDescent="0.25">
      <c r="B54" t="s">
        <v>201</v>
      </c>
      <c r="C54" s="11">
        <v>3.1835110521915189E-3</v>
      </c>
      <c r="D54" s="36" t="s">
        <v>7</v>
      </c>
      <c r="F54" t="s">
        <v>21</v>
      </c>
      <c r="G54" t="s">
        <v>189</v>
      </c>
      <c r="H54" s="14" t="s">
        <v>19</v>
      </c>
    </row>
    <row r="55" spans="1:8" x14ac:dyDescent="0.25">
      <c r="B55" t="s">
        <v>239</v>
      </c>
      <c r="C55" s="21">
        <v>4.9107766501493161E-4</v>
      </c>
      <c r="D55" s="36" t="s">
        <v>7</v>
      </c>
      <c r="F55" t="s">
        <v>21</v>
      </c>
      <c r="G55" t="s">
        <v>189</v>
      </c>
      <c r="H55" s="14" t="s">
        <v>19</v>
      </c>
    </row>
    <row r="56" spans="1:8" x14ac:dyDescent="0.25">
      <c r="B56" t="s">
        <v>199</v>
      </c>
      <c r="C56" s="11">
        <v>7.7094229521073535E-3</v>
      </c>
      <c r="D56" s="36" t="s">
        <v>7</v>
      </c>
      <c r="F56" t="s">
        <v>21</v>
      </c>
      <c r="G56" t="s">
        <v>189</v>
      </c>
      <c r="H56" s="14" t="s">
        <v>19</v>
      </c>
    </row>
    <row r="57" spans="1:8" x14ac:dyDescent="0.25">
      <c r="B57" t="s">
        <v>237</v>
      </c>
      <c r="C57" s="12">
        <v>3.7303461457314966E-3</v>
      </c>
      <c r="D57" s="36" t="s">
        <v>7</v>
      </c>
      <c r="F57" t="s">
        <v>21</v>
      </c>
      <c r="G57" t="s">
        <v>189</v>
      </c>
      <c r="H57" s="14" t="s">
        <v>19</v>
      </c>
    </row>
    <row r="58" spans="1:8" x14ac:dyDescent="0.25">
      <c r="B58" t="s">
        <v>247</v>
      </c>
      <c r="C58" s="12">
        <v>1.4297974483315288E-3</v>
      </c>
      <c r="D58" s="36" t="s">
        <v>7</v>
      </c>
      <c r="F58" t="s">
        <v>21</v>
      </c>
      <c r="G58" t="s">
        <v>189</v>
      </c>
      <c r="H58" s="14" t="s">
        <v>19</v>
      </c>
    </row>
    <row r="59" spans="1:8" x14ac:dyDescent="0.25">
      <c r="A59" s="2"/>
      <c r="B59" s="2"/>
      <c r="C59" s="18"/>
      <c r="D59" s="2"/>
      <c r="E59" s="2"/>
      <c r="F59" s="2"/>
      <c r="G59" s="2"/>
      <c r="H59" s="2"/>
    </row>
    <row r="60" spans="1:8" x14ac:dyDescent="0.25">
      <c r="A60" s="1" t="s">
        <v>0</v>
      </c>
      <c r="B60" s="8" t="s">
        <v>249</v>
      </c>
      <c r="C60" s="17"/>
      <c r="D60" s="3"/>
      <c r="E60" s="3"/>
      <c r="F60" s="3"/>
      <c r="G60" s="3"/>
      <c r="H60" s="3"/>
    </row>
    <row r="61" spans="1:8" x14ac:dyDescent="0.25">
      <c r="A61" s="3" t="s">
        <v>1</v>
      </c>
      <c r="B61" s="6"/>
      <c r="C61" s="17"/>
      <c r="D61" s="3"/>
      <c r="E61" s="3"/>
      <c r="F61" s="3"/>
      <c r="G61" s="3"/>
      <c r="H61" s="3"/>
    </row>
    <row r="62" spans="1:8" x14ac:dyDescent="0.25">
      <c r="A62" s="3" t="s">
        <v>2</v>
      </c>
      <c r="B62" t="s">
        <v>3</v>
      </c>
      <c r="C62" s="17"/>
      <c r="D62" s="3"/>
      <c r="E62" s="3"/>
      <c r="F62" s="3"/>
      <c r="G62" s="3"/>
      <c r="H62" s="3"/>
    </row>
    <row r="63" spans="1:8" x14ac:dyDescent="0.25">
      <c r="A63" s="3" t="s">
        <v>4</v>
      </c>
      <c r="B63" s="9">
        <v>1</v>
      </c>
      <c r="C63" s="17"/>
      <c r="D63" s="3"/>
      <c r="E63" s="3"/>
      <c r="F63" s="3"/>
      <c r="G63" s="3"/>
      <c r="H63" s="3"/>
    </row>
    <row r="64" spans="1:8" x14ac:dyDescent="0.25">
      <c r="A64" s="3" t="s">
        <v>5</v>
      </c>
      <c r="B64" t="s">
        <v>249</v>
      </c>
      <c r="C64" s="17"/>
      <c r="D64" s="3"/>
      <c r="E64" s="3"/>
      <c r="F64" s="3"/>
      <c r="G64" s="3"/>
      <c r="H64" s="3"/>
    </row>
    <row r="65" spans="1:8" x14ac:dyDescent="0.25">
      <c r="A65" s="3" t="s">
        <v>6</v>
      </c>
      <c r="B65" t="s">
        <v>7</v>
      </c>
      <c r="C65" s="17"/>
      <c r="D65" s="3"/>
      <c r="E65" s="3"/>
      <c r="F65" s="3"/>
      <c r="G65" s="3"/>
      <c r="H65" s="3"/>
    </row>
    <row r="66" spans="1:8" x14ac:dyDescent="0.25">
      <c r="A66" s="1" t="s">
        <v>8</v>
      </c>
      <c r="B66" s="3"/>
      <c r="C66" s="17"/>
      <c r="D66" s="3"/>
      <c r="E66" s="3"/>
      <c r="F66" s="3"/>
      <c r="G66" s="3"/>
      <c r="H66" s="3"/>
    </row>
    <row r="67" spans="1:8" x14ac:dyDescent="0.25">
      <c r="A67" s="6" t="s">
        <v>5</v>
      </c>
      <c r="B67" s="6" t="s">
        <v>9</v>
      </c>
      <c r="C67" s="10" t="s">
        <v>10</v>
      </c>
      <c r="D67" s="6" t="s">
        <v>6</v>
      </c>
      <c r="E67" s="6" t="s">
        <v>2</v>
      </c>
      <c r="F67" s="6" t="s">
        <v>12</v>
      </c>
      <c r="G67" s="6" t="s">
        <v>11</v>
      </c>
      <c r="H67" s="7" t="s">
        <v>13</v>
      </c>
    </row>
    <row r="68" spans="1:8" x14ac:dyDescent="0.25">
      <c r="A68" t="s">
        <v>249</v>
      </c>
      <c r="B68" t="s">
        <v>249</v>
      </c>
      <c r="C68" s="11">
        <v>1</v>
      </c>
      <c r="D68" t="s">
        <v>7</v>
      </c>
      <c r="E68" t="s">
        <v>3</v>
      </c>
      <c r="F68" s="3"/>
      <c r="G68" s="29" t="s">
        <v>197</v>
      </c>
      <c r="H68" t="s">
        <v>14</v>
      </c>
    </row>
    <row r="69" spans="1:8" x14ac:dyDescent="0.25">
      <c r="A69" t="s">
        <v>204</v>
      </c>
      <c r="B69" s="6" t="s">
        <v>234</v>
      </c>
      <c r="C69" s="11">
        <f>0.429162420504566/1.2518</f>
        <v>0.34283625220048408</v>
      </c>
      <c r="D69" t="s">
        <v>17</v>
      </c>
      <c r="E69" t="s">
        <v>3</v>
      </c>
      <c r="F69" s="3"/>
      <c r="G69" s="29" t="s">
        <v>197</v>
      </c>
      <c r="H69" s="34" t="s">
        <v>16</v>
      </c>
    </row>
    <row r="70" spans="1:8" x14ac:dyDescent="0.25">
      <c r="A70" t="s">
        <v>168</v>
      </c>
      <c r="B70" t="s">
        <v>168</v>
      </c>
      <c r="C70" s="12">
        <v>8.4072281848774813E-2</v>
      </c>
      <c r="D70" t="s">
        <v>7</v>
      </c>
      <c r="E70" t="s">
        <v>3</v>
      </c>
      <c r="G70" s="29" t="s">
        <v>197</v>
      </c>
      <c r="H70" s="34" t="s">
        <v>16</v>
      </c>
    </row>
    <row r="71" spans="1:8" x14ac:dyDescent="0.25">
      <c r="A71" t="s">
        <v>194</v>
      </c>
      <c r="B71" t="s">
        <v>194</v>
      </c>
      <c r="C71" s="11">
        <v>3.4406402292063668E-2</v>
      </c>
      <c r="D71" t="s">
        <v>7</v>
      </c>
      <c r="E71" t="s">
        <v>3</v>
      </c>
      <c r="G71" s="29" t="s">
        <v>197</v>
      </c>
      <c r="H71" s="34" t="s">
        <v>16</v>
      </c>
    </row>
    <row r="72" spans="1:8" x14ac:dyDescent="0.25">
      <c r="A72" t="s">
        <v>245</v>
      </c>
      <c r="B72" t="s">
        <v>246</v>
      </c>
      <c r="C72" s="11">
        <v>0.46892474241359761</v>
      </c>
      <c r="D72" s="35" t="s">
        <v>7</v>
      </c>
      <c r="E72" t="s">
        <v>15</v>
      </c>
      <c r="G72" s="29" t="s">
        <v>238</v>
      </c>
      <c r="H72" s="34" t="s">
        <v>16</v>
      </c>
    </row>
    <row r="73" spans="1:8" x14ac:dyDescent="0.25">
      <c r="A73" t="s">
        <v>184</v>
      </c>
      <c r="B73" t="s">
        <v>183</v>
      </c>
      <c r="C73" s="11">
        <v>8.2415447123467735E-3</v>
      </c>
      <c r="D73" s="35" t="s">
        <v>7</v>
      </c>
      <c r="E73" t="s">
        <v>3</v>
      </c>
      <c r="G73" s="29" t="s">
        <v>238</v>
      </c>
      <c r="H73" s="34" t="s">
        <v>16</v>
      </c>
    </row>
    <row r="74" spans="1:8" x14ac:dyDescent="0.25">
      <c r="A74" t="s">
        <v>235</v>
      </c>
      <c r="B74" t="s">
        <v>236</v>
      </c>
      <c r="C74" s="11">
        <v>0.14033639148759799</v>
      </c>
      <c r="D74" s="35" t="s">
        <v>7</v>
      </c>
      <c r="E74" t="s">
        <v>15</v>
      </c>
      <c r="G74" s="29" t="s">
        <v>238</v>
      </c>
      <c r="H74" s="34" t="s">
        <v>16</v>
      </c>
    </row>
    <row r="75" spans="1:8" x14ac:dyDescent="0.25">
      <c r="A75" t="s">
        <v>165</v>
      </c>
      <c r="B75" t="s">
        <v>164</v>
      </c>
      <c r="C75" s="21">
        <v>-1.5016213007088301E-4</v>
      </c>
      <c r="D75" t="s">
        <v>17</v>
      </c>
      <c r="E75" t="s">
        <v>15</v>
      </c>
      <c r="G75" t="s">
        <v>238</v>
      </c>
      <c r="H75" t="s">
        <v>16</v>
      </c>
    </row>
    <row r="76" spans="1:8" x14ac:dyDescent="0.25">
      <c r="A76" t="s">
        <v>84</v>
      </c>
      <c r="B76" t="s">
        <v>86</v>
      </c>
      <c r="C76" s="12">
        <v>0.1883168660814698</v>
      </c>
      <c r="D76" t="s">
        <v>87</v>
      </c>
      <c r="E76" t="s">
        <v>3</v>
      </c>
      <c r="G76" t="s">
        <v>238</v>
      </c>
      <c r="H76" t="s">
        <v>16</v>
      </c>
    </row>
    <row r="77" spans="1:8" x14ac:dyDescent="0.25">
      <c r="A77" t="s">
        <v>186</v>
      </c>
      <c r="B77" t="s">
        <v>186</v>
      </c>
      <c r="C77" s="11">
        <v>4.083466155073495</v>
      </c>
      <c r="D77" t="s">
        <v>30</v>
      </c>
      <c r="E77" t="s">
        <v>3</v>
      </c>
      <c r="G77" s="29" t="s">
        <v>197</v>
      </c>
      <c r="H77" t="s">
        <v>16</v>
      </c>
    </row>
    <row r="78" spans="1:8" x14ac:dyDescent="0.25">
      <c r="A78" s="3" t="s">
        <v>114</v>
      </c>
      <c r="B78" t="s">
        <v>113</v>
      </c>
      <c r="C78" s="11">
        <v>4.3343289702252727</v>
      </c>
      <c r="D78" s="3" t="s">
        <v>30</v>
      </c>
      <c r="E78" s="3" t="s">
        <v>15</v>
      </c>
      <c r="G78" t="s">
        <v>238</v>
      </c>
      <c r="H78" t="s">
        <v>16</v>
      </c>
    </row>
    <row r="79" spans="1:8" x14ac:dyDescent="0.25">
      <c r="B79" t="s">
        <v>201</v>
      </c>
      <c r="C79" s="11">
        <v>4.5694302004602727E-3</v>
      </c>
      <c r="D79" s="36" t="s">
        <v>7</v>
      </c>
      <c r="F79" t="s">
        <v>21</v>
      </c>
      <c r="G79" t="s">
        <v>189</v>
      </c>
      <c r="H79" s="14" t="s">
        <v>19</v>
      </c>
    </row>
    <row r="80" spans="1:8" x14ac:dyDescent="0.25">
      <c r="B80" t="s">
        <v>239</v>
      </c>
      <c r="C80" s="21">
        <v>5.706503096220922E-5</v>
      </c>
      <c r="D80" s="36" t="s">
        <v>7</v>
      </c>
      <c r="F80" t="s">
        <v>21</v>
      </c>
      <c r="G80" t="s">
        <v>189</v>
      </c>
      <c r="H80" s="14" t="s">
        <v>19</v>
      </c>
    </row>
    <row r="81" spans="1:8" x14ac:dyDescent="0.25">
      <c r="B81" t="s">
        <v>237</v>
      </c>
      <c r="C81" s="11">
        <v>2.775965644824999E-3</v>
      </c>
      <c r="D81" s="36" t="s">
        <v>7</v>
      </c>
      <c r="F81" t="s">
        <v>21</v>
      </c>
      <c r="G81" t="s">
        <v>189</v>
      </c>
      <c r="H81" s="14" t="s">
        <v>19</v>
      </c>
    </row>
    <row r="82" spans="1:8" x14ac:dyDescent="0.25">
      <c r="B82" t="s">
        <v>247</v>
      </c>
      <c r="C82" s="11">
        <v>6.2831066135816092E-4</v>
      </c>
      <c r="D82" s="36" t="s">
        <v>7</v>
      </c>
      <c r="F82" t="s">
        <v>21</v>
      </c>
      <c r="G82" t="s">
        <v>189</v>
      </c>
      <c r="H82" s="14" t="s">
        <v>19</v>
      </c>
    </row>
    <row r="83" spans="1:8" x14ac:dyDescent="0.25">
      <c r="B83" t="s">
        <v>216</v>
      </c>
      <c r="C83" s="11">
        <v>6.9391146852949524E-3</v>
      </c>
      <c r="D83" s="36" t="s">
        <v>7</v>
      </c>
      <c r="F83" t="s">
        <v>21</v>
      </c>
      <c r="G83" t="s">
        <v>189</v>
      </c>
      <c r="H83" s="14" t="s">
        <v>19</v>
      </c>
    </row>
    <row r="84" spans="1:8" x14ac:dyDescent="0.25">
      <c r="A84" s="2"/>
      <c r="B84" s="2"/>
      <c r="C84" s="18"/>
      <c r="D84" s="2"/>
      <c r="E84" s="2"/>
      <c r="F84" s="2"/>
      <c r="G84" s="2"/>
      <c r="H84" s="2"/>
    </row>
    <row r="85" spans="1:8" x14ac:dyDescent="0.25">
      <c r="A85" s="1" t="s">
        <v>0</v>
      </c>
      <c r="B85" s="8" t="s">
        <v>250</v>
      </c>
      <c r="C85" s="17"/>
      <c r="D85" s="3"/>
      <c r="E85" s="3"/>
      <c r="F85" s="3"/>
      <c r="G85" s="3"/>
      <c r="H85" s="3"/>
    </row>
    <row r="86" spans="1:8" x14ac:dyDescent="0.25">
      <c r="A86" s="3" t="s">
        <v>1</v>
      </c>
      <c r="B86" s="6"/>
      <c r="C86" s="17"/>
      <c r="D86" s="3"/>
      <c r="E86" s="3"/>
      <c r="F86" s="3"/>
      <c r="G86" s="3"/>
      <c r="H86" s="3"/>
    </row>
    <row r="87" spans="1:8" x14ac:dyDescent="0.25">
      <c r="A87" s="3" t="s">
        <v>2</v>
      </c>
      <c r="B87" t="s">
        <v>3</v>
      </c>
      <c r="C87" s="17"/>
      <c r="D87" s="3"/>
      <c r="E87" s="3"/>
      <c r="F87" s="3"/>
      <c r="G87" s="3"/>
      <c r="H87" s="3"/>
    </row>
    <row r="88" spans="1:8" x14ac:dyDescent="0.25">
      <c r="A88" s="3" t="s">
        <v>4</v>
      </c>
      <c r="B88" s="9">
        <v>1</v>
      </c>
      <c r="C88" s="17"/>
      <c r="D88" s="3"/>
      <c r="E88" s="3"/>
      <c r="F88" s="3"/>
      <c r="G88" s="3"/>
      <c r="H88" s="3"/>
    </row>
    <row r="89" spans="1:8" x14ac:dyDescent="0.25">
      <c r="A89" s="3" t="s">
        <v>5</v>
      </c>
      <c r="B89" t="s">
        <v>250</v>
      </c>
      <c r="C89" s="17"/>
      <c r="D89" s="3"/>
      <c r="E89" s="3"/>
      <c r="F89" s="3"/>
      <c r="G89" s="3"/>
      <c r="H89" s="3"/>
    </row>
    <row r="90" spans="1:8" x14ac:dyDescent="0.25">
      <c r="A90" s="3" t="s">
        <v>6</v>
      </c>
      <c r="B90" t="s">
        <v>7</v>
      </c>
      <c r="C90" s="17"/>
      <c r="D90" s="3"/>
      <c r="E90" s="3"/>
      <c r="F90" s="3"/>
      <c r="G90" s="3"/>
      <c r="H90" s="3"/>
    </row>
    <row r="91" spans="1:8" x14ac:dyDescent="0.25">
      <c r="A91" s="1" t="s">
        <v>8</v>
      </c>
      <c r="B91" s="3"/>
      <c r="C91" s="17"/>
      <c r="D91" s="3"/>
      <c r="E91" s="3"/>
      <c r="F91" s="3"/>
      <c r="G91" s="3"/>
      <c r="H91" s="3"/>
    </row>
    <row r="92" spans="1:8" x14ac:dyDescent="0.25">
      <c r="A92" s="6" t="s">
        <v>5</v>
      </c>
      <c r="B92" s="6" t="s">
        <v>9</v>
      </c>
      <c r="C92" s="10" t="s">
        <v>10</v>
      </c>
      <c r="D92" s="6" t="s">
        <v>6</v>
      </c>
      <c r="E92" s="6" t="s">
        <v>2</v>
      </c>
      <c r="F92" s="6" t="s">
        <v>12</v>
      </c>
      <c r="G92" s="6" t="s">
        <v>11</v>
      </c>
      <c r="H92" s="7" t="s">
        <v>13</v>
      </c>
    </row>
    <row r="93" spans="1:8" x14ac:dyDescent="0.25">
      <c r="A93" t="s">
        <v>250</v>
      </c>
      <c r="B93" t="s">
        <v>250</v>
      </c>
      <c r="C93" s="11">
        <v>1</v>
      </c>
      <c r="D93" t="s">
        <v>7</v>
      </c>
      <c r="E93" t="s">
        <v>3</v>
      </c>
      <c r="F93" s="3"/>
      <c r="G93" s="29" t="s">
        <v>197</v>
      </c>
      <c r="H93" t="s">
        <v>14</v>
      </c>
    </row>
    <row r="94" spans="1:8" x14ac:dyDescent="0.25">
      <c r="A94" t="s">
        <v>204</v>
      </c>
      <c r="B94" s="6" t="s">
        <v>234</v>
      </c>
      <c r="C94" s="11">
        <f>0.429162420504566/1.2518</f>
        <v>0.34283625220048408</v>
      </c>
      <c r="D94" t="s">
        <v>17</v>
      </c>
      <c r="E94" t="s">
        <v>3</v>
      </c>
      <c r="F94" s="3"/>
      <c r="G94" s="29" t="s">
        <v>197</v>
      </c>
      <c r="H94" s="34" t="s">
        <v>16</v>
      </c>
    </row>
    <row r="95" spans="1:8" x14ac:dyDescent="0.25">
      <c r="A95" t="s">
        <v>168</v>
      </c>
      <c r="B95" t="s">
        <v>168</v>
      </c>
      <c r="C95" s="12">
        <v>8.4072281848774813E-2</v>
      </c>
      <c r="D95" t="s">
        <v>7</v>
      </c>
      <c r="E95" t="s">
        <v>3</v>
      </c>
      <c r="G95" s="29" t="s">
        <v>197</v>
      </c>
      <c r="H95" s="34" t="s">
        <v>16</v>
      </c>
    </row>
    <row r="96" spans="1:8" x14ac:dyDescent="0.25">
      <c r="A96" t="s">
        <v>194</v>
      </c>
      <c r="B96" t="s">
        <v>194</v>
      </c>
      <c r="C96" s="11">
        <v>3.4406402292063668E-2</v>
      </c>
      <c r="D96" t="s">
        <v>7</v>
      </c>
      <c r="E96" t="s">
        <v>3</v>
      </c>
      <c r="G96" s="29" t="s">
        <v>197</v>
      </c>
      <c r="H96" s="34" t="s">
        <v>16</v>
      </c>
    </row>
    <row r="97" spans="1:8" x14ac:dyDescent="0.25">
      <c r="A97" t="s">
        <v>240</v>
      </c>
      <c r="B97" t="s">
        <v>240</v>
      </c>
      <c r="C97" s="11">
        <v>0.46892474241359761</v>
      </c>
      <c r="D97" s="35" t="s">
        <v>7</v>
      </c>
      <c r="E97" t="s">
        <v>3</v>
      </c>
      <c r="G97" s="29" t="s">
        <v>197</v>
      </c>
      <c r="H97" s="34" t="s">
        <v>16</v>
      </c>
    </row>
    <row r="98" spans="1:8" x14ac:dyDescent="0.25">
      <c r="A98" t="s">
        <v>184</v>
      </c>
      <c r="B98" t="s">
        <v>183</v>
      </c>
      <c r="C98" s="11">
        <v>8.2415447123467735E-3</v>
      </c>
      <c r="D98" s="35" t="s">
        <v>7</v>
      </c>
      <c r="E98" t="s">
        <v>3</v>
      </c>
      <c r="G98" s="29" t="s">
        <v>238</v>
      </c>
      <c r="H98" s="34" t="s">
        <v>16</v>
      </c>
    </row>
    <row r="99" spans="1:8" x14ac:dyDescent="0.25">
      <c r="A99" t="s">
        <v>235</v>
      </c>
      <c r="B99" t="s">
        <v>236</v>
      </c>
      <c r="C99" s="11">
        <v>0.14033639148759799</v>
      </c>
      <c r="D99" s="35" t="s">
        <v>7</v>
      </c>
      <c r="E99" t="s">
        <v>15</v>
      </c>
      <c r="G99" s="29" t="s">
        <v>238</v>
      </c>
      <c r="H99" s="34" t="s">
        <v>16</v>
      </c>
    </row>
    <row r="100" spans="1:8" x14ac:dyDescent="0.25">
      <c r="A100" t="s">
        <v>165</v>
      </c>
      <c r="B100" t="s">
        <v>164</v>
      </c>
      <c r="C100" s="21">
        <v>-1.5016213007088301E-4</v>
      </c>
      <c r="D100" t="s">
        <v>17</v>
      </c>
      <c r="E100" t="s">
        <v>15</v>
      </c>
      <c r="G100" t="s">
        <v>238</v>
      </c>
      <c r="H100" t="s">
        <v>16</v>
      </c>
    </row>
    <row r="101" spans="1:8" x14ac:dyDescent="0.25">
      <c r="A101" t="s">
        <v>84</v>
      </c>
      <c r="B101" t="s">
        <v>86</v>
      </c>
      <c r="C101" s="12">
        <v>0.1883168660814698</v>
      </c>
      <c r="D101" t="s">
        <v>87</v>
      </c>
      <c r="E101" t="s">
        <v>3</v>
      </c>
      <c r="G101" t="s">
        <v>238</v>
      </c>
      <c r="H101" t="s">
        <v>16</v>
      </c>
    </row>
    <row r="102" spans="1:8" x14ac:dyDescent="0.25">
      <c r="A102" t="s">
        <v>186</v>
      </c>
      <c r="B102" t="s">
        <v>186</v>
      </c>
      <c r="C102" s="11">
        <v>4.083466155073495</v>
      </c>
      <c r="D102" t="s">
        <v>30</v>
      </c>
      <c r="E102" t="s">
        <v>3</v>
      </c>
      <c r="G102" s="29" t="s">
        <v>197</v>
      </c>
      <c r="H102" t="s">
        <v>16</v>
      </c>
    </row>
    <row r="103" spans="1:8" x14ac:dyDescent="0.25">
      <c r="A103" s="3" t="s">
        <v>114</v>
      </c>
      <c r="B103" t="s">
        <v>113</v>
      </c>
      <c r="C103" s="11">
        <v>4.3343289702252727</v>
      </c>
      <c r="D103" s="3" t="s">
        <v>30</v>
      </c>
      <c r="E103" s="3" t="s">
        <v>15</v>
      </c>
      <c r="G103" t="s">
        <v>238</v>
      </c>
      <c r="H103" t="s">
        <v>16</v>
      </c>
    </row>
    <row r="104" spans="1:8" x14ac:dyDescent="0.25">
      <c r="B104" t="s">
        <v>201</v>
      </c>
      <c r="C104" s="11">
        <v>4.5694302004602727E-3</v>
      </c>
      <c r="D104" s="36" t="s">
        <v>7</v>
      </c>
      <c r="F104" t="s">
        <v>21</v>
      </c>
      <c r="G104" t="s">
        <v>189</v>
      </c>
      <c r="H104" s="14" t="s">
        <v>19</v>
      </c>
    </row>
    <row r="105" spans="1:8" x14ac:dyDescent="0.25">
      <c r="B105" t="s">
        <v>239</v>
      </c>
      <c r="C105" s="21">
        <v>5.706503096220922E-5</v>
      </c>
      <c r="D105" s="36" t="s">
        <v>7</v>
      </c>
      <c r="F105" t="s">
        <v>21</v>
      </c>
      <c r="G105" t="s">
        <v>189</v>
      </c>
      <c r="H105" s="14" t="s">
        <v>19</v>
      </c>
    </row>
    <row r="106" spans="1:8" x14ac:dyDescent="0.25">
      <c r="B106" t="s">
        <v>237</v>
      </c>
      <c r="C106" s="11">
        <v>2.775965644824999E-3</v>
      </c>
      <c r="D106" s="36" t="s">
        <v>7</v>
      </c>
      <c r="F106" t="s">
        <v>21</v>
      </c>
      <c r="G106" t="s">
        <v>189</v>
      </c>
      <c r="H106" s="14" t="s">
        <v>19</v>
      </c>
    </row>
    <row r="107" spans="1:8" x14ac:dyDescent="0.25">
      <c r="B107" t="s">
        <v>247</v>
      </c>
      <c r="C107" s="11">
        <v>6.2831066135816092E-4</v>
      </c>
      <c r="D107" s="36" t="s">
        <v>7</v>
      </c>
      <c r="F107" t="s">
        <v>21</v>
      </c>
      <c r="G107" t="s">
        <v>189</v>
      </c>
      <c r="H107" s="14" t="s">
        <v>19</v>
      </c>
    </row>
    <row r="108" spans="1:8" x14ac:dyDescent="0.25">
      <c r="B108" t="s">
        <v>216</v>
      </c>
      <c r="C108" s="11">
        <v>6.9391146852949524E-3</v>
      </c>
      <c r="D108" s="36" t="s">
        <v>7</v>
      </c>
      <c r="F108" t="s">
        <v>21</v>
      </c>
      <c r="G108" t="s">
        <v>189</v>
      </c>
      <c r="H108" s="14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hydrogen</vt:lpstr>
      <vt:lpstr>carbon dioxide</vt:lpstr>
      <vt:lpstr>methanol</vt:lpstr>
      <vt:lpstr>methanol-to-olefins</vt:lpstr>
      <vt:lpstr>biogas</vt:lpstr>
      <vt:lpstr>propanol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2025-06-23T12:54:37Z</dcterms:modified>
</cp:coreProperties>
</file>