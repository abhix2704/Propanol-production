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Ongoing projects\Propanol production\writing\"/>
    </mc:Choice>
  </mc:AlternateContent>
  <xr:revisionPtr revIDLastSave="0" documentId="13_ncr:1_{DD5A2C1B-06F4-4E7C-B02E-C43F1339381A}" xr6:coauthVersionLast="36" xr6:coauthVersionMax="36" xr10:uidLastSave="{00000000-0000-0000-0000-000000000000}"/>
  <bookViews>
    <workbookView xWindow="0" yWindow="0" windowWidth="28800" windowHeight="13125" xr2:uid="{D77382F8-9761-4379-B411-63A86453BD1C}"/>
  </bookViews>
  <sheets>
    <sheet name="economics" sheetId="1" r:id="rId1"/>
    <sheet name="climate_chang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5" i="2"/>
  <c r="H4" i="2"/>
  <c r="H6" i="2"/>
  <c r="J6" i="2" s="1"/>
  <c r="L3" i="2" l="1"/>
  <c r="J3" i="2"/>
  <c r="L5" i="2"/>
  <c r="J5" i="2"/>
  <c r="J4" i="2"/>
  <c r="L4" i="2"/>
  <c r="I5" i="2"/>
  <c r="L6" i="2"/>
  <c r="I6" i="2"/>
  <c r="I3" i="2"/>
  <c r="I4" i="2"/>
  <c r="H2" i="2"/>
  <c r="L2" i="2" l="1"/>
  <c r="J2" i="2"/>
  <c r="I2" i="2"/>
  <c r="H3" i="1"/>
  <c r="H5" i="1"/>
  <c r="H4" i="1"/>
  <c r="H6" i="1"/>
  <c r="H2" i="1"/>
</calcChain>
</file>

<file path=xl/sharedStrings.xml><?xml version="1.0" encoding="utf-8"?>
<sst xmlns="http://schemas.openxmlformats.org/spreadsheetml/2006/main" count="32" uniqueCount="18">
  <si>
    <t>Natural gas</t>
  </si>
  <si>
    <t>Carbon dioxide</t>
  </si>
  <si>
    <t>Hydrogen</t>
  </si>
  <si>
    <t>Utilities</t>
  </si>
  <si>
    <t>CAPEX</t>
  </si>
  <si>
    <t>Fossil</t>
  </si>
  <si>
    <t>DAC CO2 + wind H2 + fossil C2H2</t>
  </si>
  <si>
    <t>DAC CO2 + wind H2 + green C2H2</t>
  </si>
  <si>
    <t>Biogas + fossil C2H2</t>
  </si>
  <si>
    <t>Biogas + green C2H2</t>
  </si>
  <si>
    <t>Total</t>
  </si>
  <si>
    <t>Scenario</t>
  </si>
  <si>
    <t>Ethylene</t>
  </si>
  <si>
    <t>Low</t>
  </si>
  <si>
    <t>High</t>
  </si>
  <si>
    <t>2050 Total</t>
  </si>
  <si>
    <t>Natural gas or Biogas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</si>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</sst>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7A18-D287-48C2-B051-876A3A4C70BF}">
  <dimension ref="A1:J6"/>
  <sheetViews>
    <sheetView tabSelected="1" workbookViewId="0">
      <selection activeCell="R13" sqref="R13"/>
    </sheetView>
  </sheetViews>
  <sheetFormatPr defaultRowHeight="15" x14ac:dyDescent="0.25"/>
  <cols>
    <col min="1" max="1" width="32.42578125" bestFit="1" customWidth="1"/>
    <col min="2" max="2" width="19.5703125" bestFit="1" customWidth="1"/>
    <col min="3" max="3" width="14.5703125" bestFit="1" customWidth="1"/>
    <col min="4" max="5" width="9.5703125" bestFit="1" customWidth="1"/>
    <col min="6" max="7" width="8.5703125" bestFit="1" customWidth="1"/>
    <col min="8" max="8" width="9.5703125" bestFit="1" customWidth="1"/>
  </cols>
  <sheetData>
    <row r="1" spans="1:10" x14ac:dyDescent="0.25">
      <c r="A1" s="2" t="s">
        <v>11</v>
      </c>
      <c r="B1" s="2" t="s">
        <v>16</v>
      </c>
      <c r="C1" s="2" t="s">
        <v>1</v>
      </c>
      <c r="D1" s="2" t="s">
        <v>2</v>
      </c>
      <c r="E1" s="2" t="s">
        <v>12</v>
      </c>
      <c r="F1" s="2" t="s">
        <v>3</v>
      </c>
      <c r="G1" s="2" t="s">
        <v>4</v>
      </c>
      <c r="H1" s="2" t="s">
        <v>10</v>
      </c>
      <c r="I1" s="3" t="s">
        <v>13</v>
      </c>
      <c r="J1" s="3" t="s">
        <v>14</v>
      </c>
    </row>
    <row r="2" spans="1:10" x14ac:dyDescent="0.25">
      <c r="A2" s="2" t="s">
        <v>5</v>
      </c>
      <c r="B2" s="1">
        <v>0.1639741356888037</v>
      </c>
      <c r="C2" s="1">
        <v>0</v>
      </c>
      <c r="D2" s="1">
        <v>0</v>
      </c>
      <c r="E2" s="1">
        <v>0.8066112446143745</v>
      </c>
      <c r="F2" s="1">
        <v>0.10297539281856939</v>
      </c>
      <c r="G2" s="1">
        <v>0.10739958882913528</v>
      </c>
      <c r="H2" s="4">
        <f>SUM(B2:G2)</f>
        <v>1.1809603619508828</v>
      </c>
      <c r="I2" s="1">
        <v>1.0803790112187222</v>
      </c>
      <c r="J2" s="1">
        <v>1.2451533059348032</v>
      </c>
    </row>
    <row r="3" spans="1:10" x14ac:dyDescent="0.25">
      <c r="A3" s="2" t="s">
        <v>6</v>
      </c>
      <c r="B3" s="1">
        <v>0</v>
      </c>
      <c r="C3" s="1">
        <v>0.15633262054030686</v>
      </c>
      <c r="D3" s="1">
        <v>0.46880922543506198</v>
      </c>
      <c r="E3" s="1">
        <v>0.81275714274219735</v>
      </c>
      <c r="F3" s="1">
        <v>0.20324861873976244</v>
      </c>
      <c r="G3" s="1">
        <v>0.1967806865582607</v>
      </c>
      <c r="H3" s="4">
        <f>SUM(B3:G3)</f>
        <v>1.8379282940155892</v>
      </c>
      <c r="I3" s="1">
        <v>1.748641599207696</v>
      </c>
      <c r="J3" s="1">
        <v>2.8931745085427627</v>
      </c>
    </row>
    <row r="4" spans="1:10" x14ac:dyDescent="0.25">
      <c r="A4" s="2" t="s">
        <v>8</v>
      </c>
      <c r="B4" s="1">
        <v>0.1108353954068569</v>
      </c>
      <c r="C4" s="1">
        <v>0</v>
      </c>
      <c r="D4" s="1">
        <v>0</v>
      </c>
      <c r="E4" s="1">
        <v>0.80135951108494496</v>
      </c>
      <c r="F4" s="1">
        <v>0.27265404071614058</v>
      </c>
      <c r="G4" s="1">
        <v>0.14080960219338146</v>
      </c>
      <c r="H4" s="4">
        <f>SUM(B4:G4)</f>
        <v>1.3256585494013238</v>
      </c>
      <c r="I4" s="1">
        <v>1.2976332130788846</v>
      </c>
      <c r="J4" s="1">
        <v>1.4483615132246905</v>
      </c>
    </row>
    <row r="5" spans="1:10" x14ac:dyDescent="0.25">
      <c r="A5" s="2" t="s">
        <v>7</v>
      </c>
      <c r="B5" s="1">
        <v>0</v>
      </c>
      <c r="C5" s="1">
        <v>0.15633262054030686</v>
      </c>
      <c r="D5" s="1">
        <v>0.46880922543506198</v>
      </c>
      <c r="E5" s="1">
        <v>1.6343144401621912</v>
      </c>
      <c r="F5" s="1">
        <v>0.20324861873976244</v>
      </c>
      <c r="G5" s="1">
        <v>0.1967806865582607</v>
      </c>
      <c r="H5" s="4">
        <f>SUM(B5:G5)</f>
        <v>2.6594855914355833</v>
      </c>
      <c r="I5" s="1">
        <v>2.1301911627378693</v>
      </c>
      <c r="J5" s="1">
        <v>4.280456035249669</v>
      </c>
    </row>
    <row r="6" spans="1:10" x14ac:dyDescent="0.25">
      <c r="A6" s="2" t="s">
        <v>9</v>
      </c>
      <c r="B6" s="1">
        <v>0.1108353954068569</v>
      </c>
      <c r="C6" s="1">
        <v>0</v>
      </c>
      <c r="D6" s="1">
        <v>0</v>
      </c>
      <c r="E6" s="1">
        <v>1.6113957686162854</v>
      </c>
      <c r="F6" s="1">
        <v>0.27265404071614058</v>
      </c>
      <c r="G6" s="1">
        <v>0.14080960219338146</v>
      </c>
      <c r="H6" s="4">
        <f>SUM(B6:G6)</f>
        <v>2.1356948069326642</v>
      </c>
      <c r="I6" s="1">
        <v>1.6738321482904552</v>
      </c>
      <c r="J6" s="1">
        <v>2.8161886137385914</v>
      </c>
    </row>
  </sheetData>
  <conditionalFormatting sqref="H2:J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J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J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J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:J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AA40-4F3C-4730-937A-7FA4DC9C4661}">
  <dimension ref="A1:L6"/>
  <sheetViews>
    <sheetView workbookViewId="0">
      <selection activeCell="L20" sqref="L20"/>
    </sheetView>
  </sheetViews>
  <sheetFormatPr defaultRowHeight="15" x14ac:dyDescent="0.25"/>
  <cols>
    <col min="1" max="1" width="30.28515625" bestFit="1" customWidth="1"/>
    <col min="2" max="2" width="10.85546875" bestFit="1" customWidth="1"/>
    <col min="3" max="3" width="14.5703125" bestFit="1" customWidth="1"/>
    <col min="4" max="4" width="9.5703125" bestFit="1" customWidth="1"/>
    <col min="5" max="5" width="8.85546875" bestFit="1" customWidth="1"/>
    <col min="6" max="6" width="8" bestFit="1" customWidth="1"/>
    <col min="7" max="7" width="6.7109375" bestFit="1" customWidth="1"/>
    <col min="8" max="10" width="7.5703125" bestFit="1" customWidth="1"/>
    <col min="11" max="11" width="7.5703125" customWidth="1"/>
  </cols>
  <sheetData>
    <row r="1" spans="1:12" x14ac:dyDescent="0.25">
      <c r="A1" s="2" t="s">
        <v>11</v>
      </c>
      <c r="B1" s="2" t="s">
        <v>0</v>
      </c>
      <c r="C1" s="2" t="s">
        <v>1</v>
      </c>
      <c r="D1" s="2" t="s">
        <v>2</v>
      </c>
      <c r="E1" s="2" t="s">
        <v>12</v>
      </c>
      <c r="F1" s="2" t="s">
        <v>3</v>
      </c>
      <c r="G1" s="2" t="s">
        <v>4</v>
      </c>
      <c r="H1" s="2" t="s">
        <v>10</v>
      </c>
      <c r="I1" s="3" t="s">
        <v>13</v>
      </c>
      <c r="J1" s="3" t="s">
        <v>14</v>
      </c>
      <c r="K1" s="3" t="s">
        <v>17</v>
      </c>
      <c r="L1" s="3" t="s">
        <v>15</v>
      </c>
    </row>
    <row r="2" spans="1:12" x14ac:dyDescent="0.25">
      <c r="A2" s="2" t="s">
        <v>5</v>
      </c>
      <c r="B2" s="1">
        <v>1.94</v>
      </c>
      <c r="C2" s="1">
        <v>0</v>
      </c>
      <c r="D2" s="1">
        <v>0</v>
      </c>
      <c r="E2" s="1">
        <v>3.25</v>
      </c>
      <c r="F2" s="1">
        <v>0.94</v>
      </c>
      <c r="G2" s="1">
        <v>0</v>
      </c>
      <c r="H2" s="4">
        <f>SUM(B2:G2)</f>
        <v>6.129999999999999</v>
      </c>
      <c r="I2" s="1">
        <f>H2-2*K2</f>
        <v>4.9239999999999995</v>
      </c>
      <c r="J2" s="1">
        <f>H2+2*K2</f>
        <v>7.3359999999999985</v>
      </c>
      <c r="K2" s="1">
        <v>0.60299999999999998</v>
      </c>
      <c r="L2" s="1">
        <f>H2-H2*11.2/100</f>
        <v>5.4434399999999989</v>
      </c>
    </row>
    <row r="3" spans="1:12" x14ac:dyDescent="0.25">
      <c r="A3" s="2" t="s">
        <v>6</v>
      </c>
      <c r="B3" s="1">
        <v>0</v>
      </c>
      <c r="C3" s="1">
        <v>-0.51305031000000001</v>
      </c>
      <c r="D3" s="1">
        <v>0.10580871</v>
      </c>
      <c r="E3" s="1">
        <v>0.71924902999999996</v>
      </c>
      <c r="F3" s="1">
        <v>0.23100000000000001</v>
      </c>
      <c r="G3" s="1">
        <v>0</v>
      </c>
      <c r="H3" s="4">
        <f>SUM(B3:G3)</f>
        <v>0.54300742999999996</v>
      </c>
      <c r="I3" s="1">
        <f>H3-2*K3</f>
        <v>0.14300742999999994</v>
      </c>
      <c r="J3" s="1">
        <f>H3+2*K3</f>
        <v>0.94300742999999998</v>
      </c>
      <c r="K3" s="1">
        <v>0.2</v>
      </c>
      <c r="L3" s="1">
        <f>H3-H3*54.6/100</f>
        <v>0.24652537321999995</v>
      </c>
    </row>
    <row r="4" spans="1:12" x14ac:dyDescent="0.25">
      <c r="A4" s="2" t="s">
        <v>8</v>
      </c>
      <c r="B4" s="1">
        <v>-0.89744959999999996</v>
      </c>
      <c r="C4" s="1">
        <v>0</v>
      </c>
      <c r="D4" s="1">
        <v>0</v>
      </c>
      <c r="E4" s="1">
        <v>0.71561644999999996</v>
      </c>
      <c r="F4" s="1">
        <v>1.3699593782099999</v>
      </c>
      <c r="G4" s="1">
        <v>0</v>
      </c>
      <c r="H4" s="4">
        <f>SUM(B4:G4)</f>
        <v>1.1881262282099998</v>
      </c>
      <c r="I4" s="1">
        <f>H4-2*K4</f>
        <v>1.1681262282099998</v>
      </c>
      <c r="J4" s="1">
        <f>H4+2*K4</f>
        <v>1.2081262282099998</v>
      </c>
      <c r="K4" s="1">
        <v>0.01</v>
      </c>
      <c r="L4" s="1">
        <f>H4-H4*48.7/100</f>
        <v>0.60950875507172986</v>
      </c>
    </row>
    <row r="5" spans="1:12" x14ac:dyDescent="0.25">
      <c r="A5" s="2" t="s">
        <v>7</v>
      </c>
      <c r="B5" s="1">
        <v>0</v>
      </c>
      <c r="C5" s="1">
        <v>-0.51305031000000001</v>
      </c>
      <c r="D5" s="1">
        <v>0.10580871</v>
      </c>
      <c r="E5" s="1">
        <v>-0.4253728</v>
      </c>
      <c r="F5" s="1">
        <v>0.23011791060000006</v>
      </c>
      <c r="G5" s="1">
        <v>0</v>
      </c>
      <c r="H5" s="4">
        <f>SUM(B5:G5)</f>
        <v>-0.60249648939999989</v>
      </c>
      <c r="I5" s="1">
        <f>H5-2*K5</f>
        <v>-1.0024964893999999</v>
      </c>
      <c r="J5" s="1">
        <f>H5+2*K5</f>
        <v>-0.20249648939999987</v>
      </c>
      <c r="K5" s="1">
        <v>0.2</v>
      </c>
      <c r="L5" s="1">
        <f>H5-H5*89.4/100</f>
        <v>-6.3864627876399904E-2</v>
      </c>
    </row>
    <row r="6" spans="1:12" x14ac:dyDescent="0.25">
      <c r="A6" s="2" t="s">
        <v>9</v>
      </c>
      <c r="B6" s="1">
        <v>-0.89744959999999996</v>
      </c>
      <c r="C6" s="1">
        <v>0</v>
      </c>
      <c r="D6" s="1">
        <v>0</v>
      </c>
      <c r="E6" s="1">
        <v>-0.42322444999999997</v>
      </c>
      <c r="F6" s="1">
        <v>1.3699593782099999</v>
      </c>
      <c r="G6" s="1">
        <v>0</v>
      </c>
      <c r="H6" s="4">
        <f>SUM(B6:G6)</f>
        <v>4.9285328209999868E-2</v>
      </c>
      <c r="I6" s="1">
        <f>H6-2*K6</f>
        <v>2.9285328209999868E-2</v>
      </c>
      <c r="J6" s="1">
        <f>H6+2*K6</f>
        <v>6.9285328209999872E-2</v>
      </c>
      <c r="K6" s="1">
        <v>0.01</v>
      </c>
      <c r="L6" s="1">
        <f>H6-H6*91.1/100</f>
        <v>4.386394210689995E-3</v>
      </c>
    </row>
  </sheetData>
  <conditionalFormatting sqref="H2:J2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J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J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J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:J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economics</vt:lpstr>
      <vt:lpstr>climate_change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2025-01-23T09:08:34Z</dcterms:created>
  <dcterms:modified xsi:type="dcterms:W3CDTF">2025-01-27T11:50:42Z</dcterms:modified>
</cp:coreProperties>
</file>